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rbi\Documents\DeepTech-3MTT\mentorship_projects\"/>
    </mc:Choice>
  </mc:AlternateContent>
  <xr:revisionPtr revIDLastSave="0" documentId="8_{4711AD82-135E-44CE-A83E-5570974925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ovaTech_Forecasting_Analysis_R" sheetId="13" r:id="rId1"/>
    <sheet name="Naive" sheetId="1" r:id="rId2"/>
    <sheet name="Moving Average_3days" sheetId="2" r:id="rId3"/>
    <sheet name="Moving Average_7days" sheetId="6" r:id="rId4"/>
    <sheet name="Exponential smoothing " sheetId="3" state="hidden" r:id="rId5"/>
    <sheet name="Exponential smoothing_d.2" sheetId="8" state="hidden" r:id="rId6"/>
    <sheet name="Exponential smoothing_d.3" sheetId="9" state="hidden" r:id="rId7"/>
    <sheet name="Exponential smoothing_d.7" sheetId="10" state="hidden" r:id="rId8"/>
    <sheet name="Exponential smoothing_d.8" sheetId="11" r:id="rId9"/>
    <sheet name="SLR" sheetId="5" r:id="rId10"/>
    <sheet name="Linear Forecast" sheetId="4" r:id="rId11"/>
    <sheet name="Linear_Forecast_Sheet" sheetId="12" r:id="rId12"/>
  </sheets>
  <definedNames>
    <definedName name="solver_opt" localSheetId="10">'Linear Forecast'!$D$2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1" i="6"/>
  <c r="K9" i="4"/>
  <c r="K8" i="4"/>
  <c r="K7" i="4"/>
  <c r="K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O8" i="5"/>
  <c r="F3" i="5"/>
  <c r="F4" i="5"/>
  <c r="F5" i="5"/>
  <c r="F6" i="5"/>
  <c r="G6" i="5" s="1"/>
  <c r="F7" i="5"/>
  <c r="G7" i="5" s="1"/>
  <c r="I7" i="5" s="1"/>
  <c r="F8" i="5"/>
  <c r="G8" i="5" s="1"/>
  <c r="I8" i="5" s="1"/>
  <c r="F9" i="5"/>
  <c r="G9" i="5" s="1"/>
  <c r="I9" i="5" s="1"/>
  <c r="F10" i="5"/>
  <c r="G10" i="5" s="1"/>
  <c r="F11" i="5"/>
  <c r="G11" i="5" s="1"/>
  <c r="F12" i="5"/>
  <c r="G12" i="5" s="1"/>
  <c r="I12" i="5" s="1"/>
  <c r="F13" i="5"/>
  <c r="G13" i="5" s="1"/>
  <c r="F14" i="5"/>
  <c r="G14" i="5" s="1"/>
  <c r="I14" i="5" s="1"/>
  <c r="F15" i="5"/>
  <c r="F16" i="5"/>
  <c r="F17" i="5"/>
  <c r="F18" i="5"/>
  <c r="F19" i="5"/>
  <c r="F20" i="5"/>
  <c r="G20" i="5" s="1"/>
  <c r="I20" i="5" s="1"/>
  <c r="F21" i="5"/>
  <c r="G21" i="5" s="1"/>
  <c r="H21" i="5" s="1"/>
  <c r="F22" i="5"/>
  <c r="G22" i="5" s="1"/>
  <c r="H22" i="5" s="1"/>
  <c r="F23" i="5"/>
  <c r="G23" i="5" s="1"/>
  <c r="H23" i="5" s="1"/>
  <c r="F24" i="5"/>
  <c r="G24" i="5" s="1"/>
  <c r="H24" i="5" s="1"/>
  <c r="F25" i="5"/>
  <c r="G25" i="5" s="1"/>
  <c r="H25" i="5" s="1"/>
  <c r="F26" i="5"/>
  <c r="G26" i="5" s="1"/>
  <c r="I26" i="5" s="1"/>
  <c r="F27" i="5"/>
  <c r="F28" i="5"/>
  <c r="F29" i="5"/>
  <c r="F30" i="5"/>
  <c r="F31" i="5"/>
  <c r="F32" i="5"/>
  <c r="G32" i="5" s="1"/>
  <c r="I32" i="5" s="1"/>
  <c r="F33" i="5"/>
  <c r="G33" i="5" s="1"/>
  <c r="H33" i="5" s="1"/>
  <c r="F34" i="5"/>
  <c r="G34" i="5" s="1"/>
  <c r="F35" i="5"/>
  <c r="G35" i="5" s="1"/>
  <c r="F36" i="5"/>
  <c r="G36" i="5" s="1"/>
  <c r="H36" i="5" s="1"/>
  <c r="F37" i="5"/>
  <c r="G37" i="5" s="1"/>
  <c r="F38" i="5"/>
  <c r="G38" i="5" s="1"/>
  <c r="I38" i="5" s="1"/>
  <c r="F39" i="5"/>
  <c r="F40" i="5"/>
  <c r="F41" i="5"/>
  <c r="F42" i="5"/>
  <c r="F43" i="5"/>
  <c r="F44" i="5"/>
  <c r="G44" i="5" s="1"/>
  <c r="I44" i="5" s="1"/>
  <c r="F45" i="5"/>
  <c r="G45" i="5" s="1"/>
  <c r="F46" i="5"/>
  <c r="G46" i="5" s="1"/>
  <c r="H46" i="5" s="1"/>
  <c r="F47" i="5"/>
  <c r="G47" i="5" s="1"/>
  <c r="F48" i="5"/>
  <c r="G48" i="5" s="1"/>
  <c r="F49" i="5"/>
  <c r="G49" i="5" s="1"/>
  <c r="H49" i="5" s="1"/>
  <c r="F50" i="5"/>
  <c r="G50" i="5" s="1"/>
  <c r="I50" i="5" s="1"/>
  <c r="F51" i="5"/>
  <c r="F52" i="5"/>
  <c r="F53" i="5"/>
  <c r="F54" i="5"/>
  <c r="G54" i="5" s="1"/>
  <c r="I54" i="5" s="1"/>
  <c r="F55" i="5"/>
  <c r="G55" i="5" s="1"/>
  <c r="I55" i="5" s="1"/>
  <c r="F56" i="5"/>
  <c r="G56" i="5" s="1"/>
  <c r="I56" i="5" s="1"/>
  <c r="F57" i="5"/>
  <c r="G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 s="1"/>
  <c r="H61" i="5" s="1"/>
  <c r="F62" i="5"/>
  <c r="G62" i="5" s="1"/>
  <c r="I62" i="5" s="1"/>
  <c r="F63" i="5"/>
  <c r="F64" i="5"/>
  <c r="F65" i="5"/>
  <c r="F66" i="5"/>
  <c r="F67" i="5"/>
  <c r="F68" i="5"/>
  <c r="G68" i="5" s="1"/>
  <c r="I68" i="5" s="1"/>
  <c r="F69" i="5"/>
  <c r="G69" i="5" s="1"/>
  <c r="I69" i="5" s="1"/>
  <c r="F70" i="5"/>
  <c r="G70" i="5" s="1"/>
  <c r="H70" i="5" s="1"/>
  <c r="F71" i="5"/>
  <c r="G71" i="5" s="1"/>
  <c r="F72" i="5"/>
  <c r="G72" i="5" s="1"/>
  <c r="H72" i="5" s="1"/>
  <c r="F73" i="5"/>
  <c r="G73" i="5" s="1"/>
  <c r="H73" i="5" s="1"/>
  <c r="F74" i="5"/>
  <c r="G74" i="5" s="1"/>
  <c r="I74" i="5" s="1"/>
  <c r="F75" i="5"/>
  <c r="F76" i="5"/>
  <c r="F77" i="5"/>
  <c r="F78" i="5"/>
  <c r="F79" i="5"/>
  <c r="F80" i="5"/>
  <c r="G80" i="5" s="1"/>
  <c r="I80" i="5" s="1"/>
  <c r="F81" i="5"/>
  <c r="G81" i="5" s="1"/>
  <c r="H81" i="5" s="1"/>
  <c r="F82" i="5"/>
  <c r="G82" i="5" s="1"/>
  <c r="F83" i="5"/>
  <c r="G83" i="5" s="1"/>
  <c r="F84" i="5"/>
  <c r="G84" i="5" s="1"/>
  <c r="H84" i="5" s="1"/>
  <c r="F85" i="5"/>
  <c r="G85" i="5" s="1"/>
  <c r="F86" i="5"/>
  <c r="G86" i="5" s="1"/>
  <c r="I86" i="5" s="1"/>
  <c r="F87" i="5"/>
  <c r="F88" i="5"/>
  <c r="F89" i="5"/>
  <c r="F90" i="5"/>
  <c r="F91" i="5"/>
  <c r="F92" i="5"/>
  <c r="G92" i="5" s="1"/>
  <c r="I92" i="5" s="1"/>
  <c r="F93" i="5"/>
  <c r="G93" i="5" s="1"/>
  <c r="F94" i="5"/>
  <c r="G94" i="5" s="1"/>
  <c r="H94" i="5" s="1"/>
  <c r="F95" i="5"/>
  <c r="G95" i="5" s="1"/>
  <c r="F96" i="5"/>
  <c r="G96" i="5" s="1"/>
  <c r="F97" i="5"/>
  <c r="G97" i="5" s="1"/>
  <c r="H97" i="5" s="1"/>
  <c r="F98" i="5"/>
  <c r="G98" i="5" s="1"/>
  <c r="I98" i="5" s="1"/>
  <c r="F99" i="5"/>
  <c r="F100" i="5"/>
  <c r="F101" i="5"/>
  <c r="F102" i="5"/>
  <c r="G102" i="5" s="1"/>
  <c r="F103" i="5"/>
  <c r="G103" i="5" s="1"/>
  <c r="F104" i="5"/>
  <c r="G104" i="5" s="1"/>
  <c r="I104" i="5" s="1"/>
  <c r="F105" i="5"/>
  <c r="G105" i="5" s="1"/>
  <c r="I105" i="5" s="1"/>
  <c r="F106" i="5"/>
  <c r="G106" i="5" s="1"/>
  <c r="H106" i="5" s="1"/>
  <c r="F107" i="5"/>
  <c r="G107" i="5" s="1"/>
  <c r="H107" i="5" s="1"/>
  <c r="F108" i="5"/>
  <c r="G108" i="5" s="1"/>
  <c r="H108" i="5" s="1"/>
  <c r="F109" i="5"/>
  <c r="F110" i="5"/>
  <c r="F111" i="5"/>
  <c r="F112" i="5"/>
  <c r="F113" i="5"/>
  <c r="F114" i="5"/>
  <c r="F115" i="5"/>
  <c r="F116" i="5"/>
  <c r="G116" i="5" s="1"/>
  <c r="I116" i="5" s="1"/>
  <c r="F117" i="5"/>
  <c r="G117" i="5" s="1"/>
  <c r="H117" i="5" s="1"/>
  <c r="F118" i="5"/>
  <c r="G118" i="5" s="1"/>
  <c r="H118" i="5" s="1"/>
  <c r="F119" i="5"/>
  <c r="G119" i="5" s="1"/>
  <c r="H119" i="5" s="1"/>
  <c r="F120" i="5"/>
  <c r="G120" i="5" s="1"/>
  <c r="F121" i="5"/>
  <c r="G121" i="5" s="1"/>
  <c r="H121" i="5" s="1"/>
  <c r="F122" i="5"/>
  <c r="G122" i="5" s="1"/>
  <c r="I122" i="5" s="1"/>
  <c r="F123" i="5"/>
  <c r="F124" i="5"/>
  <c r="F125" i="5"/>
  <c r="F126" i="5"/>
  <c r="F127" i="5"/>
  <c r="F128" i="5"/>
  <c r="G128" i="5" s="1"/>
  <c r="I128" i="5" s="1"/>
  <c r="F129" i="5"/>
  <c r="G129" i="5" s="1"/>
  <c r="F130" i="5"/>
  <c r="F131" i="5"/>
  <c r="F132" i="5"/>
  <c r="G132" i="5" s="1"/>
  <c r="H132" i="5" s="1"/>
  <c r="F133" i="5"/>
  <c r="G133" i="5" s="1"/>
  <c r="F134" i="5"/>
  <c r="G134" i="5" s="1"/>
  <c r="I134" i="5" s="1"/>
  <c r="F135" i="5"/>
  <c r="F136" i="5"/>
  <c r="F137" i="5"/>
  <c r="F138" i="5"/>
  <c r="F139" i="5"/>
  <c r="F140" i="5"/>
  <c r="G140" i="5" s="1"/>
  <c r="I140" i="5" s="1"/>
  <c r="F141" i="5"/>
  <c r="G141" i="5" s="1"/>
  <c r="F142" i="5"/>
  <c r="G142" i="5" s="1"/>
  <c r="H142" i="5" s="1"/>
  <c r="F143" i="5"/>
  <c r="G143" i="5" s="1"/>
  <c r="F144" i="5"/>
  <c r="G144" i="5" s="1"/>
  <c r="F145" i="5"/>
  <c r="G145" i="5" s="1"/>
  <c r="H145" i="5" s="1"/>
  <c r="F146" i="5"/>
  <c r="G146" i="5" s="1"/>
  <c r="I146" i="5" s="1"/>
  <c r="F147" i="5"/>
  <c r="F148" i="5"/>
  <c r="F149" i="5"/>
  <c r="F150" i="5"/>
  <c r="F151" i="5"/>
  <c r="F152" i="5"/>
  <c r="G152" i="5" s="1"/>
  <c r="I152" i="5" s="1"/>
  <c r="F153" i="5"/>
  <c r="G153" i="5" s="1"/>
  <c r="I153" i="5" s="1"/>
  <c r="F154" i="5"/>
  <c r="G154" i="5" s="1"/>
  <c r="F155" i="5"/>
  <c r="G155" i="5" s="1"/>
  <c r="F156" i="5"/>
  <c r="G156" i="5" s="1"/>
  <c r="H156" i="5" s="1"/>
  <c r="F157" i="5"/>
  <c r="G157" i="5" s="1"/>
  <c r="F158" i="5"/>
  <c r="G158" i="5" s="1"/>
  <c r="I158" i="5" s="1"/>
  <c r="F159" i="5"/>
  <c r="F160" i="5"/>
  <c r="F161" i="5"/>
  <c r="F162" i="5"/>
  <c r="G162" i="5" s="1"/>
  <c r="I162" i="5" s="1"/>
  <c r="F163" i="5"/>
  <c r="G163" i="5" s="1"/>
  <c r="I163" i="5" s="1"/>
  <c r="F164" i="5"/>
  <c r="G164" i="5" s="1"/>
  <c r="I164" i="5" s="1"/>
  <c r="F165" i="5"/>
  <c r="G165" i="5" s="1"/>
  <c r="F166" i="5"/>
  <c r="G166" i="5" s="1"/>
  <c r="H166" i="5" s="1"/>
  <c r="F167" i="5"/>
  <c r="F168" i="5"/>
  <c r="F169" i="5"/>
  <c r="G169" i="5" s="1"/>
  <c r="H169" i="5" s="1"/>
  <c r="F170" i="5"/>
  <c r="G170" i="5" s="1"/>
  <c r="I170" i="5" s="1"/>
  <c r="F171" i="5"/>
  <c r="F172" i="5"/>
  <c r="F173" i="5"/>
  <c r="F174" i="5"/>
  <c r="G174" i="5" s="1"/>
  <c r="F175" i="5"/>
  <c r="G175" i="5" s="1"/>
  <c r="F176" i="5"/>
  <c r="G176" i="5" s="1"/>
  <c r="I176" i="5" s="1"/>
  <c r="F177" i="5"/>
  <c r="G177" i="5" s="1"/>
  <c r="F178" i="5"/>
  <c r="G178" i="5" s="1"/>
  <c r="F179" i="5"/>
  <c r="G179" i="5" s="1"/>
  <c r="F180" i="5"/>
  <c r="G180" i="5" s="1"/>
  <c r="H180" i="5" s="1"/>
  <c r="F181" i="5"/>
  <c r="G181" i="5" s="1"/>
  <c r="F182" i="5"/>
  <c r="G182" i="5" s="1"/>
  <c r="I182" i="5" s="1"/>
  <c r="F183" i="5"/>
  <c r="F184" i="5"/>
  <c r="F185" i="5"/>
  <c r="F186" i="5"/>
  <c r="F187" i="5"/>
  <c r="F188" i="5"/>
  <c r="G188" i="5" s="1"/>
  <c r="I188" i="5" s="1"/>
  <c r="F189" i="5"/>
  <c r="G189" i="5" s="1"/>
  <c r="H189" i="5" s="1"/>
  <c r="F190" i="5"/>
  <c r="G190" i="5" s="1"/>
  <c r="H190" i="5" s="1"/>
  <c r="F191" i="5"/>
  <c r="G191" i="5" s="1"/>
  <c r="H191" i="5" s="1"/>
  <c r="F192" i="5"/>
  <c r="G192" i="5" s="1"/>
  <c r="F193" i="5"/>
  <c r="G193" i="5" s="1"/>
  <c r="H193" i="5" s="1"/>
  <c r="F194" i="5"/>
  <c r="G194" i="5" s="1"/>
  <c r="I194" i="5" s="1"/>
  <c r="F195" i="5"/>
  <c r="F196" i="5"/>
  <c r="F197" i="5"/>
  <c r="F198" i="5"/>
  <c r="F199" i="5"/>
  <c r="F200" i="5"/>
  <c r="G200" i="5" s="1"/>
  <c r="I200" i="5" s="1"/>
  <c r="F201" i="5"/>
  <c r="G201" i="5" s="1"/>
  <c r="F202" i="5"/>
  <c r="G202" i="5" s="1"/>
  <c r="F203" i="5"/>
  <c r="G203" i="5" s="1"/>
  <c r="F204" i="5"/>
  <c r="G204" i="5" s="1"/>
  <c r="H204" i="5" s="1"/>
  <c r="F205" i="5"/>
  <c r="G205" i="5" s="1"/>
  <c r="H205" i="5" s="1"/>
  <c r="F206" i="5"/>
  <c r="G206" i="5" s="1"/>
  <c r="I206" i="5" s="1"/>
  <c r="F207" i="5"/>
  <c r="F208" i="5"/>
  <c r="F209" i="5"/>
  <c r="F210" i="5"/>
  <c r="F211" i="5"/>
  <c r="F212" i="5"/>
  <c r="G212" i="5" s="1"/>
  <c r="I212" i="5" s="1"/>
  <c r="F213" i="5"/>
  <c r="G213" i="5" s="1"/>
  <c r="I213" i="5" s="1"/>
  <c r="F214" i="5"/>
  <c r="G214" i="5" s="1"/>
  <c r="H214" i="5" s="1"/>
  <c r="F215" i="5"/>
  <c r="G215" i="5" s="1"/>
  <c r="F216" i="5"/>
  <c r="G216" i="5" s="1"/>
  <c r="F217" i="5"/>
  <c r="G217" i="5" s="1"/>
  <c r="H217" i="5" s="1"/>
  <c r="F218" i="5"/>
  <c r="G218" i="5" s="1"/>
  <c r="I218" i="5" s="1"/>
  <c r="F219" i="5"/>
  <c r="F220" i="5"/>
  <c r="F221" i="5"/>
  <c r="F222" i="5"/>
  <c r="F223" i="5"/>
  <c r="F224" i="5"/>
  <c r="G224" i="5" s="1"/>
  <c r="I224" i="5" s="1"/>
  <c r="F225" i="5"/>
  <c r="G225" i="5" s="1"/>
  <c r="F226" i="5"/>
  <c r="F227" i="5"/>
  <c r="F228" i="5"/>
  <c r="F229" i="5"/>
  <c r="G229" i="5" s="1"/>
  <c r="F230" i="5"/>
  <c r="G230" i="5" s="1"/>
  <c r="I230" i="5" s="1"/>
  <c r="F231" i="5"/>
  <c r="F232" i="5"/>
  <c r="F233" i="5"/>
  <c r="F234" i="5"/>
  <c r="G234" i="5" s="1"/>
  <c r="F235" i="5"/>
  <c r="G235" i="5" s="1"/>
  <c r="H235" i="5" s="1"/>
  <c r="F236" i="5"/>
  <c r="G236" i="5" s="1"/>
  <c r="I236" i="5" s="1"/>
  <c r="F237" i="5"/>
  <c r="G237" i="5" s="1"/>
  <c r="H237" i="5" s="1"/>
  <c r="F238" i="5"/>
  <c r="G238" i="5" s="1"/>
  <c r="H238" i="5" s="1"/>
  <c r="F239" i="5"/>
  <c r="G239" i="5" s="1"/>
  <c r="F240" i="5"/>
  <c r="G240" i="5" s="1"/>
  <c r="F241" i="5"/>
  <c r="G241" i="5" s="1"/>
  <c r="H241" i="5" s="1"/>
  <c r="F242" i="5"/>
  <c r="G242" i="5" s="1"/>
  <c r="I242" i="5" s="1"/>
  <c r="F243" i="5"/>
  <c r="F244" i="5"/>
  <c r="F245" i="5"/>
  <c r="F246" i="5"/>
  <c r="G246" i="5" s="1"/>
  <c r="I246" i="5" s="1"/>
  <c r="F247" i="5"/>
  <c r="G247" i="5" s="1"/>
  <c r="I247" i="5" s="1"/>
  <c r="F248" i="5"/>
  <c r="G248" i="5" s="1"/>
  <c r="I248" i="5" s="1"/>
  <c r="F249" i="5"/>
  <c r="G249" i="5" s="1"/>
  <c r="I249" i="5" s="1"/>
  <c r="F250" i="5"/>
  <c r="G250" i="5" s="1"/>
  <c r="F251" i="5"/>
  <c r="G251" i="5" s="1"/>
  <c r="F252" i="5"/>
  <c r="G252" i="5" s="1"/>
  <c r="I252" i="5" s="1"/>
  <c r="F253" i="5"/>
  <c r="G253" i="5" s="1"/>
  <c r="H253" i="5" s="1"/>
  <c r="F254" i="5"/>
  <c r="G254" i="5" s="1"/>
  <c r="I254" i="5" s="1"/>
  <c r="F255" i="5"/>
  <c r="F256" i="5"/>
  <c r="F257" i="5"/>
  <c r="F258" i="5"/>
  <c r="F259" i="5"/>
  <c r="F260" i="5"/>
  <c r="G260" i="5" s="1"/>
  <c r="I260" i="5" s="1"/>
  <c r="F261" i="5"/>
  <c r="G261" i="5" s="1"/>
  <c r="F262" i="5"/>
  <c r="G262" i="5" s="1"/>
  <c r="H262" i="5" s="1"/>
  <c r="F263" i="5"/>
  <c r="G263" i="5" s="1"/>
  <c r="F264" i="5"/>
  <c r="G264" i="5" s="1"/>
  <c r="F265" i="5"/>
  <c r="G265" i="5" s="1"/>
  <c r="F266" i="5"/>
  <c r="G266" i="5" s="1"/>
  <c r="F267" i="5"/>
  <c r="F268" i="5"/>
  <c r="F269" i="5"/>
  <c r="F270" i="5"/>
  <c r="F271" i="5"/>
  <c r="F272" i="5"/>
  <c r="G272" i="5" s="1"/>
  <c r="I272" i="5" s="1"/>
  <c r="F273" i="5"/>
  <c r="G273" i="5" s="1"/>
  <c r="H273" i="5" s="1"/>
  <c r="F274" i="5"/>
  <c r="G274" i="5" s="1"/>
  <c r="H274" i="5" s="1"/>
  <c r="F275" i="5"/>
  <c r="G275" i="5" s="1"/>
  <c r="F276" i="5"/>
  <c r="G276" i="5" s="1"/>
  <c r="I276" i="5" s="1"/>
  <c r="F277" i="5"/>
  <c r="G277" i="5" s="1"/>
  <c r="H277" i="5" s="1"/>
  <c r="F278" i="5"/>
  <c r="G278" i="5" s="1"/>
  <c r="I278" i="5" s="1"/>
  <c r="F279" i="5"/>
  <c r="F280" i="5"/>
  <c r="F281" i="5"/>
  <c r="F282" i="5"/>
  <c r="F283" i="5"/>
  <c r="F284" i="5"/>
  <c r="G284" i="5" s="1"/>
  <c r="I284" i="5" s="1"/>
  <c r="F285" i="5"/>
  <c r="G285" i="5" s="1"/>
  <c r="I285" i="5" s="1"/>
  <c r="F286" i="5"/>
  <c r="F287" i="5"/>
  <c r="F288" i="5"/>
  <c r="F289" i="5"/>
  <c r="F290" i="5"/>
  <c r="G290" i="5" s="1"/>
  <c r="I290" i="5" s="1"/>
  <c r="F291" i="5"/>
  <c r="F292" i="5"/>
  <c r="F293" i="5"/>
  <c r="F294" i="5"/>
  <c r="F295" i="5"/>
  <c r="F296" i="5"/>
  <c r="G296" i="5" s="1"/>
  <c r="I296" i="5" s="1"/>
  <c r="F297" i="5"/>
  <c r="G297" i="5" s="1"/>
  <c r="F298" i="5"/>
  <c r="G298" i="5" s="1"/>
  <c r="H298" i="5" s="1"/>
  <c r="F299" i="5"/>
  <c r="G299" i="5" s="1"/>
  <c r="F300" i="5"/>
  <c r="G300" i="5" s="1"/>
  <c r="F301" i="5"/>
  <c r="G301" i="5" s="1"/>
  <c r="F302" i="5"/>
  <c r="G302" i="5" s="1"/>
  <c r="I302" i="5" s="1"/>
  <c r="F303" i="5"/>
  <c r="F304" i="5"/>
  <c r="F305" i="5"/>
  <c r="F306" i="5"/>
  <c r="G306" i="5" s="1"/>
  <c r="F307" i="5"/>
  <c r="G307" i="5" s="1"/>
  <c r="F308" i="5"/>
  <c r="G308" i="5" s="1"/>
  <c r="I308" i="5" s="1"/>
  <c r="F309" i="5"/>
  <c r="G309" i="5" s="1"/>
  <c r="F310" i="5"/>
  <c r="G310" i="5" s="1"/>
  <c r="H310" i="5" s="1"/>
  <c r="F311" i="5"/>
  <c r="G311" i="5" s="1"/>
  <c r="F312" i="5"/>
  <c r="G312" i="5" s="1"/>
  <c r="F313" i="5"/>
  <c r="G313" i="5" s="1"/>
  <c r="F314" i="5"/>
  <c r="G314" i="5" s="1"/>
  <c r="I314" i="5" s="1"/>
  <c r="F315" i="5"/>
  <c r="F316" i="5"/>
  <c r="F317" i="5"/>
  <c r="F318" i="5"/>
  <c r="G318" i="5" s="1"/>
  <c r="I318" i="5" s="1"/>
  <c r="F319" i="5"/>
  <c r="G319" i="5" s="1"/>
  <c r="I319" i="5" s="1"/>
  <c r="F320" i="5"/>
  <c r="G320" i="5" s="1"/>
  <c r="I320" i="5" s="1"/>
  <c r="F321" i="5"/>
  <c r="G321" i="5" s="1"/>
  <c r="I321" i="5" s="1"/>
  <c r="F322" i="5"/>
  <c r="G322" i="5" s="1"/>
  <c r="H322" i="5" s="1"/>
  <c r="F323" i="5"/>
  <c r="G323" i="5" s="1"/>
  <c r="F324" i="5"/>
  <c r="G324" i="5" s="1"/>
  <c r="F325" i="5"/>
  <c r="G325" i="5" s="1"/>
  <c r="H325" i="5" s="1"/>
  <c r="F326" i="5"/>
  <c r="G326" i="5" s="1"/>
  <c r="F327" i="5"/>
  <c r="F328" i="5"/>
  <c r="F329" i="5"/>
  <c r="F330" i="5"/>
  <c r="F331" i="5"/>
  <c r="F332" i="5"/>
  <c r="G332" i="5" s="1"/>
  <c r="I332" i="5" s="1"/>
  <c r="F333" i="5"/>
  <c r="G333" i="5" s="1"/>
  <c r="I333" i="5" s="1"/>
  <c r="F334" i="5"/>
  <c r="G334" i="5" s="1"/>
  <c r="H334" i="5" s="1"/>
  <c r="F335" i="5"/>
  <c r="G335" i="5" s="1"/>
  <c r="F336" i="5"/>
  <c r="G336" i="5" s="1"/>
  <c r="F337" i="5"/>
  <c r="G337" i="5" s="1"/>
  <c r="H337" i="5" s="1"/>
  <c r="F338" i="5"/>
  <c r="G338" i="5" s="1"/>
  <c r="I338" i="5" s="1"/>
  <c r="F339" i="5"/>
  <c r="F340" i="5"/>
  <c r="F341" i="5"/>
  <c r="F342" i="5"/>
  <c r="F343" i="5"/>
  <c r="F344" i="5"/>
  <c r="G344" i="5" s="1"/>
  <c r="I344" i="5" s="1"/>
  <c r="F345" i="5"/>
  <c r="G345" i="5" s="1"/>
  <c r="H345" i="5" s="1"/>
  <c r="F346" i="5"/>
  <c r="F347" i="5"/>
  <c r="F348" i="5"/>
  <c r="G348" i="5" s="1"/>
  <c r="H348" i="5" s="1"/>
  <c r="F349" i="5"/>
  <c r="G349" i="5" s="1"/>
  <c r="F350" i="5"/>
  <c r="G350" i="5" s="1"/>
  <c r="I350" i="5" s="1"/>
  <c r="F351" i="5"/>
  <c r="F352" i="5"/>
  <c r="F353" i="5"/>
  <c r="F354" i="5"/>
  <c r="F355" i="5"/>
  <c r="F356" i="5"/>
  <c r="G356" i="5" s="1"/>
  <c r="I356" i="5" s="1"/>
  <c r="F357" i="5"/>
  <c r="G357" i="5" s="1"/>
  <c r="I357" i="5" s="1"/>
  <c r="F358" i="5"/>
  <c r="G358" i="5" s="1"/>
  <c r="H358" i="5" s="1"/>
  <c r="F359" i="5"/>
  <c r="G359" i="5" s="1"/>
  <c r="F360" i="5"/>
  <c r="G360" i="5" s="1"/>
  <c r="F361" i="5"/>
  <c r="G361" i="5" s="1"/>
  <c r="F362" i="5"/>
  <c r="G362" i="5" s="1"/>
  <c r="I362" i="5" s="1"/>
  <c r="F363" i="5"/>
  <c r="F364" i="5"/>
  <c r="F365" i="5"/>
  <c r="F366" i="5"/>
  <c r="F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2" i="5"/>
  <c r="G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2" i="5"/>
  <c r="I31" i="5"/>
  <c r="I33" i="5"/>
  <c r="I58" i="5"/>
  <c r="I59" i="5"/>
  <c r="I115" i="5"/>
  <c r="I117" i="5"/>
  <c r="I119" i="5"/>
  <c r="I151" i="5"/>
  <c r="I235" i="5"/>
  <c r="I237" i="5"/>
  <c r="I273" i="5"/>
  <c r="I345" i="5"/>
  <c r="I348" i="5"/>
  <c r="H7" i="5"/>
  <c r="H8" i="5"/>
  <c r="H54" i="5"/>
  <c r="H55" i="5"/>
  <c r="H56" i="5"/>
  <c r="H67" i="5"/>
  <c r="H69" i="5"/>
  <c r="H78" i="5"/>
  <c r="H104" i="5"/>
  <c r="H105" i="5"/>
  <c r="H150" i="5"/>
  <c r="H151" i="5"/>
  <c r="H152" i="5"/>
  <c r="H153" i="5"/>
  <c r="H161" i="5"/>
  <c r="H162" i="5"/>
  <c r="H163" i="5"/>
  <c r="H198" i="5"/>
  <c r="H200" i="5"/>
  <c r="H246" i="5"/>
  <c r="H247" i="5"/>
  <c r="H249" i="5"/>
  <c r="H252" i="5"/>
  <c r="H276" i="5"/>
  <c r="H284" i="5"/>
  <c r="H293" i="5"/>
  <c r="H318" i="5"/>
  <c r="H319" i="5"/>
  <c r="H321" i="5"/>
  <c r="H330" i="5"/>
  <c r="H331" i="5"/>
  <c r="H333" i="5"/>
  <c r="H357" i="5"/>
  <c r="H365" i="5"/>
  <c r="H366" i="5"/>
  <c r="G3" i="5"/>
  <c r="H3" i="5" s="1"/>
  <c r="G4" i="5"/>
  <c r="G5" i="5"/>
  <c r="I5" i="5" s="1"/>
  <c r="G15" i="5"/>
  <c r="H15" i="5" s="1"/>
  <c r="G16" i="5"/>
  <c r="G17" i="5"/>
  <c r="I17" i="5" s="1"/>
  <c r="G18" i="5"/>
  <c r="I18" i="5" s="1"/>
  <c r="G19" i="5"/>
  <c r="H19" i="5" s="1"/>
  <c r="G27" i="5"/>
  <c r="H27" i="5" s="1"/>
  <c r="G28" i="5"/>
  <c r="G29" i="5"/>
  <c r="I29" i="5" s="1"/>
  <c r="G30" i="5"/>
  <c r="G31" i="5"/>
  <c r="H31" i="5" s="1"/>
  <c r="G39" i="5"/>
  <c r="H39" i="5" s="1"/>
  <c r="G40" i="5"/>
  <c r="G41" i="5"/>
  <c r="I41" i="5" s="1"/>
  <c r="G42" i="5"/>
  <c r="I42" i="5" s="1"/>
  <c r="G43" i="5"/>
  <c r="I43" i="5" s="1"/>
  <c r="G51" i="5"/>
  <c r="H51" i="5" s="1"/>
  <c r="G52" i="5"/>
  <c r="G53" i="5"/>
  <c r="I53" i="5" s="1"/>
  <c r="G63" i="5"/>
  <c r="H63" i="5" s="1"/>
  <c r="G64" i="5"/>
  <c r="G65" i="5"/>
  <c r="G66" i="5"/>
  <c r="G67" i="5"/>
  <c r="I67" i="5" s="1"/>
  <c r="G75" i="5"/>
  <c r="H75" i="5" s="1"/>
  <c r="G76" i="5"/>
  <c r="G77" i="5"/>
  <c r="I77" i="5" s="1"/>
  <c r="G78" i="5"/>
  <c r="I78" i="5" s="1"/>
  <c r="G79" i="5"/>
  <c r="H79" i="5" s="1"/>
  <c r="G87" i="5"/>
  <c r="H87" i="5" s="1"/>
  <c r="G88" i="5"/>
  <c r="G89" i="5"/>
  <c r="I89" i="5" s="1"/>
  <c r="G90" i="5"/>
  <c r="I90" i="5" s="1"/>
  <c r="G91" i="5"/>
  <c r="H91" i="5" s="1"/>
  <c r="G99" i="5"/>
  <c r="H99" i="5" s="1"/>
  <c r="G100" i="5"/>
  <c r="G101" i="5"/>
  <c r="I101" i="5" s="1"/>
  <c r="G109" i="5"/>
  <c r="H109" i="5" s="1"/>
  <c r="G110" i="5"/>
  <c r="I110" i="5" s="1"/>
  <c r="G111" i="5"/>
  <c r="H111" i="5" s="1"/>
  <c r="G112" i="5"/>
  <c r="G113" i="5"/>
  <c r="I113" i="5" s="1"/>
  <c r="G114" i="5"/>
  <c r="I114" i="5" s="1"/>
  <c r="G115" i="5"/>
  <c r="H115" i="5" s="1"/>
  <c r="G123" i="5"/>
  <c r="H123" i="5" s="1"/>
  <c r="G124" i="5"/>
  <c r="G125" i="5"/>
  <c r="I125" i="5" s="1"/>
  <c r="G126" i="5"/>
  <c r="G127" i="5"/>
  <c r="G130" i="5"/>
  <c r="G131" i="5"/>
  <c r="G135" i="5"/>
  <c r="H135" i="5" s="1"/>
  <c r="G136" i="5"/>
  <c r="G137" i="5"/>
  <c r="G138" i="5"/>
  <c r="G139" i="5"/>
  <c r="G147" i="5"/>
  <c r="H147" i="5" s="1"/>
  <c r="G148" i="5"/>
  <c r="G149" i="5"/>
  <c r="I149" i="5" s="1"/>
  <c r="G150" i="5"/>
  <c r="I150" i="5" s="1"/>
  <c r="G151" i="5"/>
  <c r="G159" i="5"/>
  <c r="H159" i="5" s="1"/>
  <c r="G160" i="5"/>
  <c r="G161" i="5"/>
  <c r="I161" i="5" s="1"/>
  <c r="G167" i="5"/>
  <c r="G168" i="5"/>
  <c r="G171" i="5"/>
  <c r="H171" i="5" s="1"/>
  <c r="G172" i="5"/>
  <c r="G173" i="5"/>
  <c r="I173" i="5" s="1"/>
  <c r="G183" i="5"/>
  <c r="H183" i="5" s="1"/>
  <c r="G184" i="5"/>
  <c r="G185" i="5"/>
  <c r="G186" i="5"/>
  <c r="G187" i="5"/>
  <c r="H187" i="5" s="1"/>
  <c r="G195" i="5"/>
  <c r="H195" i="5" s="1"/>
  <c r="G196" i="5"/>
  <c r="G197" i="5"/>
  <c r="I197" i="5" s="1"/>
  <c r="G198" i="5"/>
  <c r="I198" i="5" s="1"/>
  <c r="G199" i="5"/>
  <c r="I199" i="5" s="1"/>
  <c r="G207" i="5"/>
  <c r="H207" i="5" s="1"/>
  <c r="G208" i="5"/>
  <c r="G209" i="5"/>
  <c r="G210" i="5"/>
  <c r="G211" i="5"/>
  <c r="I211" i="5" s="1"/>
  <c r="G219" i="5"/>
  <c r="H219" i="5" s="1"/>
  <c r="G220" i="5"/>
  <c r="G221" i="5"/>
  <c r="I221" i="5" s="1"/>
  <c r="G222" i="5"/>
  <c r="I222" i="5" s="1"/>
  <c r="G223" i="5"/>
  <c r="G226" i="5"/>
  <c r="G227" i="5"/>
  <c r="G228" i="5"/>
  <c r="G231" i="5"/>
  <c r="H231" i="5" s="1"/>
  <c r="G232" i="5"/>
  <c r="G233" i="5"/>
  <c r="G243" i="5"/>
  <c r="H243" i="5" s="1"/>
  <c r="G244" i="5"/>
  <c r="G245" i="5"/>
  <c r="I245" i="5" s="1"/>
  <c r="G255" i="5"/>
  <c r="H255" i="5" s="1"/>
  <c r="G256" i="5"/>
  <c r="G257" i="5"/>
  <c r="G258" i="5"/>
  <c r="G259" i="5"/>
  <c r="G267" i="5"/>
  <c r="H267" i="5" s="1"/>
  <c r="G268" i="5"/>
  <c r="G269" i="5"/>
  <c r="I269" i="5" s="1"/>
  <c r="G270" i="5"/>
  <c r="H270" i="5" s="1"/>
  <c r="G271" i="5"/>
  <c r="H271" i="5" s="1"/>
  <c r="G279" i="5"/>
  <c r="H279" i="5" s="1"/>
  <c r="G280" i="5"/>
  <c r="G281" i="5"/>
  <c r="I281" i="5" s="1"/>
  <c r="G282" i="5"/>
  <c r="I282" i="5" s="1"/>
  <c r="G283" i="5"/>
  <c r="I283" i="5" s="1"/>
  <c r="G286" i="5"/>
  <c r="H286" i="5" s="1"/>
  <c r="G287" i="5"/>
  <c r="G288" i="5"/>
  <c r="G289" i="5"/>
  <c r="G291" i="5"/>
  <c r="H291" i="5" s="1"/>
  <c r="G292" i="5"/>
  <c r="G293" i="5"/>
  <c r="I293" i="5" s="1"/>
  <c r="G294" i="5"/>
  <c r="H294" i="5" s="1"/>
  <c r="G295" i="5"/>
  <c r="G303" i="5"/>
  <c r="H303" i="5" s="1"/>
  <c r="G304" i="5"/>
  <c r="G305" i="5"/>
  <c r="I305" i="5" s="1"/>
  <c r="G315" i="5"/>
  <c r="H315" i="5" s="1"/>
  <c r="G316" i="5"/>
  <c r="G317" i="5"/>
  <c r="G327" i="5"/>
  <c r="H327" i="5" s="1"/>
  <c r="G328" i="5"/>
  <c r="G329" i="5"/>
  <c r="G330" i="5"/>
  <c r="I330" i="5" s="1"/>
  <c r="G331" i="5"/>
  <c r="I331" i="5" s="1"/>
  <c r="G339" i="5"/>
  <c r="H339" i="5" s="1"/>
  <c r="G340" i="5"/>
  <c r="G341" i="5"/>
  <c r="G342" i="5"/>
  <c r="H342" i="5" s="1"/>
  <c r="G343" i="5"/>
  <c r="H343" i="5" s="1"/>
  <c r="G346" i="5"/>
  <c r="H346" i="5" s="1"/>
  <c r="G347" i="5"/>
  <c r="H347" i="5" s="1"/>
  <c r="G351" i="5"/>
  <c r="H351" i="5" s="1"/>
  <c r="G352" i="5"/>
  <c r="G353" i="5"/>
  <c r="G354" i="5"/>
  <c r="G355" i="5"/>
  <c r="G363" i="5"/>
  <c r="H363" i="5" s="1"/>
  <c r="G364" i="5"/>
  <c r="G365" i="5"/>
  <c r="I365" i="5" s="1"/>
  <c r="G366" i="5"/>
  <c r="I366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" i="5"/>
  <c r="E2" i="5"/>
  <c r="O2" i="5"/>
  <c r="O3" i="5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" i="11"/>
  <c r="D3" i="11" s="1"/>
  <c r="E3" i="11" s="1"/>
  <c r="D2" i="11"/>
  <c r="E2" i="11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" i="10"/>
  <c r="D2" i="10"/>
  <c r="E2" i="10" s="1"/>
  <c r="C3" i="9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D3" i="9"/>
  <c r="E3" i="9" s="1"/>
  <c r="D2" i="9"/>
  <c r="E2" i="9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" i="8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" i="8"/>
  <c r="D2" i="8"/>
  <c r="E2" i="8" s="1"/>
  <c r="K11" i="3"/>
  <c r="K10" i="3"/>
  <c r="K9" i="3"/>
  <c r="K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" i="3"/>
  <c r="K10" i="6"/>
  <c r="K9" i="6"/>
  <c r="K8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9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10" i="6"/>
  <c r="C9" i="6"/>
  <c r="K11" i="2"/>
  <c r="K10" i="2"/>
  <c r="K9" i="2"/>
  <c r="K8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6" i="2"/>
  <c r="C5" i="2"/>
  <c r="K10" i="1"/>
  <c r="K9" i="1"/>
  <c r="K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4" i="1"/>
  <c r="C3" i="1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X19" i="5"/>
  <c r="A19" i="5"/>
  <c r="X18" i="5"/>
  <c r="A18" i="5"/>
  <c r="X17" i="5"/>
  <c r="A17" i="5"/>
  <c r="X16" i="5"/>
  <c r="A16" i="5"/>
  <c r="X15" i="5"/>
  <c r="A15" i="5"/>
  <c r="X14" i="5"/>
  <c r="A14" i="5"/>
  <c r="X13" i="5"/>
  <c r="A13" i="5"/>
  <c r="X12" i="5"/>
  <c r="A12" i="5"/>
  <c r="X11" i="5"/>
  <c r="A11" i="5"/>
  <c r="X10" i="5"/>
  <c r="A10" i="5"/>
  <c r="X9" i="5"/>
  <c r="A9" i="5"/>
  <c r="X8" i="5"/>
  <c r="A8" i="5"/>
  <c r="A7" i="5"/>
  <c r="A6" i="5"/>
  <c r="A5" i="5"/>
  <c r="W16" i="5" s="1"/>
  <c r="Y16" i="5" s="1"/>
  <c r="A4" i="5"/>
  <c r="A3" i="5"/>
  <c r="A2" i="5"/>
  <c r="D2" i="3"/>
  <c r="E2" i="3" s="1"/>
  <c r="C367" i="12"/>
  <c r="C379" i="12"/>
  <c r="C391" i="12"/>
  <c r="C403" i="12"/>
  <c r="C415" i="12"/>
  <c r="C427" i="12"/>
  <c r="C439" i="12"/>
  <c r="C451" i="12"/>
  <c r="C368" i="12"/>
  <c r="C380" i="12"/>
  <c r="C392" i="12"/>
  <c r="C404" i="12"/>
  <c r="C416" i="12"/>
  <c r="C428" i="12"/>
  <c r="C440" i="12"/>
  <c r="C452" i="12"/>
  <c r="C369" i="12"/>
  <c r="C381" i="12"/>
  <c r="C393" i="12"/>
  <c r="C405" i="12"/>
  <c r="C417" i="12"/>
  <c r="C429" i="12"/>
  <c r="C441" i="12"/>
  <c r="C453" i="12"/>
  <c r="C370" i="12"/>
  <c r="C382" i="12"/>
  <c r="C394" i="12"/>
  <c r="C406" i="12"/>
  <c r="C418" i="12"/>
  <c r="C430" i="12"/>
  <c r="C442" i="12"/>
  <c r="C454" i="12"/>
  <c r="C371" i="12"/>
  <c r="C383" i="12"/>
  <c r="C395" i="12"/>
  <c r="C407" i="12"/>
  <c r="C419" i="12"/>
  <c r="C431" i="12"/>
  <c r="C443" i="12"/>
  <c r="C455" i="12"/>
  <c r="C372" i="12"/>
  <c r="C384" i="12"/>
  <c r="C396" i="12"/>
  <c r="C408" i="12"/>
  <c r="C420" i="12"/>
  <c r="C432" i="12"/>
  <c r="C444" i="12"/>
  <c r="C456" i="12"/>
  <c r="C373" i="12"/>
  <c r="C385" i="12"/>
  <c r="C397" i="12"/>
  <c r="C409" i="12"/>
  <c r="C421" i="12"/>
  <c r="C433" i="12"/>
  <c r="C445" i="12"/>
  <c r="C457" i="12"/>
  <c r="C374" i="12"/>
  <c r="C386" i="12"/>
  <c r="C398" i="12"/>
  <c r="C410" i="12"/>
  <c r="C422" i="12"/>
  <c r="C434" i="12"/>
  <c r="C446" i="12"/>
  <c r="C458" i="12"/>
  <c r="C375" i="12"/>
  <c r="C387" i="12"/>
  <c r="C399" i="12"/>
  <c r="C411" i="12"/>
  <c r="C423" i="12"/>
  <c r="C435" i="12"/>
  <c r="C447" i="12"/>
  <c r="C376" i="12"/>
  <c r="C388" i="12"/>
  <c r="C400" i="12"/>
  <c r="C412" i="12"/>
  <c r="C424" i="12"/>
  <c r="C436" i="12"/>
  <c r="C448" i="12"/>
  <c r="C377" i="12"/>
  <c r="C389" i="12"/>
  <c r="C401" i="12"/>
  <c r="C413" i="12"/>
  <c r="C425" i="12"/>
  <c r="C437" i="12"/>
  <c r="C449" i="12"/>
  <c r="C378" i="12"/>
  <c r="C390" i="12"/>
  <c r="C402" i="12"/>
  <c r="C414" i="12"/>
  <c r="C426" i="12"/>
  <c r="C438" i="12"/>
  <c r="C450" i="12"/>
  <c r="H301" i="5" l="1"/>
  <c r="I301" i="5"/>
  <c r="H229" i="5"/>
  <c r="I229" i="5"/>
  <c r="H181" i="5"/>
  <c r="I181" i="5"/>
  <c r="H157" i="5"/>
  <c r="I157" i="5"/>
  <c r="H85" i="5"/>
  <c r="I85" i="5"/>
  <c r="I360" i="5"/>
  <c r="H360" i="5"/>
  <c r="H300" i="5"/>
  <c r="I300" i="5"/>
  <c r="I216" i="5"/>
  <c r="H216" i="5"/>
  <c r="H144" i="5"/>
  <c r="I144" i="5"/>
  <c r="H96" i="5"/>
  <c r="I96" i="5"/>
  <c r="H48" i="5"/>
  <c r="I48" i="5"/>
  <c r="H299" i="5"/>
  <c r="I299" i="5"/>
  <c r="H239" i="5"/>
  <c r="I239" i="5"/>
  <c r="H143" i="5"/>
  <c r="I143" i="5"/>
  <c r="I326" i="5"/>
  <c r="H326" i="5"/>
  <c r="H361" i="5"/>
  <c r="I361" i="5"/>
  <c r="H313" i="5"/>
  <c r="I313" i="5"/>
  <c r="I312" i="5"/>
  <c r="H312" i="5"/>
  <c r="H240" i="5"/>
  <c r="I240" i="5"/>
  <c r="H359" i="5"/>
  <c r="I359" i="5"/>
  <c r="H311" i="5"/>
  <c r="I311" i="5"/>
  <c r="H215" i="5"/>
  <c r="I215" i="5"/>
  <c r="H35" i="5"/>
  <c r="I35" i="5"/>
  <c r="H154" i="5"/>
  <c r="I154" i="5"/>
  <c r="H47" i="5"/>
  <c r="I47" i="5"/>
  <c r="H37" i="5"/>
  <c r="I37" i="5"/>
  <c r="H275" i="5"/>
  <c r="I275" i="5"/>
  <c r="H203" i="5"/>
  <c r="I203" i="5"/>
  <c r="H155" i="5"/>
  <c r="I155" i="5"/>
  <c r="H95" i="5"/>
  <c r="I95" i="5"/>
  <c r="H83" i="5"/>
  <c r="I83" i="5"/>
  <c r="H202" i="5"/>
  <c r="I202" i="5"/>
  <c r="H18" i="5"/>
  <c r="I79" i="5"/>
  <c r="I353" i="5"/>
  <c r="H353" i="5"/>
  <c r="H168" i="5"/>
  <c r="I168" i="5"/>
  <c r="H227" i="5"/>
  <c r="I227" i="5"/>
  <c r="I186" i="5"/>
  <c r="H186" i="5"/>
  <c r="H265" i="5"/>
  <c r="I265" i="5"/>
  <c r="H288" i="5"/>
  <c r="I288" i="5"/>
  <c r="I185" i="5"/>
  <c r="H185" i="5"/>
  <c r="I277" i="5"/>
  <c r="I324" i="5"/>
  <c r="H324" i="5"/>
  <c r="I264" i="5"/>
  <c r="H264" i="5"/>
  <c r="I223" i="5"/>
  <c r="H223" i="5"/>
  <c r="I126" i="5"/>
  <c r="H126" i="5"/>
  <c r="I347" i="5"/>
  <c r="H323" i="5"/>
  <c r="I323" i="5"/>
  <c r="H251" i="5"/>
  <c r="I251" i="5"/>
  <c r="H11" i="5"/>
  <c r="I11" i="5"/>
  <c r="I259" i="5"/>
  <c r="H259" i="5"/>
  <c r="H245" i="5"/>
  <c r="I191" i="5"/>
  <c r="I23" i="5"/>
  <c r="H297" i="5"/>
  <c r="I297" i="5"/>
  <c r="I225" i="5"/>
  <c r="H225" i="5"/>
  <c r="H165" i="5"/>
  <c r="I165" i="5"/>
  <c r="I141" i="5"/>
  <c r="H141" i="5"/>
  <c r="H93" i="5"/>
  <c r="I93" i="5"/>
  <c r="I45" i="5"/>
  <c r="H45" i="5"/>
  <c r="I342" i="5"/>
  <c r="I189" i="5"/>
  <c r="I107" i="5"/>
  <c r="I341" i="5"/>
  <c r="H341" i="5"/>
  <c r="I257" i="5"/>
  <c r="H257" i="5"/>
  <c r="I337" i="5"/>
  <c r="I187" i="5"/>
  <c r="I19" i="5"/>
  <c r="H175" i="5"/>
  <c r="I175" i="5"/>
  <c r="I103" i="5"/>
  <c r="H103" i="5"/>
  <c r="H213" i="5"/>
  <c r="I137" i="5"/>
  <c r="H137" i="5"/>
  <c r="H211" i="5"/>
  <c r="H355" i="5"/>
  <c r="I355" i="5"/>
  <c r="H283" i="5"/>
  <c r="H114" i="5"/>
  <c r="H17" i="5"/>
  <c r="I310" i="5"/>
  <c r="I72" i="5"/>
  <c r="I329" i="5"/>
  <c r="H329" i="5"/>
  <c r="I228" i="5"/>
  <c r="H228" i="5"/>
  <c r="H131" i="5"/>
  <c r="I131" i="5"/>
  <c r="I65" i="5"/>
  <c r="H65" i="5"/>
  <c r="I266" i="5"/>
  <c r="H266" i="5"/>
  <c r="H289" i="5"/>
  <c r="I289" i="5"/>
  <c r="I210" i="5"/>
  <c r="H210" i="5"/>
  <c r="H167" i="5"/>
  <c r="I167" i="5"/>
  <c r="H130" i="5"/>
  <c r="I130" i="5"/>
  <c r="H349" i="5"/>
  <c r="I349" i="5"/>
  <c r="H133" i="5"/>
  <c r="I133" i="5"/>
  <c r="H226" i="5"/>
  <c r="I226" i="5"/>
  <c r="I209" i="5"/>
  <c r="H209" i="5"/>
  <c r="I127" i="5"/>
  <c r="H127" i="5"/>
  <c r="I205" i="5"/>
  <c r="I336" i="5"/>
  <c r="H336" i="5"/>
  <c r="H192" i="5"/>
  <c r="I192" i="5"/>
  <c r="H120" i="5"/>
  <c r="I120" i="5"/>
  <c r="H287" i="5"/>
  <c r="I287" i="5"/>
  <c r="H335" i="5"/>
  <c r="I335" i="5"/>
  <c r="H263" i="5"/>
  <c r="I263" i="5"/>
  <c r="H179" i="5"/>
  <c r="I179" i="5"/>
  <c r="H71" i="5"/>
  <c r="I71" i="5"/>
  <c r="I24" i="5"/>
  <c r="H250" i="5"/>
  <c r="I250" i="5"/>
  <c r="H178" i="5"/>
  <c r="I178" i="5"/>
  <c r="H82" i="5"/>
  <c r="I82" i="5"/>
  <c r="H34" i="5"/>
  <c r="I34" i="5"/>
  <c r="I317" i="5"/>
  <c r="H317" i="5"/>
  <c r="I343" i="5"/>
  <c r="I109" i="5"/>
  <c r="I309" i="5"/>
  <c r="H309" i="5"/>
  <c r="H261" i="5"/>
  <c r="I261" i="5"/>
  <c r="H201" i="5"/>
  <c r="I201" i="5"/>
  <c r="H177" i="5"/>
  <c r="I177" i="5"/>
  <c r="H129" i="5"/>
  <c r="I129" i="5"/>
  <c r="H57" i="5"/>
  <c r="I57" i="5"/>
  <c r="I258" i="5"/>
  <c r="H258" i="5"/>
  <c r="I271" i="5"/>
  <c r="I21" i="5"/>
  <c r="H139" i="5"/>
  <c r="I139" i="5"/>
  <c r="I270" i="5"/>
  <c r="I106" i="5"/>
  <c r="I307" i="5"/>
  <c r="H307" i="5"/>
  <c r="H295" i="5"/>
  <c r="I295" i="5"/>
  <c r="I138" i="5"/>
  <c r="H138" i="5"/>
  <c r="I30" i="5"/>
  <c r="H30" i="5"/>
  <c r="H285" i="5"/>
  <c r="I81" i="5"/>
  <c r="I306" i="5"/>
  <c r="H306" i="5"/>
  <c r="I234" i="5"/>
  <c r="H234" i="5"/>
  <c r="I174" i="5"/>
  <c r="H174" i="5"/>
  <c r="I102" i="5"/>
  <c r="H102" i="5"/>
  <c r="I6" i="5"/>
  <c r="H6" i="5"/>
  <c r="H354" i="5"/>
  <c r="I354" i="5"/>
  <c r="I66" i="5"/>
  <c r="H66" i="5"/>
  <c r="H282" i="5"/>
  <c r="H199" i="5"/>
  <c r="H113" i="5"/>
  <c r="H9" i="5"/>
  <c r="I61" i="5"/>
  <c r="H43" i="5"/>
  <c r="H89" i="5"/>
  <c r="I294" i="5"/>
  <c r="I91" i="5"/>
  <c r="H128" i="5"/>
  <c r="H41" i="5"/>
  <c r="I233" i="5"/>
  <c r="H233" i="5"/>
  <c r="H222" i="5"/>
  <c r="H80" i="5"/>
  <c r="H90" i="5"/>
  <c r="H224" i="5"/>
  <c r="H42" i="5"/>
  <c r="H305" i="5"/>
  <c r="H221" i="5"/>
  <c r="H176" i="5"/>
  <c r="H32" i="5"/>
  <c r="H364" i="5"/>
  <c r="I364" i="5"/>
  <c r="H316" i="5"/>
  <c r="I316" i="5"/>
  <c r="I232" i="5"/>
  <c r="H232" i="5"/>
  <c r="I136" i="5"/>
  <c r="H136" i="5"/>
  <c r="I4" i="5"/>
  <c r="H4" i="5"/>
  <c r="H350" i="5"/>
  <c r="H308" i="5"/>
  <c r="H269" i="5"/>
  <c r="H206" i="5"/>
  <c r="H182" i="5"/>
  <c r="H158" i="5"/>
  <c r="H134" i="5"/>
  <c r="H110" i="5"/>
  <c r="H86" i="5"/>
  <c r="H62" i="5"/>
  <c r="H38" i="5"/>
  <c r="H14" i="5"/>
  <c r="I334" i="5"/>
  <c r="I204" i="5"/>
  <c r="I180" i="5"/>
  <c r="I156" i="5"/>
  <c r="I132" i="5"/>
  <c r="I108" i="5"/>
  <c r="I84" i="5"/>
  <c r="I60" i="5"/>
  <c r="I36" i="5"/>
  <c r="H340" i="5"/>
  <c r="I340" i="5"/>
  <c r="H292" i="5"/>
  <c r="I292" i="5"/>
  <c r="I268" i="5"/>
  <c r="H268" i="5"/>
  <c r="I244" i="5"/>
  <c r="H244" i="5"/>
  <c r="I196" i="5"/>
  <c r="H196" i="5"/>
  <c r="I172" i="5"/>
  <c r="H172" i="5"/>
  <c r="I148" i="5"/>
  <c r="H148" i="5"/>
  <c r="I112" i="5"/>
  <c r="H112" i="5"/>
  <c r="I88" i="5"/>
  <c r="H88" i="5"/>
  <c r="I76" i="5"/>
  <c r="H76" i="5"/>
  <c r="I64" i="5"/>
  <c r="H64" i="5"/>
  <c r="I52" i="5"/>
  <c r="H52" i="5"/>
  <c r="I28" i="5"/>
  <c r="H28" i="5"/>
  <c r="H344" i="5"/>
  <c r="H13" i="5"/>
  <c r="I13" i="5"/>
  <c r="H302" i="5"/>
  <c r="H260" i="5"/>
  <c r="I325" i="5"/>
  <c r="I286" i="5"/>
  <c r="H352" i="5"/>
  <c r="I352" i="5"/>
  <c r="H304" i="5"/>
  <c r="I304" i="5"/>
  <c r="I220" i="5"/>
  <c r="H220" i="5"/>
  <c r="I124" i="5"/>
  <c r="H124" i="5"/>
  <c r="I40" i="5"/>
  <c r="H40" i="5"/>
  <c r="H242" i="5"/>
  <c r="H362" i="5"/>
  <c r="H320" i="5"/>
  <c r="H281" i="5"/>
  <c r="H218" i="5"/>
  <c r="H197" i="5"/>
  <c r="H173" i="5"/>
  <c r="H149" i="5"/>
  <c r="H125" i="5"/>
  <c r="H101" i="5"/>
  <c r="H77" i="5"/>
  <c r="H53" i="5"/>
  <c r="H29" i="5"/>
  <c r="H5" i="5"/>
  <c r="I346" i="5"/>
  <c r="I241" i="5"/>
  <c r="I217" i="5"/>
  <c r="I193" i="5"/>
  <c r="I169" i="5"/>
  <c r="I145" i="5"/>
  <c r="I121" i="5"/>
  <c r="I97" i="5"/>
  <c r="I73" i="5"/>
  <c r="I49" i="5"/>
  <c r="I25" i="5"/>
  <c r="H278" i="5"/>
  <c r="H236" i="5"/>
  <c r="H194" i="5"/>
  <c r="H170" i="5"/>
  <c r="H146" i="5"/>
  <c r="H122" i="5"/>
  <c r="H98" i="5"/>
  <c r="H74" i="5"/>
  <c r="H50" i="5"/>
  <c r="H26" i="5"/>
  <c r="I262" i="5"/>
  <c r="I10" i="5"/>
  <c r="H10" i="5"/>
  <c r="H338" i="5"/>
  <c r="H296" i="5"/>
  <c r="I322" i="5"/>
  <c r="H356" i="5"/>
  <c r="H254" i="5"/>
  <c r="H212" i="5"/>
  <c r="H188" i="5"/>
  <c r="H164" i="5"/>
  <c r="H140" i="5"/>
  <c r="H116" i="5"/>
  <c r="H92" i="5"/>
  <c r="H68" i="5"/>
  <c r="H44" i="5"/>
  <c r="H20" i="5"/>
  <c r="I238" i="5"/>
  <c r="I214" i="5"/>
  <c r="I190" i="5"/>
  <c r="I166" i="5"/>
  <c r="I142" i="5"/>
  <c r="I118" i="5"/>
  <c r="I94" i="5"/>
  <c r="I70" i="5"/>
  <c r="I46" i="5"/>
  <c r="I22" i="5"/>
  <c r="H314" i="5"/>
  <c r="H272" i="5"/>
  <c r="I298" i="5"/>
  <c r="H332" i="5"/>
  <c r="H230" i="5"/>
  <c r="I358" i="5"/>
  <c r="I253" i="5"/>
  <c r="H328" i="5"/>
  <c r="I328" i="5"/>
  <c r="I280" i="5"/>
  <c r="H280" i="5"/>
  <c r="I256" i="5"/>
  <c r="H256" i="5"/>
  <c r="I208" i="5"/>
  <c r="H208" i="5"/>
  <c r="I184" i="5"/>
  <c r="H184" i="5"/>
  <c r="I160" i="5"/>
  <c r="H160" i="5"/>
  <c r="I100" i="5"/>
  <c r="H100" i="5"/>
  <c r="I16" i="5"/>
  <c r="H16" i="5"/>
  <c r="H290" i="5"/>
  <c r="H248" i="5"/>
  <c r="I274" i="5"/>
  <c r="H12" i="5"/>
  <c r="I363" i="5"/>
  <c r="I351" i="5"/>
  <c r="I339" i="5"/>
  <c r="I327" i="5"/>
  <c r="I315" i="5"/>
  <c r="I303" i="5"/>
  <c r="I291" i="5"/>
  <c r="I279" i="5"/>
  <c r="I267" i="5"/>
  <c r="I255" i="5"/>
  <c r="I243" i="5"/>
  <c r="I231" i="5"/>
  <c r="I219" i="5"/>
  <c r="I207" i="5"/>
  <c r="I195" i="5"/>
  <c r="I183" i="5"/>
  <c r="I171" i="5"/>
  <c r="I159" i="5"/>
  <c r="I147" i="5"/>
  <c r="I135" i="5"/>
  <c r="I123" i="5"/>
  <c r="I111" i="5"/>
  <c r="I99" i="5"/>
  <c r="I87" i="5"/>
  <c r="I75" i="5"/>
  <c r="I63" i="5"/>
  <c r="I51" i="5"/>
  <c r="I39" i="5"/>
  <c r="I27" i="5"/>
  <c r="I15" i="5"/>
  <c r="I3" i="5"/>
  <c r="I2" i="5"/>
  <c r="H2" i="5"/>
  <c r="G2" i="11"/>
  <c r="F2" i="11"/>
  <c r="G3" i="11"/>
  <c r="F3" i="11"/>
  <c r="G2" i="10"/>
  <c r="F2" i="10"/>
  <c r="D3" i="10"/>
  <c r="E3" i="10" s="1"/>
  <c r="G3" i="9"/>
  <c r="F3" i="9"/>
  <c r="G2" i="9"/>
  <c r="F2" i="9"/>
  <c r="F2" i="8"/>
  <c r="G2" i="8"/>
  <c r="E4" i="8"/>
  <c r="E3" i="8"/>
  <c r="F2" i="3"/>
  <c r="G2" i="3"/>
  <c r="W13" i="5"/>
  <c r="Y13" i="5" s="1"/>
  <c r="W10" i="5"/>
  <c r="Y10" i="5" s="1"/>
  <c r="W17" i="5"/>
  <c r="Y17" i="5" s="1"/>
  <c r="W14" i="5"/>
  <c r="Y14" i="5" s="1"/>
  <c r="W8" i="5"/>
  <c r="Y8" i="5" s="1"/>
  <c r="W11" i="5"/>
  <c r="Y11" i="5" s="1"/>
  <c r="W18" i="5"/>
  <c r="Y18" i="5" s="1"/>
  <c r="W15" i="5"/>
  <c r="Y15" i="5" s="1"/>
  <c r="W12" i="5"/>
  <c r="Y12" i="5" s="1"/>
  <c r="W9" i="5"/>
  <c r="Y9" i="5" s="1"/>
  <c r="W19" i="5"/>
  <c r="Y19" i="5" s="1"/>
  <c r="E450" i="12"/>
  <c r="E378" i="12"/>
  <c r="E389" i="12"/>
  <c r="E400" i="12"/>
  <c r="E411" i="12"/>
  <c r="D434" i="12"/>
  <c r="D457" i="12"/>
  <c r="D385" i="12"/>
  <c r="D408" i="12"/>
  <c r="D431" i="12"/>
  <c r="E454" i="12"/>
  <c r="E382" i="12"/>
  <c r="E405" i="12"/>
  <c r="E428" i="12"/>
  <c r="E451" i="12"/>
  <c r="E379" i="12"/>
  <c r="D450" i="12"/>
  <c r="D378" i="12"/>
  <c r="D389" i="12"/>
  <c r="D400" i="12"/>
  <c r="D411" i="12"/>
  <c r="E434" i="12"/>
  <c r="E457" i="12"/>
  <c r="E385" i="12"/>
  <c r="E408" i="12"/>
  <c r="E431" i="12"/>
  <c r="D454" i="12"/>
  <c r="D382" i="12"/>
  <c r="D405" i="12"/>
  <c r="D428" i="12"/>
  <c r="D451" i="12"/>
  <c r="D379" i="12"/>
  <c r="E438" i="12"/>
  <c r="E449" i="12"/>
  <c r="E377" i="12"/>
  <c r="E388" i="12"/>
  <c r="E399" i="12"/>
  <c r="D422" i="12"/>
  <c r="D445" i="12"/>
  <c r="D373" i="12"/>
  <c r="D396" i="12"/>
  <c r="D419" i="12"/>
  <c r="E442" i="12"/>
  <c r="E370" i="12"/>
  <c r="E393" i="12"/>
  <c r="E416" i="12"/>
  <c r="E439" i="12"/>
  <c r="E367" i="12"/>
  <c r="D438" i="12"/>
  <c r="D449" i="12"/>
  <c r="D377" i="12"/>
  <c r="D388" i="12"/>
  <c r="D399" i="12"/>
  <c r="E422" i="12"/>
  <c r="E445" i="12"/>
  <c r="E373" i="12"/>
  <c r="E396" i="12"/>
  <c r="E419" i="12"/>
  <c r="D442" i="12"/>
  <c r="D370" i="12"/>
  <c r="D393" i="12"/>
  <c r="D416" i="12"/>
  <c r="D439" i="12"/>
  <c r="D367" i="12"/>
  <c r="E426" i="12"/>
  <c r="E437" i="12"/>
  <c r="E448" i="12"/>
  <c r="E376" i="12"/>
  <c r="E387" i="12"/>
  <c r="D410" i="12"/>
  <c r="D433" i="12"/>
  <c r="D456" i="12"/>
  <c r="D384" i="12"/>
  <c r="D407" i="12"/>
  <c r="E430" i="12"/>
  <c r="E453" i="12"/>
  <c r="E381" i="12"/>
  <c r="E404" i="12"/>
  <c r="E427" i="12"/>
  <c r="D426" i="12"/>
  <c r="D437" i="12"/>
  <c r="D448" i="12"/>
  <c r="D376" i="12"/>
  <c r="D387" i="12"/>
  <c r="E410" i="12"/>
  <c r="E433" i="12"/>
  <c r="E456" i="12"/>
  <c r="E384" i="12"/>
  <c r="E407" i="12"/>
  <c r="D430" i="12"/>
  <c r="D453" i="12"/>
  <c r="D381" i="12"/>
  <c r="D404" i="12"/>
  <c r="D427" i="12"/>
  <c r="E414" i="12"/>
  <c r="E425" i="12"/>
  <c r="E436" i="12"/>
  <c r="E447" i="12"/>
  <c r="E375" i="12"/>
  <c r="D398" i="12"/>
  <c r="D421" i="12"/>
  <c r="D444" i="12"/>
  <c r="D372" i="12"/>
  <c r="D395" i="12"/>
  <c r="E418" i="12"/>
  <c r="E441" i="12"/>
  <c r="E369" i="12"/>
  <c r="E392" i="12"/>
  <c r="E415" i="12"/>
  <c r="D414" i="12"/>
  <c r="D425" i="12"/>
  <c r="D436" i="12"/>
  <c r="D447" i="12"/>
  <c r="D375" i="12"/>
  <c r="E398" i="12"/>
  <c r="E421" i="12"/>
  <c r="E444" i="12"/>
  <c r="E372" i="12"/>
  <c r="E395" i="12"/>
  <c r="D418" i="12"/>
  <c r="D441" i="12"/>
  <c r="D369" i="12"/>
  <c r="D392" i="12"/>
  <c r="D415" i="12"/>
  <c r="E402" i="12"/>
  <c r="E413" i="12"/>
  <c r="E424" i="12"/>
  <c r="E435" i="12"/>
  <c r="D458" i="12"/>
  <c r="D386" i="12"/>
  <c r="D409" i="12"/>
  <c r="D432" i="12"/>
  <c r="D455" i="12"/>
  <c r="D383" i="12"/>
  <c r="E406" i="12"/>
  <c r="E429" i="12"/>
  <c r="E452" i="12"/>
  <c r="E380" i="12"/>
  <c r="E403" i="12"/>
  <c r="D402" i="12"/>
  <c r="D413" i="12"/>
  <c r="D424" i="12"/>
  <c r="D435" i="12"/>
  <c r="E458" i="12"/>
  <c r="E386" i="12"/>
  <c r="E409" i="12"/>
  <c r="E432" i="12"/>
  <c r="E455" i="12"/>
  <c r="E383" i="12"/>
  <c r="D406" i="12"/>
  <c r="D429" i="12"/>
  <c r="D452" i="12"/>
  <c r="D380" i="12"/>
  <c r="D403" i="12"/>
  <c r="E390" i="12"/>
  <c r="E401" i="12"/>
  <c r="E412" i="12"/>
  <c r="E423" i="12"/>
  <c r="D446" i="12"/>
  <c r="D374" i="12"/>
  <c r="D397" i="12"/>
  <c r="D420" i="12"/>
  <c r="D443" i="12"/>
  <c r="D371" i="12"/>
  <c r="E394" i="12"/>
  <c r="E417" i="12"/>
  <c r="E440" i="12"/>
  <c r="E368" i="12"/>
  <c r="E391" i="12"/>
  <c r="D390" i="12"/>
  <c r="D401" i="12"/>
  <c r="D412" i="12"/>
  <c r="D423" i="12"/>
  <c r="E446" i="12"/>
  <c r="E374" i="12"/>
  <c r="E397" i="12"/>
  <c r="E420" i="12"/>
  <c r="E443" i="12"/>
  <c r="E371" i="12"/>
  <c r="D394" i="12"/>
  <c r="D417" i="12"/>
  <c r="D440" i="12"/>
  <c r="D368" i="12"/>
  <c r="D391" i="12"/>
  <c r="O10" i="5" l="1"/>
  <c r="O11" i="5" s="1"/>
  <c r="O9" i="5"/>
  <c r="D4" i="11"/>
  <c r="E4" i="11" s="1"/>
  <c r="F3" i="10"/>
  <c r="G3" i="10"/>
  <c r="D4" i="10"/>
  <c r="E4" i="10" s="1"/>
  <c r="D4" i="9"/>
  <c r="E4" i="9" s="1"/>
  <c r="G3" i="8"/>
  <c r="F3" i="8"/>
  <c r="G4" i="8"/>
  <c r="F4" i="8"/>
  <c r="E5" i="8"/>
  <c r="G4" i="11" l="1"/>
  <c r="F4" i="11"/>
  <c r="D5" i="11"/>
  <c r="E5" i="11" s="1"/>
  <c r="D5" i="10"/>
  <c r="E5" i="10" s="1"/>
  <c r="F4" i="10"/>
  <c r="G4" i="10"/>
  <c r="D5" i="9"/>
  <c r="E5" i="9" s="1"/>
  <c r="G4" i="9"/>
  <c r="F4" i="9"/>
  <c r="E6" i="8"/>
  <c r="G5" i="8"/>
  <c r="F5" i="8"/>
  <c r="D6" i="11" l="1"/>
  <c r="E6" i="11" s="1"/>
  <c r="F5" i="11"/>
  <c r="G5" i="11"/>
  <c r="G5" i="10"/>
  <c r="F5" i="10"/>
  <c r="D6" i="10"/>
  <c r="E6" i="10" s="1"/>
  <c r="F5" i="9"/>
  <c r="G5" i="9"/>
  <c r="D6" i="9"/>
  <c r="E6" i="9" s="1"/>
  <c r="G6" i="8"/>
  <c r="F6" i="8"/>
  <c r="E7" i="8"/>
  <c r="D7" i="11" l="1"/>
  <c r="E7" i="11" s="1"/>
  <c r="G6" i="11"/>
  <c r="F6" i="11"/>
  <c r="F6" i="10"/>
  <c r="G6" i="10"/>
  <c r="D7" i="10"/>
  <c r="E7" i="10" s="1"/>
  <c r="G6" i="9"/>
  <c r="F6" i="9"/>
  <c r="D7" i="9"/>
  <c r="E7" i="9" s="1"/>
  <c r="G7" i="8"/>
  <c r="F7" i="8"/>
  <c r="E8" i="8"/>
  <c r="G7" i="11" l="1"/>
  <c r="F7" i="11"/>
  <c r="D8" i="11"/>
  <c r="E8" i="11" s="1"/>
  <c r="D8" i="10"/>
  <c r="E8" i="10" s="1"/>
  <c r="F7" i="10"/>
  <c r="G7" i="10"/>
  <c r="D8" i="9"/>
  <c r="E8" i="9" s="1"/>
  <c r="G7" i="9"/>
  <c r="F7" i="9"/>
  <c r="G8" i="8"/>
  <c r="F8" i="8"/>
  <c r="E9" i="8"/>
  <c r="G8" i="11" l="1"/>
  <c r="F8" i="11"/>
  <c r="D9" i="11"/>
  <c r="E9" i="11" s="1"/>
  <c r="G8" i="10"/>
  <c r="F8" i="10"/>
  <c r="D9" i="10"/>
  <c r="E9" i="10" s="1"/>
  <c r="G8" i="9"/>
  <c r="F8" i="9"/>
  <c r="D9" i="9"/>
  <c r="E9" i="9" s="1"/>
  <c r="E10" i="8"/>
  <c r="G9" i="8"/>
  <c r="F9" i="8"/>
  <c r="G9" i="11" l="1"/>
  <c r="F9" i="11"/>
  <c r="D10" i="11"/>
  <c r="E10" i="11" s="1"/>
  <c r="G9" i="10"/>
  <c r="F9" i="10"/>
  <c r="D10" i="10"/>
  <c r="E10" i="10" s="1"/>
  <c r="G9" i="9"/>
  <c r="F9" i="9"/>
  <c r="D10" i="9"/>
  <c r="E10" i="9" s="1"/>
  <c r="G10" i="8"/>
  <c r="F10" i="8"/>
  <c r="E11" i="8"/>
  <c r="G10" i="11" l="1"/>
  <c r="F10" i="11"/>
  <c r="D11" i="11"/>
  <c r="E11" i="11" s="1"/>
  <c r="D11" i="10"/>
  <c r="E11" i="10" s="1"/>
  <c r="G10" i="10"/>
  <c r="F10" i="10"/>
  <c r="D11" i="9"/>
  <c r="E11" i="9" s="1"/>
  <c r="G10" i="9"/>
  <c r="F10" i="9"/>
  <c r="G11" i="8"/>
  <c r="F11" i="8"/>
  <c r="E12" i="8"/>
  <c r="G11" i="11" l="1"/>
  <c r="F11" i="11"/>
  <c r="D12" i="11"/>
  <c r="E12" i="11" s="1"/>
  <c r="G11" i="10"/>
  <c r="F11" i="10"/>
  <c r="D12" i="10"/>
  <c r="E12" i="10" s="1"/>
  <c r="D12" i="9"/>
  <c r="E12" i="9" s="1"/>
  <c r="G11" i="9"/>
  <c r="F11" i="9"/>
  <c r="G12" i="8"/>
  <c r="F12" i="8"/>
  <c r="E13" i="8"/>
  <c r="G12" i="11" l="1"/>
  <c r="F12" i="11"/>
  <c r="D13" i="11"/>
  <c r="E13" i="11" s="1"/>
  <c r="G12" i="10"/>
  <c r="F12" i="10"/>
  <c r="D13" i="10"/>
  <c r="E13" i="10" s="1"/>
  <c r="G12" i="9"/>
  <c r="F12" i="9"/>
  <c r="D13" i="9"/>
  <c r="E13" i="9" s="1"/>
  <c r="G13" i="8"/>
  <c r="F13" i="8"/>
  <c r="E14" i="8"/>
  <c r="D14" i="11" l="1"/>
  <c r="E14" i="11" s="1"/>
  <c r="F13" i="11"/>
  <c r="G13" i="11"/>
  <c r="D14" i="10"/>
  <c r="E14" i="10" s="1"/>
  <c r="G13" i="10"/>
  <c r="F13" i="10"/>
  <c r="F13" i="9"/>
  <c r="G13" i="9"/>
  <c r="D14" i="9"/>
  <c r="E14" i="9" s="1"/>
  <c r="E15" i="8"/>
  <c r="G14" i="8"/>
  <c r="F14" i="8"/>
  <c r="F14" i="11" l="1"/>
  <c r="G14" i="11"/>
  <c r="D15" i="11"/>
  <c r="E15" i="11" s="1"/>
  <c r="G14" i="10"/>
  <c r="F14" i="10"/>
  <c r="D15" i="10"/>
  <c r="E15" i="10" s="1"/>
  <c r="D15" i="9"/>
  <c r="E15" i="9" s="1"/>
  <c r="G14" i="9"/>
  <c r="F14" i="9"/>
  <c r="G15" i="8"/>
  <c r="F15" i="8"/>
  <c r="E16" i="8"/>
  <c r="G15" i="11" l="1"/>
  <c r="F15" i="11"/>
  <c r="D16" i="11"/>
  <c r="E16" i="11" s="1"/>
  <c r="D16" i="10"/>
  <c r="E16" i="10" s="1"/>
  <c r="G15" i="10"/>
  <c r="F15" i="10"/>
  <c r="D16" i="9"/>
  <c r="E16" i="9" s="1"/>
  <c r="F15" i="9"/>
  <c r="G15" i="9"/>
  <c r="E17" i="8"/>
  <c r="F16" i="8"/>
  <c r="G16" i="8"/>
  <c r="D17" i="11" l="1"/>
  <c r="E17" i="11" s="1"/>
  <c r="F16" i="11"/>
  <c r="G16" i="11"/>
  <c r="D17" i="10"/>
  <c r="E17" i="10" s="1"/>
  <c r="G16" i="10"/>
  <c r="F16" i="10"/>
  <c r="D17" i="9"/>
  <c r="E17" i="9" s="1"/>
  <c r="G16" i="9"/>
  <c r="F16" i="9"/>
  <c r="G17" i="8"/>
  <c r="F17" i="8"/>
  <c r="E18" i="8"/>
  <c r="D18" i="11" l="1"/>
  <c r="E18" i="11" s="1"/>
  <c r="G17" i="11"/>
  <c r="F17" i="11"/>
  <c r="D18" i="10"/>
  <c r="E18" i="10" s="1"/>
  <c r="G17" i="10"/>
  <c r="F17" i="10"/>
  <c r="G17" i="9"/>
  <c r="F17" i="9"/>
  <c r="D18" i="9"/>
  <c r="E18" i="9" s="1"/>
  <c r="G18" i="8"/>
  <c r="F18" i="8"/>
  <c r="E19" i="8"/>
  <c r="D19" i="11" l="1"/>
  <c r="E19" i="11" s="1"/>
  <c r="F18" i="11"/>
  <c r="G18" i="11"/>
  <c r="G18" i="10"/>
  <c r="F18" i="10"/>
  <c r="D19" i="10"/>
  <c r="E19" i="10" s="1"/>
  <c r="G18" i="9"/>
  <c r="F18" i="9"/>
  <c r="D19" i="9"/>
  <c r="E19" i="9" s="1"/>
  <c r="G19" i="8"/>
  <c r="F19" i="8"/>
  <c r="E20" i="8"/>
  <c r="G19" i="11" l="1"/>
  <c r="F19" i="11"/>
  <c r="D20" i="11"/>
  <c r="E20" i="11" s="1"/>
  <c r="F19" i="10"/>
  <c r="G19" i="10"/>
  <c r="D20" i="10"/>
  <c r="E20" i="10" s="1"/>
  <c r="D20" i="9"/>
  <c r="E20" i="9" s="1"/>
  <c r="G19" i="9"/>
  <c r="F19" i="9"/>
  <c r="G20" i="8"/>
  <c r="F20" i="8"/>
  <c r="E21" i="8"/>
  <c r="G20" i="11" l="1"/>
  <c r="F20" i="11"/>
  <c r="D21" i="11"/>
  <c r="E21" i="11" s="1"/>
  <c r="D21" i="10"/>
  <c r="E21" i="10" s="1"/>
  <c r="G20" i="10"/>
  <c r="F20" i="10"/>
  <c r="G20" i="9"/>
  <c r="F20" i="9"/>
  <c r="D21" i="9"/>
  <c r="E21" i="9" s="1"/>
  <c r="E22" i="8"/>
  <c r="G21" i="8"/>
  <c r="F21" i="8"/>
  <c r="D22" i="11" l="1"/>
  <c r="E22" i="11" s="1"/>
  <c r="G21" i="11"/>
  <c r="F21" i="11"/>
  <c r="G21" i="10"/>
  <c r="F21" i="10"/>
  <c r="D22" i="10"/>
  <c r="E22" i="10" s="1"/>
  <c r="D22" i="9"/>
  <c r="E22" i="9" s="1"/>
  <c r="F21" i="9"/>
  <c r="G21" i="9"/>
  <c r="G22" i="8"/>
  <c r="F22" i="8"/>
  <c r="E23" i="8"/>
  <c r="G22" i="11" l="1"/>
  <c r="F22" i="11"/>
  <c r="D23" i="11"/>
  <c r="E23" i="11" s="1"/>
  <c r="F22" i="10"/>
  <c r="G22" i="10"/>
  <c r="D23" i="10"/>
  <c r="E23" i="10" s="1"/>
  <c r="D23" i="9"/>
  <c r="E23" i="9" s="1"/>
  <c r="G22" i="9"/>
  <c r="F22" i="9"/>
  <c r="E24" i="8"/>
  <c r="G23" i="8"/>
  <c r="F23" i="8"/>
  <c r="G23" i="11" l="1"/>
  <c r="F23" i="11"/>
  <c r="D24" i="11"/>
  <c r="E24" i="11" s="1"/>
  <c r="G23" i="10"/>
  <c r="F23" i="10"/>
  <c r="D24" i="10"/>
  <c r="E24" i="10" s="1"/>
  <c r="G23" i="9"/>
  <c r="F23" i="9"/>
  <c r="D24" i="9"/>
  <c r="E24" i="9" s="1"/>
  <c r="G24" i="8"/>
  <c r="F24" i="8"/>
  <c r="E25" i="8"/>
  <c r="G24" i="11" l="1"/>
  <c r="F24" i="11"/>
  <c r="D25" i="11"/>
  <c r="E25" i="11" s="1"/>
  <c r="G24" i="10"/>
  <c r="F24" i="10"/>
  <c r="D25" i="10"/>
  <c r="E25" i="10" s="1"/>
  <c r="G24" i="9"/>
  <c r="F24" i="9"/>
  <c r="D25" i="9"/>
  <c r="E25" i="9" s="1"/>
  <c r="G25" i="8"/>
  <c r="F25" i="8"/>
  <c r="E26" i="8"/>
  <c r="D26" i="11" l="1"/>
  <c r="E26" i="11" s="1"/>
  <c r="F25" i="11"/>
  <c r="G25" i="11"/>
  <c r="F25" i="10"/>
  <c r="G25" i="10"/>
  <c r="D26" i="10"/>
  <c r="E26" i="10" s="1"/>
  <c r="F25" i="9"/>
  <c r="G25" i="9"/>
  <c r="D26" i="9"/>
  <c r="E26" i="9" s="1"/>
  <c r="E27" i="8"/>
  <c r="G26" i="8"/>
  <c r="F26" i="8"/>
  <c r="D27" i="11" l="1"/>
  <c r="E27" i="11" s="1"/>
  <c r="G26" i="11"/>
  <c r="F26" i="11"/>
  <c r="G26" i="10"/>
  <c r="F26" i="10"/>
  <c r="D27" i="10"/>
  <c r="E27" i="10" s="1"/>
  <c r="D27" i="9"/>
  <c r="E27" i="9" s="1"/>
  <c r="G26" i="9"/>
  <c r="F26" i="9"/>
  <c r="G27" i="8"/>
  <c r="F27" i="8"/>
  <c r="E28" i="8"/>
  <c r="G27" i="11" l="1"/>
  <c r="F27" i="11"/>
  <c r="D28" i="11"/>
  <c r="E28" i="11" s="1"/>
  <c r="D28" i="10"/>
  <c r="E28" i="10" s="1"/>
  <c r="G27" i="10"/>
  <c r="F27" i="10"/>
  <c r="F27" i="9"/>
  <c r="G27" i="9"/>
  <c r="D28" i="9"/>
  <c r="E28" i="9" s="1"/>
  <c r="E29" i="8"/>
  <c r="F28" i="8"/>
  <c r="G28" i="8"/>
  <c r="F28" i="11" l="1"/>
  <c r="G28" i="11"/>
  <c r="D29" i="11"/>
  <c r="E29" i="11" s="1"/>
  <c r="F28" i="10"/>
  <c r="G28" i="10"/>
  <c r="D29" i="10"/>
  <c r="E29" i="10" s="1"/>
  <c r="D29" i="9"/>
  <c r="E29" i="9" s="1"/>
  <c r="G28" i="9"/>
  <c r="F28" i="9"/>
  <c r="G29" i="8"/>
  <c r="F29" i="8"/>
  <c r="E30" i="8"/>
  <c r="G29" i="11" l="1"/>
  <c r="F29" i="11"/>
  <c r="D30" i="11"/>
  <c r="E30" i="11" s="1"/>
  <c r="D30" i="10"/>
  <c r="E30" i="10" s="1"/>
  <c r="G29" i="10"/>
  <c r="F29" i="10"/>
  <c r="G29" i="9"/>
  <c r="F29" i="9"/>
  <c r="D30" i="9"/>
  <c r="E30" i="9" s="1"/>
  <c r="G30" i="8"/>
  <c r="F30" i="8"/>
  <c r="E31" i="8"/>
  <c r="F30" i="11" l="1"/>
  <c r="G30" i="11"/>
  <c r="D31" i="11"/>
  <c r="E31" i="11" s="1"/>
  <c r="G30" i="10"/>
  <c r="F30" i="10"/>
  <c r="D31" i="10"/>
  <c r="E31" i="10" s="1"/>
  <c r="G30" i="9"/>
  <c r="F30" i="9"/>
  <c r="D31" i="9"/>
  <c r="E31" i="9" s="1"/>
  <c r="G31" i="8"/>
  <c r="F31" i="8"/>
  <c r="E32" i="8"/>
  <c r="G31" i="11" l="1"/>
  <c r="F31" i="11"/>
  <c r="D32" i="11"/>
  <c r="E32" i="11" s="1"/>
  <c r="F31" i="10"/>
  <c r="G31" i="10"/>
  <c r="D32" i="10"/>
  <c r="E32" i="10" s="1"/>
  <c r="D32" i="9"/>
  <c r="E32" i="9" s="1"/>
  <c r="G31" i="9"/>
  <c r="F31" i="9"/>
  <c r="G32" i="8"/>
  <c r="F32" i="8"/>
  <c r="E33" i="8"/>
  <c r="D33" i="11" l="1"/>
  <c r="E33" i="11" s="1"/>
  <c r="G32" i="11"/>
  <c r="F32" i="11"/>
  <c r="D33" i="10"/>
  <c r="E33" i="10" s="1"/>
  <c r="F32" i="10"/>
  <c r="G32" i="10"/>
  <c r="G32" i="9"/>
  <c r="F32" i="9"/>
  <c r="D33" i="9"/>
  <c r="E33" i="9" s="1"/>
  <c r="E34" i="8"/>
  <c r="G33" i="8"/>
  <c r="F33" i="8"/>
  <c r="G33" i="11" l="1"/>
  <c r="F33" i="11"/>
  <c r="D34" i="11"/>
  <c r="E34" i="11" s="1"/>
  <c r="G33" i="10"/>
  <c r="F33" i="10"/>
  <c r="D34" i="10"/>
  <c r="E34" i="10" s="1"/>
  <c r="D34" i="9"/>
  <c r="E34" i="9" s="1"/>
  <c r="F33" i="9"/>
  <c r="G33" i="9"/>
  <c r="G34" i="8"/>
  <c r="F34" i="8"/>
  <c r="E35" i="8"/>
  <c r="D35" i="11" l="1"/>
  <c r="E35" i="11" s="1"/>
  <c r="G34" i="11"/>
  <c r="F34" i="11"/>
  <c r="F34" i="10"/>
  <c r="G34" i="10"/>
  <c r="D35" i="10"/>
  <c r="E35" i="10" s="1"/>
  <c r="D35" i="9"/>
  <c r="E35" i="9" s="1"/>
  <c r="G34" i="9"/>
  <c r="F34" i="9"/>
  <c r="E36" i="8"/>
  <c r="G35" i="8"/>
  <c r="F35" i="8"/>
  <c r="D36" i="11" l="1"/>
  <c r="E36" i="11" s="1"/>
  <c r="G35" i="11"/>
  <c r="F35" i="11"/>
  <c r="D36" i="10"/>
  <c r="E36" i="10" s="1"/>
  <c r="F35" i="10"/>
  <c r="G35" i="10"/>
  <c r="G35" i="9"/>
  <c r="F35" i="9"/>
  <c r="D36" i="9"/>
  <c r="E36" i="9" s="1"/>
  <c r="G36" i="8"/>
  <c r="F36" i="8"/>
  <c r="E37" i="8"/>
  <c r="D37" i="11" l="1"/>
  <c r="E37" i="11" s="1"/>
  <c r="G36" i="11"/>
  <c r="F36" i="11"/>
  <c r="G36" i="10"/>
  <c r="F36" i="10"/>
  <c r="D37" i="10"/>
  <c r="E37" i="10" s="1"/>
  <c r="G36" i="9"/>
  <c r="F36" i="9"/>
  <c r="D37" i="9"/>
  <c r="E37" i="9" s="1"/>
  <c r="G37" i="8"/>
  <c r="F37" i="8"/>
  <c r="E38" i="8"/>
  <c r="F37" i="11" l="1"/>
  <c r="G37" i="11"/>
  <c r="D38" i="11"/>
  <c r="E38" i="11" s="1"/>
  <c r="G37" i="10"/>
  <c r="F37" i="10"/>
  <c r="D38" i="10"/>
  <c r="E38" i="10" s="1"/>
  <c r="G37" i="9"/>
  <c r="F37" i="9"/>
  <c r="D38" i="9"/>
  <c r="E38" i="9" s="1"/>
  <c r="E39" i="8"/>
  <c r="G38" i="8"/>
  <c r="F38" i="8"/>
  <c r="D39" i="11" l="1"/>
  <c r="E39" i="11" s="1"/>
  <c r="G38" i="11"/>
  <c r="F38" i="11"/>
  <c r="D39" i="10"/>
  <c r="E39" i="10" s="1"/>
  <c r="G38" i="10"/>
  <c r="F38" i="10"/>
  <c r="D39" i="9"/>
  <c r="E39" i="9" s="1"/>
  <c r="G38" i="9"/>
  <c r="F38" i="9"/>
  <c r="G39" i="8"/>
  <c r="F39" i="8"/>
  <c r="E40" i="8"/>
  <c r="G39" i="11" l="1"/>
  <c r="F39" i="11"/>
  <c r="D40" i="11"/>
  <c r="E40" i="11" s="1"/>
  <c r="D40" i="10"/>
  <c r="E40" i="10" s="1"/>
  <c r="G39" i="10"/>
  <c r="F39" i="10"/>
  <c r="F39" i="9"/>
  <c r="G39" i="9"/>
  <c r="D40" i="9"/>
  <c r="E40" i="9" s="1"/>
  <c r="G40" i="8"/>
  <c r="F40" i="8"/>
  <c r="E41" i="8"/>
  <c r="D41" i="11" l="1"/>
  <c r="E41" i="11" s="1"/>
  <c r="F40" i="11"/>
  <c r="G40" i="11"/>
  <c r="G40" i="10"/>
  <c r="F40" i="10"/>
  <c r="D41" i="10"/>
  <c r="E41" i="10" s="1"/>
  <c r="D41" i="9"/>
  <c r="E41" i="9" s="1"/>
  <c r="G40" i="9"/>
  <c r="F40" i="9"/>
  <c r="E42" i="8"/>
  <c r="F41" i="8"/>
  <c r="G41" i="8"/>
  <c r="G41" i="11" l="1"/>
  <c r="F41" i="11"/>
  <c r="D42" i="11"/>
  <c r="E42" i="11" s="1"/>
  <c r="D42" i="10"/>
  <c r="E42" i="10" s="1"/>
  <c r="G41" i="10"/>
  <c r="F41" i="10"/>
  <c r="G41" i="9"/>
  <c r="F41" i="9"/>
  <c r="D42" i="9"/>
  <c r="E42" i="9" s="1"/>
  <c r="G42" i="8"/>
  <c r="F42" i="8"/>
  <c r="E43" i="8"/>
  <c r="D43" i="11" l="1"/>
  <c r="E43" i="11" s="1"/>
  <c r="F42" i="11"/>
  <c r="G42" i="11"/>
  <c r="D43" i="10"/>
  <c r="E43" i="10" s="1"/>
  <c r="G42" i="10"/>
  <c r="F42" i="10"/>
  <c r="G42" i="9"/>
  <c r="F42" i="9"/>
  <c r="D43" i="9"/>
  <c r="E43" i="9" s="1"/>
  <c r="F43" i="8"/>
  <c r="G43" i="8"/>
  <c r="E44" i="8"/>
  <c r="D44" i="11" l="1"/>
  <c r="E44" i="11" s="1"/>
  <c r="G43" i="11"/>
  <c r="F43" i="11"/>
  <c r="F43" i="10"/>
  <c r="G43" i="10"/>
  <c r="D44" i="10"/>
  <c r="E44" i="10" s="1"/>
  <c r="D44" i="9"/>
  <c r="E44" i="9" s="1"/>
  <c r="G43" i="9"/>
  <c r="F43" i="9"/>
  <c r="E45" i="8"/>
  <c r="G44" i="8"/>
  <c r="F44" i="8"/>
  <c r="D45" i="11" l="1"/>
  <c r="E45" i="11" s="1"/>
  <c r="G44" i="11"/>
  <c r="F44" i="11"/>
  <c r="D45" i="10"/>
  <c r="E45" i="10" s="1"/>
  <c r="G44" i="10"/>
  <c r="F44" i="10"/>
  <c r="G44" i="9"/>
  <c r="F44" i="9"/>
  <c r="D45" i="9"/>
  <c r="E45" i="9" s="1"/>
  <c r="G45" i="8"/>
  <c r="F45" i="8"/>
  <c r="E46" i="8"/>
  <c r="G45" i="11" l="1"/>
  <c r="F45" i="11"/>
  <c r="D46" i="11"/>
  <c r="E46" i="11" s="1"/>
  <c r="G45" i="10"/>
  <c r="F45" i="10"/>
  <c r="D46" i="10"/>
  <c r="E46" i="10" s="1"/>
  <c r="D46" i="9"/>
  <c r="E46" i="9" s="1"/>
  <c r="F45" i="9"/>
  <c r="G45" i="9"/>
  <c r="G46" i="8"/>
  <c r="F46" i="8"/>
  <c r="E47" i="8"/>
  <c r="F46" i="11" l="1"/>
  <c r="G46" i="11"/>
  <c r="D47" i="11"/>
  <c r="E47" i="11" s="1"/>
  <c r="F46" i="10"/>
  <c r="G46" i="10"/>
  <c r="D47" i="10"/>
  <c r="E47" i="10" s="1"/>
  <c r="D47" i="9"/>
  <c r="E47" i="9" s="1"/>
  <c r="G46" i="9"/>
  <c r="F46" i="9"/>
  <c r="E48" i="8"/>
  <c r="G47" i="8"/>
  <c r="F47" i="8"/>
  <c r="D48" i="11" l="1"/>
  <c r="E48" i="11" s="1"/>
  <c r="G47" i="11"/>
  <c r="F47" i="11"/>
  <c r="G47" i="10"/>
  <c r="F47" i="10"/>
  <c r="D48" i="10"/>
  <c r="E48" i="10" s="1"/>
  <c r="G47" i="9"/>
  <c r="F47" i="9"/>
  <c r="D48" i="9"/>
  <c r="E48" i="9" s="1"/>
  <c r="E49" i="8"/>
  <c r="G48" i="8"/>
  <c r="F48" i="8"/>
  <c r="G48" i="11" l="1"/>
  <c r="F48" i="11"/>
  <c r="D49" i="11"/>
  <c r="E49" i="11" s="1"/>
  <c r="G48" i="10"/>
  <c r="F48" i="10"/>
  <c r="D49" i="10"/>
  <c r="E49" i="10" s="1"/>
  <c r="G48" i="9"/>
  <c r="F48" i="9"/>
  <c r="D49" i="9"/>
  <c r="E49" i="9" s="1"/>
  <c r="G49" i="8"/>
  <c r="F49" i="8"/>
  <c r="E50" i="8"/>
  <c r="F49" i="11" l="1"/>
  <c r="G49" i="11"/>
  <c r="D50" i="11"/>
  <c r="E50" i="11" s="1"/>
  <c r="G49" i="10"/>
  <c r="F49" i="10"/>
  <c r="D50" i="10"/>
  <c r="E50" i="10" s="1"/>
  <c r="F49" i="9"/>
  <c r="G49" i="9"/>
  <c r="D50" i="9"/>
  <c r="E50" i="9" s="1"/>
  <c r="G50" i="8"/>
  <c r="F50" i="8"/>
  <c r="E51" i="8"/>
  <c r="D51" i="11" l="1"/>
  <c r="E51" i="11" s="1"/>
  <c r="G50" i="11"/>
  <c r="F50" i="11"/>
  <c r="G50" i="10"/>
  <c r="F50" i="10"/>
  <c r="D51" i="10"/>
  <c r="E51" i="10" s="1"/>
  <c r="D51" i="9"/>
  <c r="E51" i="9" s="1"/>
  <c r="G50" i="9"/>
  <c r="F50" i="9"/>
  <c r="G51" i="8"/>
  <c r="F51" i="8"/>
  <c r="E52" i="8"/>
  <c r="G51" i="11" l="1"/>
  <c r="F51" i="11"/>
  <c r="D52" i="11"/>
  <c r="E52" i="11" s="1"/>
  <c r="D52" i="10"/>
  <c r="E52" i="10" s="1"/>
  <c r="G51" i="10"/>
  <c r="F51" i="10"/>
  <c r="F51" i="9"/>
  <c r="G51" i="9"/>
  <c r="D52" i="9"/>
  <c r="E52" i="9" s="1"/>
  <c r="G52" i="8"/>
  <c r="F52" i="8"/>
  <c r="E53" i="8"/>
  <c r="D53" i="11" l="1"/>
  <c r="E53" i="11" s="1"/>
  <c r="F52" i="11"/>
  <c r="G52" i="11"/>
  <c r="G52" i="10"/>
  <c r="F52" i="10"/>
  <c r="D53" i="10"/>
  <c r="E53" i="10" s="1"/>
  <c r="D53" i="9"/>
  <c r="E53" i="9" s="1"/>
  <c r="G52" i="9"/>
  <c r="F52" i="9"/>
  <c r="E54" i="8"/>
  <c r="G53" i="8"/>
  <c r="F53" i="8"/>
  <c r="G53" i="11" l="1"/>
  <c r="F53" i="11"/>
  <c r="D54" i="11"/>
  <c r="E54" i="11" s="1"/>
  <c r="D54" i="10"/>
  <c r="E54" i="10" s="1"/>
  <c r="G53" i="10"/>
  <c r="F53" i="10"/>
  <c r="G53" i="9"/>
  <c r="F53" i="9"/>
  <c r="D54" i="9"/>
  <c r="E54" i="9" s="1"/>
  <c r="G54" i="8"/>
  <c r="F54" i="8"/>
  <c r="E55" i="8"/>
  <c r="D55" i="11" l="1"/>
  <c r="E55" i="11" s="1"/>
  <c r="F54" i="11"/>
  <c r="G54" i="11"/>
  <c r="D55" i="10"/>
  <c r="E55" i="10" s="1"/>
  <c r="G54" i="10"/>
  <c r="F54" i="10"/>
  <c r="G54" i="9"/>
  <c r="F54" i="9"/>
  <c r="D55" i="9"/>
  <c r="E55" i="9" s="1"/>
  <c r="F55" i="8"/>
  <c r="G55" i="8"/>
  <c r="E56" i="8"/>
  <c r="G55" i="11" l="1"/>
  <c r="F55" i="11"/>
  <c r="D56" i="11"/>
  <c r="E56" i="11" s="1"/>
  <c r="F55" i="10"/>
  <c r="G55" i="10"/>
  <c r="D56" i="10"/>
  <c r="E56" i="10" s="1"/>
  <c r="D56" i="9"/>
  <c r="E56" i="9" s="1"/>
  <c r="G55" i="9"/>
  <c r="F55" i="9"/>
  <c r="G56" i="8"/>
  <c r="F56" i="8"/>
  <c r="E57" i="8"/>
  <c r="D57" i="11" l="1"/>
  <c r="E57" i="11" s="1"/>
  <c r="G56" i="11"/>
  <c r="F56" i="11"/>
  <c r="D57" i="10"/>
  <c r="E57" i="10" s="1"/>
  <c r="F56" i="10"/>
  <c r="G56" i="10"/>
  <c r="G56" i="9"/>
  <c r="F56" i="9"/>
  <c r="D57" i="9"/>
  <c r="E57" i="9" s="1"/>
  <c r="G57" i="8"/>
  <c r="F57" i="8"/>
  <c r="E58" i="8"/>
  <c r="G57" i="11" l="1"/>
  <c r="F57" i="11"/>
  <c r="D58" i="11"/>
  <c r="E58" i="11" s="1"/>
  <c r="G57" i="10"/>
  <c r="F57" i="10"/>
  <c r="D58" i="10"/>
  <c r="E58" i="10" s="1"/>
  <c r="D58" i="9"/>
  <c r="E58" i="9" s="1"/>
  <c r="F57" i="9"/>
  <c r="G57" i="9"/>
  <c r="E59" i="8"/>
  <c r="G58" i="8"/>
  <c r="F58" i="8"/>
  <c r="F58" i="11" l="1"/>
  <c r="G58" i="11"/>
  <c r="D59" i="11"/>
  <c r="E59" i="11" s="1"/>
  <c r="D59" i="10"/>
  <c r="E59" i="10" s="1"/>
  <c r="F58" i="10"/>
  <c r="G58" i="10"/>
  <c r="D59" i="9"/>
  <c r="E59" i="9" s="1"/>
  <c r="G58" i="9"/>
  <c r="F58" i="9"/>
  <c r="G59" i="8"/>
  <c r="F59" i="8"/>
  <c r="E60" i="8"/>
  <c r="D60" i="11" l="1"/>
  <c r="E60" i="11" s="1"/>
  <c r="G59" i="11"/>
  <c r="F59" i="11"/>
  <c r="F59" i="10"/>
  <c r="G59" i="10"/>
  <c r="D60" i="10"/>
  <c r="E60" i="10" s="1"/>
  <c r="G59" i="9"/>
  <c r="F59" i="9"/>
  <c r="D60" i="9"/>
  <c r="E60" i="9" s="1"/>
  <c r="E61" i="8"/>
  <c r="G60" i="8"/>
  <c r="F60" i="8"/>
  <c r="G60" i="11" l="1"/>
  <c r="F60" i="11"/>
  <c r="D61" i="11"/>
  <c r="E61" i="11" s="1"/>
  <c r="G60" i="10"/>
  <c r="F60" i="10"/>
  <c r="D61" i="10"/>
  <c r="E61" i="10" s="1"/>
  <c r="G60" i="9"/>
  <c r="F60" i="9"/>
  <c r="D61" i="9"/>
  <c r="E61" i="9" s="1"/>
  <c r="E62" i="8"/>
  <c r="F61" i="8"/>
  <c r="G61" i="8"/>
  <c r="F61" i="11" l="1"/>
  <c r="G61" i="11"/>
  <c r="D62" i="11"/>
  <c r="E62" i="11" s="1"/>
  <c r="D62" i="10"/>
  <c r="E62" i="10" s="1"/>
  <c r="G61" i="10"/>
  <c r="F61" i="10"/>
  <c r="G61" i="9"/>
  <c r="F61" i="9"/>
  <c r="D62" i="9"/>
  <c r="E62" i="9" s="1"/>
  <c r="G62" i="8"/>
  <c r="F62" i="8"/>
  <c r="E63" i="8"/>
  <c r="G62" i="11" l="1"/>
  <c r="F62" i="11"/>
  <c r="D63" i="11"/>
  <c r="E63" i="11" s="1"/>
  <c r="D63" i="10"/>
  <c r="E63" i="10" s="1"/>
  <c r="G62" i="10"/>
  <c r="F62" i="10"/>
  <c r="D63" i="9"/>
  <c r="E63" i="9" s="1"/>
  <c r="G62" i="9"/>
  <c r="F62" i="9"/>
  <c r="G63" i="8"/>
  <c r="F63" i="8"/>
  <c r="E64" i="8"/>
  <c r="G63" i="11" l="1"/>
  <c r="F63" i="11"/>
  <c r="D64" i="11"/>
  <c r="E64" i="11" s="1"/>
  <c r="D64" i="10"/>
  <c r="E64" i="10" s="1"/>
  <c r="G63" i="10"/>
  <c r="F63" i="10"/>
  <c r="F63" i="9"/>
  <c r="G63" i="9"/>
  <c r="D64" i="9"/>
  <c r="E64" i="9" s="1"/>
  <c r="G64" i="8"/>
  <c r="F64" i="8"/>
  <c r="E65" i="8"/>
  <c r="D65" i="11" l="1"/>
  <c r="E65" i="11" s="1"/>
  <c r="F64" i="11"/>
  <c r="G64" i="11"/>
  <c r="D65" i="10"/>
  <c r="E65" i="10" s="1"/>
  <c r="G64" i="10"/>
  <c r="F64" i="10"/>
  <c r="D65" i="9"/>
  <c r="E65" i="9" s="1"/>
  <c r="G64" i="9"/>
  <c r="F64" i="9"/>
  <c r="E66" i="8"/>
  <c r="G65" i="8"/>
  <c r="F65" i="8"/>
  <c r="G65" i="11" l="1"/>
  <c r="F65" i="11"/>
  <c r="D66" i="11"/>
  <c r="E66" i="11" s="1"/>
  <c r="D66" i="10"/>
  <c r="E66" i="10" s="1"/>
  <c r="G65" i="10"/>
  <c r="F65" i="10"/>
  <c r="G65" i="9"/>
  <c r="F65" i="9"/>
  <c r="D66" i="9"/>
  <c r="E66" i="9" s="1"/>
  <c r="G66" i="8"/>
  <c r="F66" i="8"/>
  <c r="E67" i="8"/>
  <c r="D67" i="11" l="1"/>
  <c r="E67" i="11" s="1"/>
  <c r="F66" i="11"/>
  <c r="G66" i="11"/>
  <c r="G66" i="10"/>
  <c r="F66" i="10"/>
  <c r="D67" i="10"/>
  <c r="E67" i="10" s="1"/>
  <c r="G66" i="9"/>
  <c r="F66" i="9"/>
  <c r="D67" i="9"/>
  <c r="E67" i="9" s="1"/>
  <c r="E68" i="8"/>
  <c r="F67" i="8"/>
  <c r="G67" i="8"/>
  <c r="G67" i="11" l="1"/>
  <c r="F67" i="11"/>
  <c r="D68" i="11"/>
  <c r="E68" i="11" s="1"/>
  <c r="F67" i="10"/>
  <c r="G67" i="10"/>
  <c r="D68" i="10"/>
  <c r="E68" i="10" s="1"/>
  <c r="D68" i="9"/>
  <c r="E68" i="9" s="1"/>
  <c r="G67" i="9"/>
  <c r="F67" i="9"/>
  <c r="G68" i="8"/>
  <c r="F68" i="8"/>
  <c r="E69" i="8"/>
  <c r="D69" i="11" l="1"/>
  <c r="E69" i="11" s="1"/>
  <c r="G68" i="11"/>
  <c r="F68" i="11"/>
  <c r="D69" i="10"/>
  <c r="E69" i="10" s="1"/>
  <c r="G68" i="10"/>
  <c r="F68" i="10"/>
  <c r="G68" i="9"/>
  <c r="F68" i="9"/>
  <c r="D69" i="9"/>
  <c r="E69" i="9" s="1"/>
  <c r="G69" i="8"/>
  <c r="F69" i="8"/>
  <c r="E70" i="8"/>
  <c r="G69" i="11" l="1"/>
  <c r="F69" i="11"/>
  <c r="D70" i="11"/>
  <c r="E70" i="11" s="1"/>
  <c r="G69" i="10"/>
  <c r="F69" i="10"/>
  <c r="D70" i="10"/>
  <c r="E70" i="10" s="1"/>
  <c r="D70" i="9"/>
  <c r="E70" i="9" s="1"/>
  <c r="F69" i="9"/>
  <c r="G69" i="9"/>
  <c r="E71" i="8"/>
  <c r="G70" i="8"/>
  <c r="F70" i="8"/>
  <c r="F70" i="11" l="1"/>
  <c r="G70" i="11"/>
  <c r="D71" i="11"/>
  <c r="E71" i="11" s="1"/>
  <c r="F70" i="10"/>
  <c r="G70" i="10"/>
  <c r="D71" i="10"/>
  <c r="E71" i="10" s="1"/>
  <c r="D71" i="9"/>
  <c r="E71" i="9" s="1"/>
  <c r="G70" i="9"/>
  <c r="F70" i="9"/>
  <c r="G71" i="8"/>
  <c r="F71" i="8"/>
  <c r="E72" i="8"/>
  <c r="D72" i="11" l="1"/>
  <c r="E72" i="11" s="1"/>
  <c r="G71" i="11"/>
  <c r="F71" i="11"/>
  <c r="F71" i="10"/>
  <c r="G71" i="10"/>
  <c r="D72" i="10"/>
  <c r="E72" i="10" s="1"/>
  <c r="G71" i="9"/>
  <c r="F71" i="9"/>
  <c r="D72" i="9"/>
  <c r="E72" i="9" s="1"/>
  <c r="E73" i="8"/>
  <c r="G72" i="8"/>
  <c r="F72" i="8"/>
  <c r="G72" i="11" l="1"/>
  <c r="F72" i="11"/>
  <c r="D73" i="11"/>
  <c r="E73" i="11" s="1"/>
  <c r="G72" i="10"/>
  <c r="F72" i="10"/>
  <c r="D73" i="10"/>
  <c r="E73" i="10" s="1"/>
  <c r="G72" i="9"/>
  <c r="F72" i="9"/>
  <c r="D73" i="9"/>
  <c r="E73" i="9" s="1"/>
  <c r="E74" i="8"/>
  <c r="G73" i="8"/>
  <c r="F73" i="8"/>
  <c r="F73" i="11" l="1"/>
  <c r="G73" i="11"/>
  <c r="D74" i="11"/>
  <c r="E74" i="11" s="1"/>
  <c r="F73" i="10"/>
  <c r="G73" i="10"/>
  <c r="D74" i="10"/>
  <c r="E74" i="10" s="1"/>
  <c r="G73" i="9"/>
  <c r="F73" i="9"/>
  <c r="D74" i="9"/>
  <c r="E74" i="9" s="1"/>
  <c r="G74" i="8"/>
  <c r="F74" i="8"/>
  <c r="E75" i="8"/>
  <c r="D75" i="11" l="1"/>
  <c r="E75" i="11" s="1"/>
  <c r="G74" i="11"/>
  <c r="F74" i="11"/>
  <c r="G74" i="10"/>
  <c r="F74" i="10"/>
  <c r="D75" i="10"/>
  <c r="E75" i="10" s="1"/>
  <c r="D75" i="9"/>
  <c r="E75" i="9" s="1"/>
  <c r="G74" i="9"/>
  <c r="F74" i="9"/>
  <c r="G75" i="8"/>
  <c r="F75" i="8"/>
  <c r="E76" i="8"/>
  <c r="G75" i="11" l="1"/>
  <c r="F75" i="11"/>
  <c r="D76" i="11"/>
  <c r="E76" i="11" s="1"/>
  <c r="D76" i="10"/>
  <c r="E76" i="10" s="1"/>
  <c r="G75" i="10"/>
  <c r="F75" i="10"/>
  <c r="F75" i="9"/>
  <c r="G75" i="9"/>
  <c r="D76" i="9"/>
  <c r="E76" i="9" s="1"/>
  <c r="G76" i="8"/>
  <c r="F76" i="8"/>
  <c r="E77" i="8"/>
  <c r="D77" i="11" l="1"/>
  <c r="E77" i="11" s="1"/>
  <c r="G76" i="11"/>
  <c r="F76" i="11"/>
  <c r="F76" i="10"/>
  <c r="G76" i="10"/>
  <c r="D77" i="10"/>
  <c r="E77" i="10" s="1"/>
  <c r="D77" i="9"/>
  <c r="E77" i="9" s="1"/>
  <c r="G76" i="9"/>
  <c r="F76" i="9"/>
  <c r="E78" i="8"/>
  <c r="G77" i="8"/>
  <c r="F77" i="8"/>
  <c r="G77" i="11" l="1"/>
  <c r="F77" i="11"/>
  <c r="D78" i="11"/>
  <c r="E78" i="11" s="1"/>
  <c r="D78" i="10"/>
  <c r="E78" i="10" s="1"/>
  <c r="G77" i="10"/>
  <c r="F77" i="10"/>
  <c r="G77" i="9"/>
  <c r="F77" i="9"/>
  <c r="D78" i="9"/>
  <c r="E78" i="9" s="1"/>
  <c r="G78" i="8"/>
  <c r="F78" i="8"/>
  <c r="E79" i="8"/>
  <c r="D79" i="11" l="1"/>
  <c r="E79" i="11" s="1"/>
  <c r="G78" i="11"/>
  <c r="F78" i="11"/>
  <c r="D79" i="10"/>
  <c r="E79" i="10" s="1"/>
  <c r="G78" i="10"/>
  <c r="F78" i="10"/>
  <c r="G78" i="9"/>
  <c r="F78" i="9"/>
  <c r="D79" i="9"/>
  <c r="E79" i="9" s="1"/>
  <c r="E80" i="8"/>
  <c r="F79" i="8"/>
  <c r="G79" i="8"/>
  <c r="D80" i="11" l="1"/>
  <c r="E80" i="11" s="1"/>
  <c r="G79" i="11"/>
  <c r="F79" i="11"/>
  <c r="F79" i="10"/>
  <c r="G79" i="10"/>
  <c r="D80" i="10"/>
  <c r="E80" i="10" s="1"/>
  <c r="D80" i="9"/>
  <c r="E80" i="9" s="1"/>
  <c r="G79" i="9"/>
  <c r="F79" i="9"/>
  <c r="G80" i="8"/>
  <c r="F80" i="8"/>
  <c r="E81" i="8"/>
  <c r="D81" i="11" l="1"/>
  <c r="E81" i="11" s="1"/>
  <c r="G80" i="11"/>
  <c r="F80" i="11"/>
  <c r="D81" i="10"/>
  <c r="E81" i="10" s="1"/>
  <c r="F80" i="10"/>
  <c r="G80" i="10"/>
  <c r="G80" i="9"/>
  <c r="F80" i="9"/>
  <c r="D81" i="9"/>
  <c r="E81" i="9" s="1"/>
  <c r="G81" i="8"/>
  <c r="F81" i="8"/>
  <c r="E82" i="8"/>
  <c r="D82" i="11" l="1"/>
  <c r="E82" i="11" s="1"/>
  <c r="F81" i="11"/>
  <c r="G81" i="11"/>
  <c r="G81" i="10"/>
  <c r="F81" i="10"/>
  <c r="D82" i="10"/>
  <c r="E82" i="10" s="1"/>
  <c r="D82" i="9"/>
  <c r="E82" i="9" s="1"/>
  <c r="F81" i="9"/>
  <c r="G81" i="9"/>
  <c r="G82" i="8"/>
  <c r="F82" i="8"/>
  <c r="E83" i="8"/>
  <c r="F82" i="11" l="1"/>
  <c r="G82" i="11"/>
  <c r="D83" i="11"/>
  <c r="E83" i="11" s="1"/>
  <c r="F82" i="10"/>
  <c r="G82" i="10"/>
  <c r="D83" i="10"/>
  <c r="E83" i="10" s="1"/>
  <c r="D83" i="9"/>
  <c r="E83" i="9" s="1"/>
  <c r="G82" i="9"/>
  <c r="F82" i="9"/>
  <c r="G83" i="8"/>
  <c r="F83" i="8"/>
  <c r="E84" i="8"/>
  <c r="D84" i="11" l="1"/>
  <c r="E84" i="11" s="1"/>
  <c r="G83" i="11"/>
  <c r="F83" i="11"/>
  <c r="D84" i="10"/>
  <c r="E84" i="10" s="1"/>
  <c r="F83" i="10"/>
  <c r="G83" i="10"/>
  <c r="G83" i="9"/>
  <c r="F83" i="9"/>
  <c r="D84" i="9"/>
  <c r="E84" i="9" s="1"/>
  <c r="E85" i="8"/>
  <c r="G84" i="8"/>
  <c r="F84" i="8"/>
  <c r="F84" i="11" l="1"/>
  <c r="G84" i="11"/>
  <c r="D85" i="11"/>
  <c r="E85" i="11" s="1"/>
  <c r="G84" i="10"/>
  <c r="F84" i="10"/>
  <c r="D85" i="10"/>
  <c r="E85" i="10" s="1"/>
  <c r="G84" i="9"/>
  <c r="F84" i="9"/>
  <c r="D85" i="9"/>
  <c r="E85" i="9" s="1"/>
  <c r="G85" i="8"/>
  <c r="F85" i="8"/>
  <c r="E86" i="8"/>
  <c r="F85" i="11" l="1"/>
  <c r="G85" i="11"/>
  <c r="D86" i="11"/>
  <c r="E86" i="11" s="1"/>
  <c r="G85" i="10"/>
  <c r="F85" i="10"/>
  <c r="D86" i="10"/>
  <c r="E86" i="10" s="1"/>
  <c r="G85" i="9"/>
  <c r="F85" i="9"/>
  <c r="D86" i="9"/>
  <c r="E86" i="9" s="1"/>
  <c r="E87" i="8"/>
  <c r="G86" i="8"/>
  <c r="F86" i="8"/>
  <c r="D87" i="11" l="1"/>
  <c r="E87" i="11" s="1"/>
  <c r="G86" i="11"/>
  <c r="F86" i="11"/>
  <c r="D87" i="10"/>
  <c r="E87" i="10" s="1"/>
  <c r="G86" i="10"/>
  <c r="F86" i="10"/>
  <c r="D87" i="9"/>
  <c r="E87" i="9" s="1"/>
  <c r="G86" i="9"/>
  <c r="F86" i="9"/>
  <c r="E88" i="8"/>
  <c r="G87" i="8"/>
  <c r="F87" i="8"/>
  <c r="G87" i="11" l="1"/>
  <c r="F87" i="11"/>
  <c r="D88" i="11"/>
  <c r="E88" i="11" s="1"/>
  <c r="D88" i="10"/>
  <c r="E88" i="10" s="1"/>
  <c r="G87" i="10"/>
  <c r="F87" i="10"/>
  <c r="F87" i="9"/>
  <c r="G87" i="9"/>
  <c r="D88" i="9"/>
  <c r="E88" i="9" s="1"/>
  <c r="G88" i="8"/>
  <c r="F88" i="8"/>
  <c r="E89" i="8"/>
  <c r="D89" i="11" l="1"/>
  <c r="E89" i="11" s="1"/>
  <c r="G88" i="11"/>
  <c r="F88" i="11"/>
  <c r="F88" i="10"/>
  <c r="G88" i="10"/>
  <c r="D89" i="10"/>
  <c r="E89" i="10" s="1"/>
  <c r="D89" i="9"/>
  <c r="E89" i="9" s="1"/>
  <c r="G88" i="9"/>
  <c r="F88" i="9"/>
  <c r="E90" i="8"/>
  <c r="G89" i="8"/>
  <c r="F89" i="8"/>
  <c r="G89" i="11" l="1"/>
  <c r="F89" i="11"/>
  <c r="D90" i="11"/>
  <c r="E90" i="11" s="1"/>
  <c r="D90" i="10"/>
  <c r="E90" i="10" s="1"/>
  <c r="G89" i="10"/>
  <c r="F89" i="10"/>
  <c r="G89" i="9"/>
  <c r="F89" i="9"/>
  <c r="D90" i="9"/>
  <c r="E90" i="9" s="1"/>
  <c r="G90" i="8"/>
  <c r="F90" i="8"/>
  <c r="E91" i="8"/>
  <c r="D91" i="11" l="1"/>
  <c r="E91" i="11" s="1"/>
  <c r="G90" i="11"/>
  <c r="F90" i="11"/>
  <c r="F90" i="10"/>
  <c r="G90" i="10"/>
  <c r="D91" i="10"/>
  <c r="E91" i="10" s="1"/>
  <c r="G90" i="9"/>
  <c r="F90" i="9"/>
  <c r="D91" i="9"/>
  <c r="E91" i="9" s="1"/>
  <c r="E92" i="8"/>
  <c r="F91" i="8"/>
  <c r="G91" i="8"/>
  <c r="D92" i="11" l="1"/>
  <c r="E92" i="11" s="1"/>
  <c r="G91" i="11"/>
  <c r="F91" i="11"/>
  <c r="D92" i="10"/>
  <c r="E92" i="10" s="1"/>
  <c r="F91" i="10"/>
  <c r="G91" i="10"/>
  <c r="D92" i="9"/>
  <c r="E92" i="9" s="1"/>
  <c r="G91" i="9"/>
  <c r="F91" i="9"/>
  <c r="G92" i="8"/>
  <c r="F92" i="8"/>
  <c r="E93" i="8"/>
  <c r="D93" i="11" l="1"/>
  <c r="E93" i="11" s="1"/>
  <c r="G92" i="11"/>
  <c r="F92" i="11"/>
  <c r="F92" i="10"/>
  <c r="G92" i="10"/>
  <c r="D93" i="10"/>
  <c r="E93" i="10" s="1"/>
  <c r="G92" i="9"/>
  <c r="F92" i="9"/>
  <c r="D93" i="9"/>
  <c r="E93" i="9" s="1"/>
  <c r="G93" i="8"/>
  <c r="F93" i="8"/>
  <c r="E94" i="8"/>
  <c r="D94" i="11" l="1"/>
  <c r="E94" i="11" s="1"/>
  <c r="F93" i="11"/>
  <c r="G93" i="11"/>
  <c r="F93" i="10"/>
  <c r="G93" i="10"/>
  <c r="D94" i="10"/>
  <c r="E94" i="10" s="1"/>
  <c r="D94" i="9"/>
  <c r="E94" i="9" s="1"/>
  <c r="F93" i="9"/>
  <c r="G93" i="9"/>
  <c r="E95" i="8"/>
  <c r="G94" i="8"/>
  <c r="F94" i="8"/>
  <c r="F94" i="11" l="1"/>
  <c r="G94" i="11"/>
  <c r="D95" i="11"/>
  <c r="E95" i="11" s="1"/>
  <c r="D95" i="10"/>
  <c r="E95" i="10" s="1"/>
  <c r="F94" i="10"/>
  <c r="G94" i="10"/>
  <c r="D95" i="9"/>
  <c r="E95" i="9" s="1"/>
  <c r="G94" i="9"/>
  <c r="F94" i="9"/>
  <c r="G95" i="8"/>
  <c r="F95" i="8"/>
  <c r="E96" i="8"/>
  <c r="D96" i="11" l="1"/>
  <c r="E96" i="11" s="1"/>
  <c r="G95" i="11"/>
  <c r="F95" i="11"/>
  <c r="D96" i="10"/>
  <c r="E96" i="10" s="1"/>
  <c r="G95" i="10"/>
  <c r="F95" i="10"/>
  <c r="G95" i="9"/>
  <c r="F95" i="9"/>
  <c r="D96" i="9"/>
  <c r="E96" i="9" s="1"/>
  <c r="E97" i="8"/>
  <c r="G96" i="8"/>
  <c r="F96" i="8"/>
  <c r="G96" i="11" l="1"/>
  <c r="F96" i="11"/>
  <c r="D97" i="11"/>
  <c r="E97" i="11" s="1"/>
  <c r="G96" i="10"/>
  <c r="F96" i="10"/>
  <c r="D97" i="10"/>
  <c r="E97" i="10" s="1"/>
  <c r="G96" i="9"/>
  <c r="F96" i="9"/>
  <c r="D97" i="9"/>
  <c r="E97" i="9" s="1"/>
  <c r="E98" i="8"/>
  <c r="F97" i="8"/>
  <c r="G97" i="8"/>
  <c r="F97" i="11" l="1"/>
  <c r="G97" i="11"/>
  <c r="D98" i="11"/>
  <c r="E98" i="11" s="1"/>
  <c r="F97" i="10"/>
  <c r="G97" i="10"/>
  <c r="D98" i="10"/>
  <c r="E98" i="10" s="1"/>
  <c r="F97" i="9"/>
  <c r="G97" i="9"/>
  <c r="D98" i="9"/>
  <c r="E98" i="9" s="1"/>
  <c r="E99" i="8"/>
  <c r="G98" i="8"/>
  <c r="F98" i="8"/>
  <c r="D99" i="11" l="1"/>
  <c r="E99" i="11" s="1"/>
  <c r="G98" i="11"/>
  <c r="F98" i="11"/>
  <c r="F98" i="10"/>
  <c r="G98" i="10"/>
  <c r="D99" i="10"/>
  <c r="E99" i="10" s="1"/>
  <c r="D99" i="9"/>
  <c r="E99" i="9" s="1"/>
  <c r="G98" i="9"/>
  <c r="F98" i="9"/>
  <c r="G99" i="8"/>
  <c r="F99" i="8"/>
  <c r="E100" i="8"/>
  <c r="G99" i="11" l="1"/>
  <c r="F99" i="11"/>
  <c r="D100" i="11"/>
  <c r="E100" i="11" s="1"/>
  <c r="F99" i="10"/>
  <c r="G99" i="10"/>
  <c r="D100" i="10"/>
  <c r="E100" i="10" s="1"/>
  <c r="F99" i="9"/>
  <c r="G99" i="9"/>
  <c r="D100" i="9"/>
  <c r="E100" i="9" s="1"/>
  <c r="G100" i="8"/>
  <c r="F100" i="8"/>
  <c r="E101" i="8"/>
  <c r="D101" i="11" l="1"/>
  <c r="E101" i="11" s="1"/>
  <c r="G100" i="11"/>
  <c r="F100" i="11"/>
  <c r="G100" i="10"/>
  <c r="F100" i="10"/>
  <c r="D101" i="10"/>
  <c r="E101" i="10" s="1"/>
  <c r="D101" i="9"/>
  <c r="E101" i="9" s="1"/>
  <c r="G100" i="9"/>
  <c r="F100" i="9"/>
  <c r="E102" i="8"/>
  <c r="F101" i="8"/>
  <c r="G101" i="8"/>
  <c r="D102" i="11" l="1"/>
  <c r="E102" i="11" s="1"/>
  <c r="G101" i="11"/>
  <c r="F101" i="11"/>
  <c r="F101" i="10"/>
  <c r="G101" i="10"/>
  <c r="D102" i="10"/>
  <c r="E102" i="10" s="1"/>
  <c r="G101" i="9"/>
  <c r="F101" i="9"/>
  <c r="D102" i="9"/>
  <c r="E102" i="9" s="1"/>
  <c r="G102" i="8"/>
  <c r="F102" i="8"/>
  <c r="E103" i="8"/>
  <c r="D103" i="11" l="1"/>
  <c r="E103" i="11" s="1"/>
  <c r="G102" i="11"/>
  <c r="F102" i="11"/>
  <c r="D103" i="10"/>
  <c r="E103" i="10" s="1"/>
  <c r="G102" i="10"/>
  <c r="F102" i="10"/>
  <c r="G102" i="9"/>
  <c r="F102" i="9"/>
  <c r="D103" i="9"/>
  <c r="E103" i="9" s="1"/>
  <c r="E104" i="8"/>
  <c r="G103" i="8"/>
  <c r="F103" i="8"/>
  <c r="D104" i="11" l="1"/>
  <c r="E104" i="11" s="1"/>
  <c r="G103" i="11"/>
  <c r="F103" i="11"/>
  <c r="D104" i="10"/>
  <c r="E104" i="10" s="1"/>
  <c r="F103" i="10"/>
  <c r="G103" i="10"/>
  <c r="D104" i="9"/>
  <c r="E104" i="9" s="1"/>
  <c r="G103" i="9"/>
  <c r="F103" i="9"/>
  <c r="G104" i="8"/>
  <c r="F104" i="8"/>
  <c r="E105" i="8"/>
  <c r="D105" i="11" l="1"/>
  <c r="E105" i="11" s="1"/>
  <c r="G104" i="11"/>
  <c r="F104" i="11"/>
  <c r="D105" i="10"/>
  <c r="E105" i="10" s="1"/>
  <c r="G104" i="10"/>
  <c r="F104" i="10"/>
  <c r="G104" i="9"/>
  <c r="F104" i="9"/>
  <c r="D105" i="9"/>
  <c r="E105" i="9" s="1"/>
  <c r="E106" i="8"/>
  <c r="G105" i="8"/>
  <c r="F105" i="8"/>
  <c r="D106" i="11" l="1"/>
  <c r="E106" i="11" s="1"/>
  <c r="F105" i="11"/>
  <c r="G105" i="11"/>
  <c r="D106" i="10"/>
  <c r="E106" i="10" s="1"/>
  <c r="G105" i="10"/>
  <c r="F105" i="10"/>
  <c r="D106" i="9"/>
  <c r="E106" i="9" s="1"/>
  <c r="F105" i="9"/>
  <c r="G105" i="9"/>
  <c r="E107" i="8"/>
  <c r="G106" i="8"/>
  <c r="F106" i="8"/>
  <c r="D107" i="11" l="1"/>
  <c r="E107" i="11" s="1"/>
  <c r="F106" i="11"/>
  <c r="G106" i="11"/>
  <c r="D107" i="10"/>
  <c r="E107" i="10" s="1"/>
  <c r="G106" i="10"/>
  <c r="F106" i="10"/>
  <c r="D107" i="9"/>
  <c r="E107" i="9" s="1"/>
  <c r="G106" i="9"/>
  <c r="F106" i="9"/>
  <c r="G107" i="8"/>
  <c r="F107" i="8"/>
  <c r="E108" i="8"/>
  <c r="D108" i="11" l="1"/>
  <c r="E108" i="11" s="1"/>
  <c r="G107" i="11"/>
  <c r="F107" i="11"/>
  <c r="D108" i="10"/>
  <c r="E108" i="10" s="1"/>
  <c r="F107" i="10"/>
  <c r="G107" i="10"/>
  <c r="G107" i="9"/>
  <c r="F107" i="9"/>
  <c r="D108" i="9"/>
  <c r="E108" i="9" s="1"/>
  <c r="E109" i="8"/>
  <c r="G108" i="8"/>
  <c r="F108" i="8"/>
  <c r="G108" i="11" l="1"/>
  <c r="F108" i="11"/>
  <c r="D109" i="11"/>
  <c r="E109" i="11" s="1"/>
  <c r="G108" i="10"/>
  <c r="F108" i="10"/>
  <c r="D109" i="10"/>
  <c r="E109" i="10" s="1"/>
  <c r="G108" i="9"/>
  <c r="F108" i="9"/>
  <c r="D109" i="9"/>
  <c r="E109" i="9" s="1"/>
  <c r="E110" i="8"/>
  <c r="F109" i="8"/>
  <c r="G109" i="8"/>
  <c r="F109" i="11" l="1"/>
  <c r="G109" i="11"/>
  <c r="D110" i="11"/>
  <c r="E110" i="11" s="1"/>
  <c r="F109" i="10"/>
  <c r="G109" i="10"/>
  <c r="D110" i="10"/>
  <c r="E110" i="10" s="1"/>
  <c r="G109" i="9"/>
  <c r="F109" i="9"/>
  <c r="D110" i="9"/>
  <c r="E110" i="9" s="1"/>
  <c r="F110" i="8"/>
  <c r="G110" i="8"/>
  <c r="E111" i="8"/>
  <c r="D111" i="11" l="1"/>
  <c r="E111" i="11" s="1"/>
  <c r="G110" i="11"/>
  <c r="F110" i="11"/>
  <c r="D111" i="10"/>
  <c r="E111" i="10" s="1"/>
  <c r="F110" i="10"/>
  <c r="G110" i="10"/>
  <c r="D111" i="9"/>
  <c r="E111" i="9" s="1"/>
  <c r="G110" i="9"/>
  <c r="F110" i="9"/>
  <c r="G111" i="8"/>
  <c r="F111" i="8"/>
  <c r="E112" i="8"/>
  <c r="G111" i="11" l="1"/>
  <c r="F111" i="11"/>
  <c r="D112" i="11"/>
  <c r="E112" i="11" s="1"/>
  <c r="D112" i="10"/>
  <c r="E112" i="10" s="1"/>
  <c r="F111" i="10"/>
  <c r="G111" i="10"/>
  <c r="F111" i="9"/>
  <c r="G111" i="9"/>
  <c r="D112" i="9"/>
  <c r="E112" i="9" s="1"/>
  <c r="G112" i="8"/>
  <c r="F112" i="8"/>
  <c r="E113" i="8"/>
  <c r="G112" i="11" l="1"/>
  <c r="F112" i="11"/>
  <c r="D113" i="11"/>
  <c r="E113" i="11" s="1"/>
  <c r="G112" i="10"/>
  <c r="F112" i="10"/>
  <c r="D113" i="10"/>
  <c r="E113" i="10" s="1"/>
  <c r="D113" i="9"/>
  <c r="E113" i="9" s="1"/>
  <c r="G112" i="9"/>
  <c r="F112" i="9"/>
  <c r="G113" i="8"/>
  <c r="F113" i="8"/>
  <c r="E114" i="8"/>
  <c r="D114" i="11" l="1"/>
  <c r="E114" i="11" s="1"/>
  <c r="G113" i="11"/>
  <c r="F113" i="11"/>
  <c r="F113" i="10"/>
  <c r="G113" i="10"/>
  <c r="D114" i="10"/>
  <c r="E114" i="10" s="1"/>
  <c r="G113" i="9"/>
  <c r="F113" i="9"/>
  <c r="D114" i="9"/>
  <c r="E114" i="9" s="1"/>
  <c r="G114" i="8"/>
  <c r="F114" i="8"/>
  <c r="E115" i="8"/>
  <c r="D115" i="11" l="1"/>
  <c r="E115" i="11" s="1"/>
  <c r="G114" i="11"/>
  <c r="F114" i="11"/>
  <c r="D115" i="10"/>
  <c r="E115" i="10" s="1"/>
  <c r="G114" i="10"/>
  <c r="F114" i="10"/>
  <c r="G114" i="9"/>
  <c r="F114" i="9"/>
  <c r="D115" i="9"/>
  <c r="E115" i="9" s="1"/>
  <c r="E116" i="8"/>
  <c r="F115" i="8"/>
  <c r="G115" i="8"/>
  <c r="D116" i="11" l="1"/>
  <c r="E116" i="11" s="1"/>
  <c r="G115" i="11"/>
  <c r="F115" i="11"/>
  <c r="G115" i="10"/>
  <c r="F115" i="10"/>
  <c r="D116" i="10"/>
  <c r="E116" i="10" s="1"/>
  <c r="D116" i="9"/>
  <c r="E116" i="9" s="1"/>
  <c r="G115" i="9"/>
  <c r="F115" i="9"/>
  <c r="G116" i="8"/>
  <c r="F116" i="8"/>
  <c r="E117" i="8"/>
  <c r="D117" i="11" l="1"/>
  <c r="E117" i="11" s="1"/>
  <c r="G116" i="11"/>
  <c r="F116" i="11"/>
  <c r="G116" i="10"/>
  <c r="F116" i="10"/>
  <c r="D117" i="10"/>
  <c r="E117" i="10" s="1"/>
  <c r="G116" i="9"/>
  <c r="F116" i="9"/>
  <c r="D117" i="9"/>
  <c r="E117" i="9" s="1"/>
  <c r="G117" i="8"/>
  <c r="F117" i="8"/>
  <c r="E118" i="8"/>
  <c r="D118" i="11" l="1"/>
  <c r="E118" i="11" s="1"/>
  <c r="F117" i="11"/>
  <c r="G117" i="11"/>
  <c r="G117" i="10"/>
  <c r="F117" i="10"/>
  <c r="D118" i="10"/>
  <c r="E118" i="10" s="1"/>
  <c r="D118" i="9"/>
  <c r="E118" i="9" s="1"/>
  <c r="F117" i="9"/>
  <c r="G117" i="9"/>
  <c r="E119" i="8"/>
  <c r="G118" i="8"/>
  <c r="F118" i="8"/>
  <c r="F118" i="11" l="1"/>
  <c r="G118" i="11"/>
  <c r="D119" i="11"/>
  <c r="E119" i="11" s="1"/>
  <c r="G118" i="10"/>
  <c r="F118" i="10"/>
  <c r="D119" i="10"/>
  <c r="E119" i="10" s="1"/>
  <c r="D119" i="9"/>
  <c r="E119" i="9" s="1"/>
  <c r="G118" i="9"/>
  <c r="F118" i="9"/>
  <c r="G119" i="8"/>
  <c r="F119" i="8"/>
  <c r="E120" i="8"/>
  <c r="D120" i="11" l="1"/>
  <c r="E120" i="11" s="1"/>
  <c r="G119" i="11"/>
  <c r="F119" i="11"/>
  <c r="D120" i="10"/>
  <c r="E120" i="10" s="1"/>
  <c r="F119" i="10"/>
  <c r="G119" i="10"/>
  <c r="G119" i="9"/>
  <c r="F119" i="9"/>
  <c r="D120" i="9"/>
  <c r="E120" i="9" s="1"/>
  <c r="E121" i="8"/>
  <c r="G120" i="8"/>
  <c r="F120" i="8"/>
  <c r="G120" i="11" l="1"/>
  <c r="F120" i="11"/>
  <c r="D121" i="11"/>
  <c r="E121" i="11" s="1"/>
  <c r="F120" i="10"/>
  <c r="G120" i="10"/>
  <c r="D121" i="10"/>
  <c r="E121" i="10" s="1"/>
  <c r="G120" i="9"/>
  <c r="F120" i="9"/>
  <c r="D121" i="9"/>
  <c r="E121" i="9" s="1"/>
  <c r="E122" i="8"/>
  <c r="G121" i="8"/>
  <c r="F121" i="8"/>
  <c r="F121" i="11" l="1"/>
  <c r="G121" i="11"/>
  <c r="D122" i="11"/>
  <c r="E122" i="11" s="1"/>
  <c r="F121" i="10"/>
  <c r="G121" i="10"/>
  <c r="D122" i="10"/>
  <c r="E122" i="10" s="1"/>
  <c r="F121" i="9"/>
  <c r="G121" i="9"/>
  <c r="D122" i="9"/>
  <c r="E122" i="9" s="1"/>
  <c r="E123" i="8"/>
  <c r="F122" i="8"/>
  <c r="G122" i="8"/>
  <c r="D123" i="11" l="1"/>
  <c r="E123" i="11" s="1"/>
  <c r="G122" i="11"/>
  <c r="F122" i="11"/>
  <c r="F122" i="10"/>
  <c r="G122" i="10"/>
  <c r="D123" i="10"/>
  <c r="E123" i="10" s="1"/>
  <c r="D123" i="9"/>
  <c r="E123" i="9" s="1"/>
  <c r="G122" i="9"/>
  <c r="F122" i="9"/>
  <c r="G123" i="8"/>
  <c r="F123" i="8"/>
  <c r="E124" i="8"/>
  <c r="G123" i="11" l="1"/>
  <c r="F123" i="11"/>
  <c r="D124" i="11"/>
  <c r="E124" i="11" s="1"/>
  <c r="F123" i="10"/>
  <c r="G123" i="10"/>
  <c r="D124" i="10"/>
  <c r="E124" i="10" s="1"/>
  <c r="F123" i="9"/>
  <c r="G123" i="9"/>
  <c r="D124" i="9"/>
  <c r="E124" i="9" s="1"/>
  <c r="G124" i="8"/>
  <c r="F124" i="8"/>
  <c r="E125" i="8"/>
  <c r="D125" i="11" l="1"/>
  <c r="E125" i="11" s="1"/>
  <c r="G124" i="11"/>
  <c r="F124" i="11"/>
  <c r="F124" i="10"/>
  <c r="G124" i="10"/>
  <c r="D125" i="10"/>
  <c r="E125" i="10" s="1"/>
  <c r="D125" i="9"/>
  <c r="E125" i="9" s="1"/>
  <c r="G124" i="9"/>
  <c r="F124" i="9"/>
  <c r="G125" i="8"/>
  <c r="F125" i="8"/>
  <c r="E126" i="8"/>
  <c r="D126" i="11" l="1"/>
  <c r="E126" i="11" s="1"/>
  <c r="G125" i="11"/>
  <c r="F125" i="11"/>
  <c r="D126" i="10"/>
  <c r="E126" i="10" s="1"/>
  <c r="G125" i="10"/>
  <c r="F125" i="10"/>
  <c r="G125" i="9"/>
  <c r="F125" i="9"/>
  <c r="D126" i="9"/>
  <c r="E126" i="9" s="1"/>
  <c r="E127" i="8"/>
  <c r="G126" i="8"/>
  <c r="F126" i="8"/>
  <c r="D127" i="11" l="1"/>
  <c r="E127" i="11" s="1"/>
  <c r="G126" i="11"/>
  <c r="F126" i="11"/>
  <c r="G126" i="10"/>
  <c r="F126" i="10"/>
  <c r="D127" i="10"/>
  <c r="E127" i="10" s="1"/>
  <c r="D127" i="9"/>
  <c r="E127" i="9" s="1"/>
  <c r="G126" i="9"/>
  <c r="F126" i="9"/>
  <c r="E128" i="8"/>
  <c r="F127" i="8"/>
  <c r="G127" i="8"/>
  <c r="D128" i="11" l="1"/>
  <c r="E128" i="11" s="1"/>
  <c r="G127" i="11"/>
  <c r="F127" i="11"/>
  <c r="D128" i="10"/>
  <c r="E128" i="10" s="1"/>
  <c r="G127" i="10"/>
  <c r="F127" i="10"/>
  <c r="D128" i="9"/>
  <c r="E128" i="9" s="1"/>
  <c r="G127" i="9"/>
  <c r="F127" i="9"/>
  <c r="G128" i="8"/>
  <c r="F128" i="8"/>
  <c r="E129" i="8"/>
  <c r="D129" i="11" l="1"/>
  <c r="E129" i="11" s="1"/>
  <c r="G128" i="11"/>
  <c r="F128" i="11"/>
  <c r="D129" i="10"/>
  <c r="E129" i="10" s="1"/>
  <c r="G128" i="10"/>
  <c r="F128" i="10"/>
  <c r="G128" i="9"/>
  <c r="F128" i="9"/>
  <c r="D129" i="9"/>
  <c r="E129" i="9" s="1"/>
  <c r="E130" i="8"/>
  <c r="G129" i="8"/>
  <c r="F129" i="8"/>
  <c r="D130" i="11" l="1"/>
  <c r="E130" i="11" s="1"/>
  <c r="F129" i="11"/>
  <c r="G129" i="11"/>
  <c r="G129" i="10"/>
  <c r="F129" i="10"/>
  <c r="D130" i="10"/>
  <c r="E130" i="10" s="1"/>
  <c r="D130" i="9"/>
  <c r="E130" i="9" s="1"/>
  <c r="F129" i="9"/>
  <c r="G129" i="9"/>
  <c r="E131" i="8"/>
  <c r="G130" i="8"/>
  <c r="F130" i="8"/>
  <c r="F130" i="11" l="1"/>
  <c r="G130" i="11"/>
  <c r="D131" i="11"/>
  <c r="E131" i="11" s="1"/>
  <c r="F130" i="10"/>
  <c r="G130" i="10"/>
  <c r="D131" i="10"/>
  <c r="E131" i="10" s="1"/>
  <c r="D131" i="9"/>
  <c r="E131" i="9" s="1"/>
  <c r="G130" i="9"/>
  <c r="F130" i="9"/>
  <c r="G131" i="8"/>
  <c r="F131" i="8"/>
  <c r="E132" i="8"/>
  <c r="D132" i="11" l="1"/>
  <c r="E132" i="11" s="1"/>
  <c r="G131" i="11"/>
  <c r="F131" i="11"/>
  <c r="D132" i="10"/>
  <c r="E132" i="10" s="1"/>
  <c r="G131" i="10"/>
  <c r="F131" i="10"/>
  <c r="G131" i="9"/>
  <c r="F131" i="9"/>
  <c r="D132" i="9"/>
  <c r="E132" i="9" s="1"/>
  <c r="E133" i="8"/>
  <c r="G132" i="8"/>
  <c r="F132" i="8"/>
  <c r="G132" i="11" l="1"/>
  <c r="F132" i="11"/>
  <c r="D133" i="11"/>
  <c r="E133" i="11" s="1"/>
  <c r="F132" i="10"/>
  <c r="G132" i="10"/>
  <c r="D133" i="10"/>
  <c r="E133" i="10" s="1"/>
  <c r="G132" i="9"/>
  <c r="F132" i="9"/>
  <c r="D133" i="9"/>
  <c r="E133" i="9" s="1"/>
  <c r="G133" i="8"/>
  <c r="F133" i="8"/>
  <c r="E134" i="8"/>
  <c r="F133" i="11" l="1"/>
  <c r="G133" i="11"/>
  <c r="D134" i="11"/>
  <c r="E134" i="11" s="1"/>
  <c r="F133" i="10"/>
  <c r="G133" i="10"/>
  <c r="D134" i="10"/>
  <c r="E134" i="10" s="1"/>
  <c r="D134" i="9"/>
  <c r="E134" i="9" s="1"/>
  <c r="G133" i="9"/>
  <c r="F133" i="9"/>
  <c r="F134" i="8"/>
  <c r="G134" i="8"/>
  <c r="E135" i="8"/>
  <c r="D135" i="11" l="1"/>
  <c r="E135" i="11" s="1"/>
  <c r="G134" i="11"/>
  <c r="F134" i="11"/>
  <c r="D135" i="10"/>
  <c r="E135" i="10" s="1"/>
  <c r="G134" i="10"/>
  <c r="F134" i="10"/>
  <c r="D135" i="9"/>
  <c r="E135" i="9" s="1"/>
  <c r="G134" i="9"/>
  <c r="F134" i="9"/>
  <c r="E136" i="8"/>
  <c r="F135" i="8"/>
  <c r="G135" i="8"/>
  <c r="G135" i="11" l="1"/>
  <c r="F135" i="11"/>
  <c r="D136" i="11"/>
  <c r="E136" i="11" s="1"/>
  <c r="F135" i="10"/>
  <c r="G135" i="10"/>
  <c r="D136" i="10"/>
  <c r="E136" i="10" s="1"/>
  <c r="F135" i="9"/>
  <c r="G135" i="9"/>
  <c r="D136" i="9"/>
  <c r="E136" i="9" s="1"/>
  <c r="G136" i="8"/>
  <c r="F136" i="8"/>
  <c r="E137" i="8"/>
  <c r="D137" i="11" l="1"/>
  <c r="E137" i="11" s="1"/>
  <c r="G136" i="11"/>
  <c r="F136" i="11"/>
  <c r="G136" i="10"/>
  <c r="F136" i="10"/>
  <c r="D137" i="10"/>
  <c r="E137" i="10" s="1"/>
  <c r="D137" i="9"/>
  <c r="E137" i="9" s="1"/>
  <c r="G136" i="9"/>
  <c r="F136" i="9"/>
  <c r="G137" i="8"/>
  <c r="F137" i="8"/>
  <c r="E138" i="8"/>
  <c r="G137" i="11" l="1"/>
  <c r="F137" i="11"/>
  <c r="D138" i="11"/>
  <c r="E138" i="11" s="1"/>
  <c r="G137" i="10"/>
  <c r="F137" i="10"/>
  <c r="D138" i="10"/>
  <c r="E138" i="10" s="1"/>
  <c r="G137" i="9"/>
  <c r="F137" i="9"/>
  <c r="D138" i="9"/>
  <c r="E138" i="9" s="1"/>
  <c r="E139" i="8"/>
  <c r="G138" i="8"/>
  <c r="F138" i="8"/>
  <c r="D139" i="11" l="1"/>
  <c r="E139" i="11" s="1"/>
  <c r="G138" i="11"/>
  <c r="F138" i="11"/>
  <c r="F138" i="10"/>
  <c r="G138" i="10"/>
  <c r="D139" i="10"/>
  <c r="E139" i="10" s="1"/>
  <c r="D139" i="9"/>
  <c r="E139" i="9" s="1"/>
  <c r="G138" i="9"/>
  <c r="F138" i="9"/>
  <c r="E140" i="8"/>
  <c r="G139" i="8"/>
  <c r="F139" i="8"/>
  <c r="D140" i="11" l="1"/>
  <c r="E140" i="11" s="1"/>
  <c r="G139" i="11"/>
  <c r="F139" i="11"/>
  <c r="D140" i="10"/>
  <c r="E140" i="10" s="1"/>
  <c r="G139" i="10"/>
  <c r="F139" i="10"/>
  <c r="D140" i="9"/>
  <c r="E140" i="9" s="1"/>
  <c r="G139" i="9"/>
  <c r="F139" i="9"/>
  <c r="G140" i="8"/>
  <c r="F140" i="8"/>
  <c r="E141" i="8"/>
  <c r="D141" i="11" l="1"/>
  <c r="E141" i="11" s="1"/>
  <c r="G140" i="11"/>
  <c r="F140" i="11"/>
  <c r="D141" i="10"/>
  <c r="E141" i="10" s="1"/>
  <c r="G140" i="10"/>
  <c r="F140" i="10"/>
  <c r="G140" i="9"/>
  <c r="F140" i="9"/>
  <c r="D141" i="9"/>
  <c r="E141" i="9" s="1"/>
  <c r="E142" i="8"/>
  <c r="G141" i="8"/>
  <c r="F141" i="8"/>
  <c r="D142" i="11" l="1"/>
  <c r="E142" i="11" s="1"/>
  <c r="F141" i="11"/>
  <c r="G141" i="11"/>
  <c r="F141" i="10"/>
  <c r="G141" i="10"/>
  <c r="D142" i="10"/>
  <c r="E142" i="10" s="1"/>
  <c r="D142" i="9"/>
  <c r="E142" i="9" s="1"/>
  <c r="F141" i="9"/>
  <c r="G141" i="9"/>
  <c r="G142" i="8"/>
  <c r="F142" i="8"/>
  <c r="E143" i="8"/>
  <c r="F142" i="11" l="1"/>
  <c r="G142" i="11"/>
  <c r="D143" i="11"/>
  <c r="E143" i="11" s="1"/>
  <c r="D143" i="10"/>
  <c r="E143" i="10" s="1"/>
  <c r="F142" i="10"/>
  <c r="G142" i="10"/>
  <c r="D143" i="9"/>
  <c r="E143" i="9" s="1"/>
  <c r="G142" i="9"/>
  <c r="F142" i="9"/>
  <c r="G143" i="8"/>
  <c r="F143" i="8"/>
  <c r="E144" i="8"/>
  <c r="D144" i="11" l="1"/>
  <c r="E144" i="11" s="1"/>
  <c r="G143" i="11"/>
  <c r="F143" i="11"/>
  <c r="D144" i="10"/>
  <c r="E144" i="10" s="1"/>
  <c r="G143" i="10"/>
  <c r="F143" i="10"/>
  <c r="G143" i="9"/>
  <c r="F143" i="9"/>
  <c r="D144" i="9"/>
  <c r="E144" i="9" s="1"/>
  <c r="E145" i="8"/>
  <c r="G144" i="8"/>
  <c r="F144" i="8"/>
  <c r="G144" i="11" l="1"/>
  <c r="F144" i="11"/>
  <c r="D145" i="11"/>
  <c r="E145" i="11" s="1"/>
  <c r="G144" i="10"/>
  <c r="F144" i="10"/>
  <c r="D145" i="10"/>
  <c r="E145" i="10" s="1"/>
  <c r="D145" i="9"/>
  <c r="E145" i="9" s="1"/>
  <c r="G144" i="9"/>
  <c r="F144" i="9"/>
  <c r="G145" i="8"/>
  <c r="F145" i="8"/>
  <c r="E146" i="8"/>
  <c r="F145" i="11" l="1"/>
  <c r="G145" i="11"/>
  <c r="D146" i="11"/>
  <c r="E146" i="11" s="1"/>
  <c r="F145" i="10"/>
  <c r="G145" i="10"/>
  <c r="D146" i="10"/>
  <c r="E146" i="10" s="1"/>
  <c r="F145" i="9"/>
  <c r="G145" i="9"/>
  <c r="D146" i="9"/>
  <c r="E146" i="9" s="1"/>
  <c r="G146" i="8"/>
  <c r="F146" i="8"/>
  <c r="E147" i="8"/>
  <c r="D147" i="11" l="1"/>
  <c r="E147" i="11" s="1"/>
  <c r="G146" i="11"/>
  <c r="F146" i="11"/>
  <c r="F146" i="10"/>
  <c r="G146" i="10"/>
  <c r="D147" i="10"/>
  <c r="E147" i="10" s="1"/>
  <c r="D147" i="9"/>
  <c r="E147" i="9" s="1"/>
  <c r="G146" i="9"/>
  <c r="F146" i="9"/>
  <c r="E148" i="8"/>
  <c r="G147" i="8"/>
  <c r="F147" i="8"/>
  <c r="G147" i="11" l="1"/>
  <c r="F147" i="11"/>
  <c r="D148" i="11"/>
  <c r="E148" i="11" s="1"/>
  <c r="G147" i="10"/>
  <c r="F147" i="10"/>
  <c r="D148" i="10"/>
  <c r="E148" i="10" s="1"/>
  <c r="F147" i="9"/>
  <c r="G147" i="9"/>
  <c r="D148" i="9"/>
  <c r="E148" i="9" s="1"/>
  <c r="E149" i="8"/>
  <c r="G148" i="8"/>
  <c r="F148" i="8"/>
  <c r="D149" i="11" l="1"/>
  <c r="E149" i="11" s="1"/>
  <c r="G148" i="11"/>
  <c r="F148" i="11"/>
  <c r="F148" i="10"/>
  <c r="G148" i="10"/>
  <c r="D149" i="10"/>
  <c r="E149" i="10" s="1"/>
  <c r="D149" i="9"/>
  <c r="E149" i="9" s="1"/>
  <c r="G148" i="9"/>
  <c r="F148" i="9"/>
  <c r="E150" i="8"/>
  <c r="G149" i="8"/>
  <c r="F149" i="8"/>
  <c r="G149" i="11" l="1"/>
  <c r="F149" i="11"/>
  <c r="D150" i="11"/>
  <c r="E150" i="11" s="1"/>
  <c r="G149" i="10"/>
  <c r="F149" i="10"/>
  <c r="D150" i="10"/>
  <c r="E150" i="10" s="1"/>
  <c r="G149" i="9"/>
  <c r="F149" i="9"/>
  <c r="D150" i="9"/>
  <c r="E150" i="9" s="1"/>
  <c r="E151" i="8"/>
  <c r="G150" i="8"/>
  <c r="F150" i="8"/>
  <c r="D151" i="11" l="1"/>
  <c r="E151" i="11" s="1"/>
  <c r="G150" i="11"/>
  <c r="F150" i="11"/>
  <c r="G150" i="10"/>
  <c r="F150" i="10"/>
  <c r="D151" i="10"/>
  <c r="E151" i="10" s="1"/>
  <c r="G150" i="9"/>
  <c r="F150" i="9"/>
  <c r="D151" i="9"/>
  <c r="E151" i="9" s="1"/>
  <c r="G151" i="8"/>
  <c r="F151" i="8"/>
  <c r="E152" i="8"/>
  <c r="D152" i="11" l="1"/>
  <c r="E152" i="11" s="1"/>
  <c r="G151" i="11"/>
  <c r="F151" i="11"/>
  <c r="D152" i="10"/>
  <c r="E152" i="10" s="1"/>
  <c r="G151" i="10"/>
  <c r="F151" i="10"/>
  <c r="G151" i="9"/>
  <c r="F151" i="9"/>
  <c r="D152" i="9"/>
  <c r="E152" i="9" s="1"/>
  <c r="G152" i="8"/>
  <c r="F152" i="8"/>
  <c r="E153" i="8"/>
  <c r="D153" i="11" l="1"/>
  <c r="E153" i="11" s="1"/>
  <c r="G152" i="11"/>
  <c r="F152" i="11"/>
  <c r="D153" i="10"/>
  <c r="E153" i="10" s="1"/>
  <c r="G152" i="10"/>
  <c r="F152" i="10"/>
  <c r="D153" i="9"/>
  <c r="E153" i="9" s="1"/>
  <c r="G152" i="9"/>
  <c r="F152" i="9"/>
  <c r="E154" i="8"/>
  <c r="F153" i="8"/>
  <c r="G153" i="8"/>
  <c r="D154" i="11" l="1"/>
  <c r="E154" i="11" s="1"/>
  <c r="F153" i="11"/>
  <c r="G153" i="11"/>
  <c r="F153" i="10"/>
  <c r="G153" i="10"/>
  <c r="D154" i="10"/>
  <c r="E154" i="10" s="1"/>
  <c r="D154" i="9"/>
  <c r="E154" i="9" s="1"/>
  <c r="F153" i="9"/>
  <c r="G153" i="9"/>
  <c r="F154" i="8"/>
  <c r="G154" i="8"/>
  <c r="E155" i="8"/>
  <c r="F154" i="11" l="1"/>
  <c r="G154" i="11"/>
  <c r="D155" i="11"/>
  <c r="E155" i="11" s="1"/>
  <c r="D155" i="10"/>
  <c r="E155" i="10" s="1"/>
  <c r="F154" i="10"/>
  <c r="G154" i="10"/>
  <c r="D155" i="9"/>
  <c r="E155" i="9" s="1"/>
  <c r="G154" i="9"/>
  <c r="F154" i="9"/>
  <c r="F155" i="8"/>
  <c r="G155" i="8"/>
  <c r="E156" i="8"/>
  <c r="D156" i="11" l="1"/>
  <c r="E156" i="11" s="1"/>
  <c r="G155" i="11"/>
  <c r="F155" i="11"/>
  <c r="D156" i="10"/>
  <c r="E156" i="10" s="1"/>
  <c r="G155" i="10"/>
  <c r="F155" i="10"/>
  <c r="G155" i="9"/>
  <c r="F155" i="9"/>
  <c r="D156" i="9"/>
  <c r="E156" i="9" s="1"/>
  <c r="F156" i="8"/>
  <c r="G156" i="8"/>
  <c r="E157" i="8"/>
  <c r="G156" i="11" l="1"/>
  <c r="F156" i="11"/>
  <c r="D157" i="11"/>
  <c r="E157" i="11" s="1"/>
  <c r="G156" i="10"/>
  <c r="F156" i="10"/>
  <c r="D157" i="10"/>
  <c r="E157" i="10" s="1"/>
  <c r="G156" i="9"/>
  <c r="F156" i="9"/>
  <c r="D157" i="9"/>
  <c r="E157" i="9" s="1"/>
  <c r="G157" i="8"/>
  <c r="F157" i="8"/>
  <c r="E158" i="8"/>
  <c r="F157" i="11" l="1"/>
  <c r="G157" i="11"/>
  <c r="D158" i="11"/>
  <c r="E158" i="11" s="1"/>
  <c r="D158" i="10"/>
  <c r="E158" i="10" s="1"/>
  <c r="F157" i="10"/>
  <c r="G157" i="10"/>
  <c r="G157" i="9"/>
  <c r="F157" i="9"/>
  <c r="D158" i="9"/>
  <c r="E158" i="9" s="1"/>
  <c r="G158" i="8"/>
  <c r="F158" i="8"/>
  <c r="E159" i="8"/>
  <c r="D159" i="11" l="1"/>
  <c r="E159" i="11" s="1"/>
  <c r="G158" i="11"/>
  <c r="F158" i="11"/>
  <c r="F158" i="10"/>
  <c r="G158" i="10"/>
  <c r="D159" i="10"/>
  <c r="E159" i="10" s="1"/>
  <c r="D159" i="9"/>
  <c r="E159" i="9" s="1"/>
  <c r="G158" i="9"/>
  <c r="F158" i="9"/>
  <c r="E160" i="8"/>
  <c r="G159" i="8"/>
  <c r="F159" i="8"/>
  <c r="G159" i="11" l="1"/>
  <c r="F159" i="11"/>
  <c r="D160" i="11"/>
  <c r="E160" i="11" s="1"/>
  <c r="G159" i="10"/>
  <c r="F159" i="10"/>
  <c r="D160" i="10"/>
  <c r="E160" i="10" s="1"/>
  <c r="F159" i="9"/>
  <c r="G159" i="9"/>
  <c r="D160" i="9"/>
  <c r="E160" i="9" s="1"/>
  <c r="E161" i="8"/>
  <c r="F160" i="8"/>
  <c r="G160" i="8"/>
  <c r="D161" i="11" l="1"/>
  <c r="E161" i="11" s="1"/>
  <c r="G160" i="11"/>
  <c r="F160" i="11"/>
  <c r="D161" i="10"/>
  <c r="E161" i="10" s="1"/>
  <c r="F160" i="10"/>
  <c r="G160" i="10"/>
  <c r="D161" i="9"/>
  <c r="E161" i="9" s="1"/>
  <c r="G160" i="9"/>
  <c r="F160" i="9"/>
  <c r="G161" i="8"/>
  <c r="F161" i="8"/>
  <c r="E162" i="8"/>
  <c r="G161" i="11" l="1"/>
  <c r="F161" i="11"/>
  <c r="D162" i="11"/>
  <c r="E162" i="11" s="1"/>
  <c r="D162" i="10"/>
  <c r="E162" i="10" s="1"/>
  <c r="G161" i="10"/>
  <c r="F161" i="10"/>
  <c r="G161" i="9"/>
  <c r="F161" i="9"/>
  <c r="D162" i="9"/>
  <c r="E162" i="9" s="1"/>
  <c r="G162" i="8"/>
  <c r="F162" i="8"/>
  <c r="E163" i="8"/>
  <c r="D163" i="11" l="1"/>
  <c r="E163" i="11" s="1"/>
  <c r="G162" i="11"/>
  <c r="F162" i="11"/>
  <c r="G162" i="10"/>
  <c r="F162" i="10"/>
  <c r="D163" i="10"/>
  <c r="E163" i="10" s="1"/>
  <c r="G162" i="9"/>
  <c r="F162" i="9"/>
  <c r="D163" i="9"/>
  <c r="E163" i="9" s="1"/>
  <c r="E164" i="8"/>
  <c r="G163" i="8"/>
  <c r="F163" i="8"/>
  <c r="G163" i="11" l="1"/>
  <c r="F163" i="11"/>
  <c r="D164" i="11"/>
  <c r="E164" i="11" s="1"/>
  <c r="D164" i="10"/>
  <c r="E164" i="10" s="1"/>
  <c r="G163" i="10"/>
  <c r="F163" i="10"/>
  <c r="G163" i="9"/>
  <c r="F163" i="9"/>
  <c r="D164" i="9"/>
  <c r="E164" i="9" s="1"/>
  <c r="G164" i="8"/>
  <c r="F164" i="8"/>
  <c r="E165" i="8"/>
  <c r="D165" i="11" l="1"/>
  <c r="E165" i="11" s="1"/>
  <c r="G164" i="11"/>
  <c r="F164" i="11"/>
  <c r="G164" i="10"/>
  <c r="F164" i="10"/>
  <c r="D165" i="10"/>
  <c r="E165" i="10" s="1"/>
  <c r="G164" i="9"/>
  <c r="F164" i="9"/>
  <c r="D165" i="9"/>
  <c r="E165" i="9" s="1"/>
  <c r="E166" i="8"/>
  <c r="F165" i="8"/>
  <c r="G165" i="8"/>
  <c r="D166" i="11" l="1"/>
  <c r="E166" i="11" s="1"/>
  <c r="G165" i="11"/>
  <c r="F165" i="11"/>
  <c r="D166" i="10"/>
  <c r="E166" i="10" s="1"/>
  <c r="F165" i="10"/>
  <c r="G165" i="10"/>
  <c r="D166" i="9"/>
  <c r="E166" i="9" s="1"/>
  <c r="G165" i="9"/>
  <c r="F165" i="9"/>
  <c r="E167" i="8"/>
  <c r="G166" i="8"/>
  <c r="F166" i="8"/>
  <c r="G166" i="11" l="1"/>
  <c r="F166" i="11"/>
  <c r="D167" i="11"/>
  <c r="E167" i="11" s="1"/>
  <c r="F166" i="10"/>
  <c r="G166" i="10"/>
  <c r="D167" i="10"/>
  <c r="E167" i="10" s="1"/>
  <c r="G166" i="9"/>
  <c r="F166" i="9"/>
  <c r="D167" i="9"/>
  <c r="E167" i="9" s="1"/>
  <c r="G167" i="8"/>
  <c r="F167" i="8"/>
  <c r="E168" i="8"/>
  <c r="D168" i="11" l="1"/>
  <c r="E168" i="11" s="1"/>
  <c r="F167" i="11"/>
  <c r="G167" i="11"/>
  <c r="F167" i="10"/>
  <c r="G167" i="10"/>
  <c r="D168" i="10"/>
  <c r="E168" i="10" s="1"/>
  <c r="D168" i="9"/>
  <c r="E168" i="9" s="1"/>
  <c r="F167" i="9"/>
  <c r="G167" i="9"/>
  <c r="E169" i="8"/>
  <c r="G168" i="8"/>
  <c r="F168" i="8"/>
  <c r="G168" i="11" l="1"/>
  <c r="F168" i="11"/>
  <c r="D169" i="11"/>
  <c r="E169" i="11" s="1"/>
  <c r="D169" i="10"/>
  <c r="E169" i="10" s="1"/>
  <c r="G168" i="10"/>
  <c r="F168" i="10"/>
  <c r="G168" i="9"/>
  <c r="F168" i="9"/>
  <c r="D169" i="9"/>
  <c r="E169" i="9" s="1"/>
  <c r="E170" i="8"/>
  <c r="F169" i="8"/>
  <c r="G169" i="8"/>
  <c r="F169" i="11" l="1"/>
  <c r="G169" i="11"/>
  <c r="D170" i="11"/>
  <c r="E170" i="11" s="1"/>
  <c r="G169" i="10"/>
  <c r="F169" i="10"/>
  <c r="D170" i="10"/>
  <c r="E170" i="10" s="1"/>
  <c r="G169" i="9"/>
  <c r="F169" i="9"/>
  <c r="D170" i="9"/>
  <c r="E170" i="9" s="1"/>
  <c r="E171" i="8"/>
  <c r="G170" i="8"/>
  <c r="F170" i="8"/>
  <c r="G170" i="11" l="1"/>
  <c r="F170" i="11"/>
  <c r="D171" i="11"/>
  <c r="E171" i="11" s="1"/>
  <c r="D171" i="10"/>
  <c r="E171" i="10" s="1"/>
  <c r="G170" i="10"/>
  <c r="F170" i="10"/>
  <c r="G170" i="9"/>
  <c r="F170" i="9"/>
  <c r="D171" i="9"/>
  <c r="E171" i="9" s="1"/>
  <c r="G171" i="8"/>
  <c r="F171" i="8"/>
  <c r="E172" i="8"/>
  <c r="G171" i="11" l="1"/>
  <c r="F171" i="11"/>
  <c r="D172" i="11"/>
  <c r="E172" i="11" s="1"/>
  <c r="F171" i="10"/>
  <c r="G171" i="10"/>
  <c r="D172" i="10"/>
  <c r="E172" i="10" s="1"/>
  <c r="G171" i="9"/>
  <c r="F171" i="9"/>
  <c r="D172" i="9"/>
  <c r="E172" i="9" s="1"/>
  <c r="E173" i="8"/>
  <c r="F172" i="8"/>
  <c r="G172" i="8"/>
  <c r="G172" i="11" l="1"/>
  <c r="F172" i="11"/>
  <c r="D173" i="11"/>
  <c r="E173" i="11" s="1"/>
  <c r="D173" i="10"/>
  <c r="E173" i="10" s="1"/>
  <c r="G172" i="10"/>
  <c r="F172" i="10"/>
  <c r="D173" i="9"/>
  <c r="E173" i="9" s="1"/>
  <c r="G172" i="9"/>
  <c r="F172" i="9"/>
  <c r="E174" i="8"/>
  <c r="G173" i="8"/>
  <c r="F173" i="8"/>
  <c r="G173" i="11" l="1"/>
  <c r="F173" i="11"/>
  <c r="D174" i="11"/>
  <c r="E174" i="11" s="1"/>
  <c r="D174" i="10"/>
  <c r="E174" i="10" s="1"/>
  <c r="F173" i="10"/>
  <c r="G173" i="10"/>
  <c r="G173" i="9"/>
  <c r="F173" i="9"/>
  <c r="D174" i="9"/>
  <c r="E174" i="9" s="1"/>
  <c r="G174" i="8"/>
  <c r="F174" i="8"/>
  <c r="E175" i="8"/>
  <c r="D175" i="11" l="1"/>
  <c r="E175" i="11" s="1"/>
  <c r="G174" i="11"/>
  <c r="F174" i="11"/>
  <c r="G174" i="10"/>
  <c r="F174" i="10"/>
  <c r="D175" i="10"/>
  <c r="E175" i="10" s="1"/>
  <c r="D175" i="9"/>
  <c r="E175" i="9" s="1"/>
  <c r="G174" i="9"/>
  <c r="F174" i="9"/>
  <c r="G175" i="8"/>
  <c r="F175" i="8"/>
  <c r="E176" i="8"/>
  <c r="G175" i="11" l="1"/>
  <c r="F175" i="11"/>
  <c r="D176" i="11"/>
  <c r="E176" i="11" s="1"/>
  <c r="D176" i="10"/>
  <c r="E176" i="10" s="1"/>
  <c r="G175" i="10"/>
  <c r="F175" i="10"/>
  <c r="G175" i="9"/>
  <c r="F175" i="9"/>
  <c r="D176" i="9"/>
  <c r="E176" i="9" s="1"/>
  <c r="G176" i="8"/>
  <c r="F176" i="8"/>
  <c r="E177" i="8"/>
  <c r="D177" i="11" l="1"/>
  <c r="E177" i="11" s="1"/>
  <c r="G176" i="11"/>
  <c r="F176" i="11"/>
  <c r="F176" i="10"/>
  <c r="G176" i="10"/>
  <c r="D177" i="10"/>
  <c r="E177" i="10" s="1"/>
  <c r="G176" i="9"/>
  <c r="F176" i="9"/>
  <c r="D177" i="9"/>
  <c r="E177" i="9" s="1"/>
  <c r="G177" i="8"/>
  <c r="F177" i="8"/>
  <c r="E178" i="8"/>
  <c r="D178" i="11" l="1"/>
  <c r="E178" i="11" s="1"/>
  <c r="F177" i="11"/>
  <c r="G177" i="11"/>
  <c r="D178" i="10"/>
  <c r="E178" i="10" s="1"/>
  <c r="G177" i="10"/>
  <c r="F177" i="10"/>
  <c r="D178" i="9"/>
  <c r="E178" i="9" s="1"/>
  <c r="G177" i="9"/>
  <c r="F177" i="9"/>
  <c r="E179" i="8"/>
  <c r="F178" i="8"/>
  <c r="G178" i="8"/>
  <c r="G178" i="11" l="1"/>
  <c r="F178" i="11"/>
  <c r="D179" i="11"/>
  <c r="E179" i="11" s="1"/>
  <c r="F178" i="10"/>
  <c r="G178" i="10"/>
  <c r="D179" i="10"/>
  <c r="E179" i="10" s="1"/>
  <c r="G178" i="9"/>
  <c r="F178" i="9"/>
  <c r="D179" i="9"/>
  <c r="E179" i="9" s="1"/>
  <c r="E180" i="8"/>
  <c r="G179" i="8"/>
  <c r="F179" i="8"/>
  <c r="D180" i="11" l="1"/>
  <c r="E180" i="11" s="1"/>
  <c r="F179" i="11"/>
  <c r="G179" i="11"/>
  <c r="D180" i="10"/>
  <c r="E180" i="10" s="1"/>
  <c r="F179" i="10"/>
  <c r="G179" i="10"/>
  <c r="D180" i="9"/>
  <c r="E180" i="9" s="1"/>
  <c r="F179" i="9"/>
  <c r="G179" i="9"/>
  <c r="G180" i="8"/>
  <c r="F180" i="8"/>
  <c r="E181" i="8"/>
  <c r="G180" i="11" l="1"/>
  <c r="F180" i="11"/>
  <c r="D181" i="11"/>
  <c r="E181" i="11" s="1"/>
  <c r="D181" i="10"/>
  <c r="E181" i="10" s="1"/>
  <c r="G180" i="10"/>
  <c r="F180" i="10"/>
  <c r="G180" i="9"/>
  <c r="F180" i="9"/>
  <c r="D181" i="9"/>
  <c r="E181" i="9" s="1"/>
  <c r="E182" i="8"/>
  <c r="G181" i="8"/>
  <c r="F181" i="8"/>
  <c r="F181" i="11" l="1"/>
  <c r="G181" i="11"/>
  <c r="D182" i="11"/>
  <c r="E182" i="11" s="1"/>
  <c r="G181" i="10"/>
  <c r="F181" i="10"/>
  <c r="D182" i="10"/>
  <c r="E182" i="10" s="1"/>
  <c r="G181" i="9"/>
  <c r="F181" i="9"/>
  <c r="D182" i="9"/>
  <c r="E182" i="9" s="1"/>
  <c r="E183" i="8"/>
  <c r="G182" i="8"/>
  <c r="F182" i="8"/>
  <c r="G182" i="11" l="1"/>
  <c r="F182" i="11"/>
  <c r="D183" i="11"/>
  <c r="E183" i="11" s="1"/>
  <c r="G182" i="10"/>
  <c r="F182" i="10"/>
  <c r="D183" i="10"/>
  <c r="E183" i="10" s="1"/>
  <c r="G182" i="9"/>
  <c r="F182" i="9"/>
  <c r="D183" i="9"/>
  <c r="E183" i="9" s="1"/>
  <c r="E184" i="8"/>
  <c r="G183" i="8"/>
  <c r="F183" i="8"/>
  <c r="G183" i="11" l="1"/>
  <c r="F183" i="11"/>
  <c r="D184" i="11"/>
  <c r="E184" i="11" s="1"/>
  <c r="D184" i="10"/>
  <c r="E184" i="10" s="1"/>
  <c r="G183" i="10"/>
  <c r="F183" i="10"/>
  <c r="G183" i="9"/>
  <c r="F183" i="9"/>
  <c r="D184" i="9"/>
  <c r="E184" i="9" s="1"/>
  <c r="F184" i="8"/>
  <c r="G184" i="8"/>
  <c r="E185" i="8"/>
  <c r="D185" i="11" l="1"/>
  <c r="E185" i="11" s="1"/>
  <c r="G184" i="11"/>
  <c r="F184" i="11"/>
  <c r="D185" i="10"/>
  <c r="E185" i="10" s="1"/>
  <c r="F184" i="10"/>
  <c r="G184" i="10"/>
  <c r="D185" i="9"/>
  <c r="E185" i="9" s="1"/>
  <c r="G184" i="9"/>
  <c r="F184" i="9"/>
  <c r="E186" i="8"/>
  <c r="G185" i="8"/>
  <c r="F185" i="8"/>
  <c r="G185" i="11" l="1"/>
  <c r="F185" i="11"/>
  <c r="D186" i="11"/>
  <c r="E186" i="11" s="1"/>
  <c r="D186" i="10"/>
  <c r="E186" i="10" s="1"/>
  <c r="G185" i="10"/>
  <c r="F185" i="10"/>
  <c r="G185" i="9"/>
  <c r="F185" i="9"/>
  <c r="D186" i="9"/>
  <c r="E186" i="9" s="1"/>
  <c r="G186" i="8"/>
  <c r="F186" i="8"/>
  <c r="E187" i="8"/>
  <c r="D187" i="11" l="1"/>
  <c r="E187" i="11" s="1"/>
  <c r="G186" i="11"/>
  <c r="F186" i="11"/>
  <c r="G186" i="10"/>
  <c r="F186" i="10"/>
  <c r="D187" i="10"/>
  <c r="E187" i="10" s="1"/>
  <c r="D187" i="9"/>
  <c r="E187" i="9" s="1"/>
  <c r="G186" i="9"/>
  <c r="F186" i="9"/>
  <c r="G187" i="8"/>
  <c r="F187" i="8"/>
  <c r="E188" i="8"/>
  <c r="G187" i="11" l="1"/>
  <c r="F187" i="11"/>
  <c r="D188" i="11"/>
  <c r="E188" i="11" s="1"/>
  <c r="F187" i="10"/>
  <c r="G187" i="10"/>
  <c r="D188" i="10"/>
  <c r="E188" i="10" s="1"/>
  <c r="G187" i="9"/>
  <c r="F187" i="9"/>
  <c r="D188" i="9"/>
  <c r="E188" i="9" s="1"/>
  <c r="G188" i="8"/>
  <c r="F188" i="8"/>
  <c r="E189" i="8"/>
  <c r="D189" i="11" l="1"/>
  <c r="E189" i="11" s="1"/>
  <c r="G188" i="11"/>
  <c r="F188" i="11"/>
  <c r="F188" i="10"/>
  <c r="G188" i="10"/>
  <c r="D189" i="10"/>
  <c r="E189" i="10" s="1"/>
  <c r="G188" i="9"/>
  <c r="F188" i="9"/>
  <c r="D189" i="9"/>
  <c r="E189" i="9" s="1"/>
  <c r="G189" i="8"/>
  <c r="F189" i="8"/>
  <c r="E190" i="8"/>
  <c r="D190" i="11" l="1"/>
  <c r="E190" i="11" s="1"/>
  <c r="F189" i="11"/>
  <c r="G189" i="11"/>
  <c r="D190" i="10"/>
  <c r="E190" i="10" s="1"/>
  <c r="F189" i="10"/>
  <c r="G189" i="10"/>
  <c r="D190" i="9"/>
  <c r="E190" i="9" s="1"/>
  <c r="G189" i="9"/>
  <c r="F189" i="9"/>
  <c r="G190" i="8"/>
  <c r="F190" i="8"/>
  <c r="E191" i="8"/>
  <c r="G190" i="11" l="1"/>
  <c r="F190" i="11"/>
  <c r="D191" i="11"/>
  <c r="E191" i="11" s="1"/>
  <c r="D191" i="10"/>
  <c r="E191" i="10" s="1"/>
  <c r="G190" i="10"/>
  <c r="F190" i="10"/>
  <c r="G190" i="9"/>
  <c r="F190" i="9"/>
  <c r="D191" i="9"/>
  <c r="E191" i="9" s="1"/>
  <c r="G191" i="8"/>
  <c r="F191" i="8"/>
  <c r="E192" i="8"/>
  <c r="D192" i="11" l="1"/>
  <c r="E192" i="11" s="1"/>
  <c r="F191" i="11"/>
  <c r="G191" i="11"/>
  <c r="F191" i="10"/>
  <c r="G191" i="10"/>
  <c r="D192" i="10"/>
  <c r="E192" i="10" s="1"/>
  <c r="D192" i="9"/>
  <c r="E192" i="9" s="1"/>
  <c r="F191" i="9"/>
  <c r="G191" i="9"/>
  <c r="E193" i="8"/>
  <c r="G192" i="8"/>
  <c r="F192" i="8"/>
  <c r="G192" i="11" l="1"/>
  <c r="F192" i="11"/>
  <c r="D193" i="11"/>
  <c r="E193" i="11" s="1"/>
  <c r="G192" i="10"/>
  <c r="F192" i="10"/>
  <c r="D193" i="10"/>
  <c r="E193" i="10" s="1"/>
  <c r="G192" i="9"/>
  <c r="F192" i="9"/>
  <c r="D193" i="9"/>
  <c r="E193" i="9" s="1"/>
  <c r="G193" i="8"/>
  <c r="F193" i="8"/>
  <c r="E194" i="8"/>
  <c r="F193" i="11" l="1"/>
  <c r="G193" i="11"/>
  <c r="D194" i="11"/>
  <c r="E194" i="11" s="1"/>
  <c r="G193" i="10"/>
  <c r="F193" i="10"/>
  <c r="D194" i="10"/>
  <c r="E194" i="10" s="1"/>
  <c r="G193" i="9"/>
  <c r="F193" i="9"/>
  <c r="D194" i="9"/>
  <c r="E194" i="9" s="1"/>
  <c r="E195" i="8"/>
  <c r="F194" i="8"/>
  <c r="G194" i="8"/>
  <c r="G194" i="11" l="1"/>
  <c r="F194" i="11"/>
  <c r="D195" i="11"/>
  <c r="E195" i="11" s="1"/>
  <c r="D195" i="10"/>
  <c r="E195" i="10" s="1"/>
  <c r="F194" i="10"/>
  <c r="G194" i="10"/>
  <c r="G194" i="9"/>
  <c r="F194" i="9"/>
  <c r="D195" i="9"/>
  <c r="E195" i="9" s="1"/>
  <c r="G195" i="8"/>
  <c r="F195" i="8"/>
  <c r="E196" i="8"/>
  <c r="G195" i="11" l="1"/>
  <c r="F195" i="11"/>
  <c r="D196" i="11"/>
  <c r="E196" i="11" s="1"/>
  <c r="G195" i="10"/>
  <c r="F195" i="10"/>
  <c r="D196" i="10"/>
  <c r="E196" i="10" s="1"/>
  <c r="G195" i="9"/>
  <c r="F195" i="9"/>
  <c r="D196" i="9"/>
  <c r="E196" i="9" s="1"/>
  <c r="F196" i="8"/>
  <c r="G196" i="8"/>
  <c r="E197" i="8"/>
  <c r="G196" i="11" l="1"/>
  <c r="F196" i="11"/>
  <c r="D197" i="11"/>
  <c r="E197" i="11" s="1"/>
  <c r="D197" i="10"/>
  <c r="E197" i="10" s="1"/>
  <c r="G196" i="10"/>
  <c r="F196" i="10"/>
  <c r="D197" i="9"/>
  <c r="E197" i="9" s="1"/>
  <c r="G196" i="9"/>
  <c r="F196" i="9"/>
  <c r="E198" i="8"/>
  <c r="F197" i="8"/>
  <c r="G197" i="8"/>
  <c r="G197" i="11" l="1"/>
  <c r="F197" i="11"/>
  <c r="D198" i="11"/>
  <c r="E198" i="11" s="1"/>
  <c r="D198" i="10"/>
  <c r="E198" i="10" s="1"/>
  <c r="G197" i="10"/>
  <c r="F197" i="10"/>
  <c r="G197" i="9"/>
  <c r="F197" i="9"/>
  <c r="D198" i="9"/>
  <c r="E198" i="9" s="1"/>
  <c r="G198" i="8"/>
  <c r="F198" i="8"/>
  <c r="E199" i="8"/>
  <c r="D199" i="11" l="1"/>
  <c r="E199" i="11" s="1"/>
  <c r="G198" i="11"/>
  <c r="F198" i="11"/>
  <c r="G198" i="10"/>
  <c r="F198" i="10"/>
  <c r="D199" i="10"/>
  <c r="E199" i="10" s="1"/>
  <c r="D199" i="9"/>
  <c r="E199" i="9" s="1"/>
  <c r="G198" i="9"/>
  <c r="F198" i="9"/>
  <c r="F199" i="8"/>
  <c r="G199" i="8"/>
  <c r="E200" i="8"/>
  <c r="G199" i="11" l="1"/>
  <c r="F199" i="11"/>
  <c r="D200" i="11"/>
  <c r="E200" i="11" s="1"/>
  <c r="F199" i="10"/>
  <c r="G199" i="10"/>
  <c r="D200" i="10"/>
  <c r="E200" i="10" s="1"/>
  <c r="G199" i="9"/>
  <c r="F199" i="9"/>
  <c r="D200" i="9"/>
  <c r="E200" i="9" s="1"/>
  <c r="E201" i="8"/>
  <c r="F200" i="8"/>
  <c r="G200" i="8"/>
  <c r="D201" i="11" l="1"/>
  <c r="E201" i="11" s="1"/>
  <c r="G200" i="11"/>
  <c r="F200" i="11"/>
  <c r="F200" i="10"/>
  <c r="G200" i="10"/>
  <c r="D201" i="10"/>
  <c r="E201" i="10" s="1"/>
  <c r="G200" i="9"/>
  <c r="F200" i="9"/>
  <c r="D201" i="9"/>
  <c r="E201" i="9" s="1"/>
  <c r="G201" i="8"/>
  <c r="F201" i="8"/>
  <c r="E202" i="8"/>
  <c r="D202" i="11" l="1"/>
  <c r="E202" i="11" s="1"/>
  <c r="G201" i="11"/>
  <c r="F201" i="11"/>
  <c r="D202" i="10"/>
  <c r="E202" i="10" s="1"/>
  <c r="G201" i="10"/>
  <c r="F201" i="10"/>
  <c r="D202" i="9"/>
  <c r="E202" i="9" s="1"/>
  <c r="G201" i="9"/>
  <c r="F201" i="9"/>
  <c r="E203" i="8"/>
  <c r="G202" i="8"/>
  <c r="F202" i="8"/>
  <c r="G202" i="11" l="1"/>
  <c r="F202" i="11"/>
  <c r="D203" i="11"/>
  <c r="E203" i="11" s="1"/>
  <c r="D203" i="10"/>
  <c r="E203" i="10" s="1"/>
  <c r="F202" i="10"/>
  <c r="G202" i="10"/>
  <c r="G202" i="9"/>
  <c r="F202" i="9"/>
  <c r="D203" i="9"/>
  <c r="E203" i="9" s="1"/>
  <c r="E204" i="8"/>
  <c r="G203" i="8"/>
  <c r="F203" i="8"/>
  <c r="D204" i="11" l="1"/>
  <c r="E204" i="11" s="1"/>
  <c r="F203" i="11"/>
  <c r="G203" i="11"/>
  <c r="F203" i="10"/>
  <c r="G203" i="10"/>
  <c r="D204" i="10"/>
  <c r="E204" i="10" s="1"/>
  <c r="D204" i="9"/>
  <c r="E204" i="9" s="1"/>
  <c r="F203" i="9"/>
  <c r="G203" i="9"/>
  <c r="G204" i="8"/>
  <c r="F204" i="8"/>
  <c r="E205" i="8"/>
  <c r="G204" i="11" l="1"/>
  <c r="F204" i="11"/>
  <c r="D205" i="11"/>
  <c r="E205" i="11" s="1"/>
  <c r="D205" i="10"/>
  <c r="E205" i="10" s="1"/>
  <c r="F204" i="10"/>
  <c r="G204" i="10"/>
  <c r="G204" i="9"/>
  <c r="F204" i="9"/>
  <c r="D205" i="9"/>
  <c r="E205" i="9" s="1"/>
  <c r="G205" i="8"/>
  <c r="F205" i="8"/>
  <c r="E206" i="8"/>
  <c r="F205" i="11" l="1"/>
  <c r="G205" i="11"/>
  <c r="D206" i="11"/>
  <c r="E206" i="11" s="1"/>
  <c r="G205" i="10"/>
  <c r="F205" i="10"/>
  <c r="D206" i="10"/>
  <c r="E206" i="10" s="1"/>
  <c r="G205" i="9"/>
  <c r="F205" i="9"/>
  <c r="D206" i="9"/>
  <c r="E206" i="9" s="1"/>
  <c r="E207" i="8"/>
  <c r="G206" i="8"/>
  <c r="F206" i="8"/>
  <c r="G206" i="11" l="1"/>
  <c r="F206" i="11"/>
  <c r="D207" i="11"/>
  <c r="E207" i="11" s="1"/>
  <c r="D207" i="10"/>
  <c r="E207" i="10" s="1"/>
  <c r="G206" i="10"/>
  <c r="F206" i="10"/>
  <c r="G206" i="9"/>
  <c r="F206" i="9"/>
  <c r="D207" i="9"/>
  <c r="E207" i="9" s="1"/>
  <c r="E208" i="8"/>
  <c r="F207" i="8"/>
  <c r="G207" i="8"/>
  <c r="G207" i="11" l="1"/>
  <c r="F207" i="11"/>
  <c r="D208" i="11"/>
  <c r="E208" i="11" s="1"/>
  <c r="F207" i="10"/>
  <c r="G207" i="10"/>
  <c r="D208" i="10"/>
  <c r="E208" i="10" s="1"/>
  <c r="G207" i="9"/>
  <c r="F207" i="9"/>
  <c r="D208" i="9"/>
  <c r="E208" i="9" s="1"/>
  <c r="F208" i="8"/>
  <c r="G208" i="8"/>
  <c r="E209" i="8"/>
  <c r="G208" i="11" l="1"/>
  <c r="F208" i="11"/>
  <c r="D209" i="11"/>
  <c r="E209" i="11" s="1"/>
  <c r="D209" i="10"/>
  <c r="E209" i="10" s="1"/>
  <c r="F208" i="10"/>
  <c r="G208" i="10"/>
  <c r="D209" i="9"/>
  <c r="E209" i="9" s="1"/>
  <c r="F208" i="9"/>
  <c r="G208" i="9"/>
  <c r="G209" i="8"/>
  <c r="F209" i="8"/>
  <c r="E210" i="8"/>
  <c r="G209" i="11" l="1"/>
  <c r="F209" i="11"/>
  <c r="D210" i="11"/>
  <c r="E210" i="11" s="1"/>
  <c r="F209" i="10"/>
  <c r="G209" i="10"/>
  <c r="D210" i="10"/>
  <c r="E210" i="10" s="1"/>
  <c r="G209" i="9"/>
  <c r="F209" i="9"/>
  <c r="D210" i="9"/>
  <c r="E210" i="9" s="1"/>
  <c r="G210" i="8"/>
  <c r="F210" i="8"/>
  <c r="E211" i="8"/>
  <c r="D211" i="11" l="1"/>
  <c r="E211" i="11" s="1"/>
  <c r="G210" i="11"/>
  <c r="F210" i="11"/>
  <c r="D211" i="10"/>
  <c r="E211" i="10" s="1"/>
  <c r="G210" i="10"/>
  <c r="F210" i="10"/>
  <c r="D211" i="9"/>
  <c r="E211" i="9" s="1"/>
  <c r="G210" i="9"/>
  <c r="F210" i="9"/>
  <c r="E212" i="8"/>
  <c r="F211" i="8"/>
  <c r="G211" i="8"/>
  <c r="G211" i="11" l="1"/>
  <c r="F211" i="11"/>
  <c r="D212" i="11"/>
  <c r="E212" i="11" s="1"/>
  <c r="D212" i="10"/>
  <c r="E212" i="10" s="1"/>
  <c r="G211" i="10"/>
  <c r="F211" i="10"/>
  <c r="G211" i="9"/>
  <c r="F211" i="9"/>
  <c r="D212" i="9"/>
  <c r="E212" i="9" s="1"/>
  <c r="F212" i="8"/>
  <c r="G212" i="8"/>
  <c r="E213" i="8"/>
  <c r="G212" i="11" l="1"/>
  <c r="F212" i="11"/>
  <c r="D213" i="11"/>
  <c r="E213" i="11" s="1"/>
  <c r="F212" i="10"/>
  <c r="G212" i="10"/>
  <c r="D213" i="10"/>
  <c r="E213" i="10" s="1"/>
  <c r="G212" i="9"/>
  <c r="F212" i="9"/>
  <c r="D213" i="9"/>
  <c r="E213" i="9" s="1"/>
  <c r="E214" i="8"/>
  <c r="G213" i="8"/>
  <c r="F213" i="8"/>
  <c r="D214" i="11" l="1"/>
  <c r="E214" i="11" s="1"/>
  <c r="G213" i="11"/>
  <c r="F213" i="11"/>
  <c r="D214" i="10"/>
  <c r="E214" i="10" s="1"/>
  <c r="G213" i="10"/>
  <c r="F213" i="10"/>
  <c r="D214" i="9"/>
  <c r="E214" i="9" s="1"/>
  <c r="G213" i="9"/>
  <c r="F213" i="9"/>
  <c r="G214" i="8"/>
  <c r="F214" i="8"/>
  <c r="E215" i="8"/>
  <c r="G214" i="11" l="1"/>
  <c r="F214" i="11"/>
  <c r="D215" i="11"/>
  <c r="E215" i="11" s="1"/>
  <c r="F214" i="10"/>
  <c r="G214" i="10"/>
  <c r="D215" i="10"/>
  <c r="E215" i="10" s="1"/>
  <c r="G214" i="9"/>
  <c r="F214" i="9"/>
  <c r="D215" i="9"/>
  <c r="E215" i="9" s="1"/>
  <c r="E216" i="8"/>
  <c r="G215" i="8"/>
  <c r="F215" i="8"/>
  <c r="D216" i="11" l="1"/>
  <c r="E216" i="11" s="1"/>
  <c r="F215" i="11"/>
  <c r="G215" i="11"/>
  <c r="D216" i="10"/>
  <c r="E216" i="10" s="1"/>
  <c r="F215" i="10"/>
  <c r="G215" i="10"/>
  <c r="D216" i="9"/>
  <c r="E216" i="9" s="1"/>
  <c r="F215" i="9"/>
  <c r="G215" i="9"/>
  <c r="E217" i="8"/>
  <c r="G216" i="8"/>
  <c r="F216" i="8"/>
  <c r="G216" i="11" l="1"/>
  <c r="F216" i="11"/>
  <c r="D217" i="11"/>
  <c r="E217" i="11" s="1"/>
  <c r="D217" i="10"/>
  <c r="E217" i="10" s="1"/>
  <c r="G216" i="10"/>
  <c r="F216" i="10"/>
  <c r="G216" i="9"/>
  <c r="F216" i="9"/>
  <c r="D217" i="9"/>
  <c r="E217" i="9" s="1"/>
  <c r="G217" i="8"/>
  <c r="F217" i="8"/>
  <c r="E218" i="8"/>
  <c r="G217" i="11" l="1"/>
  <c r="F217" i="11"/>
  <c r="D218" i="11"/>
  <c r="E218" i="11" s="1"/>
  <c r="G217" i="10"/>
  <c r="F217" i="10"/>
  <c r="D218" i="10"/>
  <c r="E218" i="10" s="1"/>
  <c r="G217" i="9"/>
  <c r="F217" i="9"/>
  <c r="D218" i="9"/>
  <c r="E218" i="9" s="1"/>
  <c r="E219" i="8"/>
  <c r="G218" i="8"/>
  <c r="F218" i="8"/>
  <c r="G218" i="11" l="1"/>
  <c r="F218" i="11"/>
  <c r="D219" i="11"/>
  <c r="E219" i="11" s="1"/>
  <c r="F218" i="10"/>
  <c r="G218" i="10"/>
  <c r="D219" i="10"/>
  <c r="E219" i="10" s="1"/>
  <c r="G218" i="9"/>
  <c r="F218" i="9"/>
  <c r="D219" i="9"/>
  <c r="E219" i="9" s="1"/>
  <c r="E220" i="8"/>
  <c r="G219" i="8"/>
  <c r="F219" i="8"/>
  <c r="G219" i="11" l="1"/>
  <c r="F219" i="11"/>
  <c r="D220" i="11"/>
  <c r="E220" i="11" s="1"/>
  <c r="F219" i="10"/>
  <c r="G219" i="10"/>
  <c r="D220" i="10"/>
  <c r="E220" i="10" s="1"/>
  <c r="G219" i="9"/>
  <c r="F219" i="9"/>
  <c r="D220" i="9"/>
  <c r="E220" i="9" s="1"/>
  <c r="E221" i="8"/>
  <c r="F220" i="8"/>
  <c r="G220" i="8"/>
  <c r="D221" i="11" l="1"/>
  <c r="E221" i="11" s="1"/>
  <c r="G220" i="11"/>
  <c r="F220" i="11"/>
  <c r="D221" i="10"/>
  <c r="E221" i="10" s="1"/>
  <c r="G220" i="10"/>
  <c r="F220" i="10"/>
  <c r="D221" i="9"/>
  <c r="E221" i="9" s="1"/>
  <c r="G220" i="9"/>
  <c r="F220" i="9"/>
  <c r="G221" i="8"/>
  <c r="F221" i="8"/>
  <c r="E222" i="8"/>
  <c r="G221" i="11" l="1"/>
  <c r="F221" i="11"/>
  <c r="D222" i="11"/>
  <c r="E222" i="11" s="1"/>
  <c r="G221" i="10"/>
  <c r="F221" i="10"/>
  <c r="D222" i="10"/>
  <c r="E222" i="10" s="1"/>
  <c r="G221" i="9"/>
  <c r="F221" i="9"/>
  <c r="D222" i="9"/>
  <c r="E222" i="9" s="1"/>
  <c r="G222" i="8"/>
  <c r="F222" i="8"/>
  <c r="E223" i="8"/>
  <c r="D223" i="11" l="1"/>
  <c r="E223" i="11" s="1"/>
  <c r="G222" i="11"/>
  <c r="F222" i="11"/>
  <c r="G222" i="10"/>
  <c r="F222" i="10"/>
  <c r="D223" i="10"/>
  <c r="E223" i="10" s="1"/>
  <c r="D223" i="9"/>
  <c r="E223" i="9" s="1"/>
  <c r="G222" i="9"/>
  <c r="F222" i="9"/>
  <c r="E224" i="8"/>
  <c r="G223" i="8"/>
  <c r="F223" i="8"/>
  <c r="G223" i="11" l="1"/>
  <c r="F223" i="11"/>
  <c r="D224" i="11"/>
  <c r="E224" i="11" s="1"/>
  <c r="F223" i="10"/>
  <c r="G223" i="10"/>
  <c r="D224" i="10"/>
  <c r="E224" i="10" s="1"/>
  <c r="G223" i="9"/>
  <c r="F223" i="9"/>
  <c r="D224" i="9"/>
  <c r="E224" i="9" s="1"/>
  <c r="G224" i="8"/>
  <c r="F224" i="8"/>
  <c r="E225" i="8"/>
  <c r="G224" i="11" l="1"/>
  <c r="F224" i="11"/>
  <c r="D225" i="11"/>
  <c r="E225" i="11" s="1"/>
  <c r="F224" i="10"/>
  <c r="G224" i="10"/>
  <c r="D225" i="10"/>
  <c r="E225" i="10" s="1"/>
  <c r="G224" i="9"/>
  <c r="F224" i="9"/>
  <c r="D225" i="9"/>
  <c r="E225" i="9" s="1"/>
  <c r="G225" i="8"/>
  <c r="F225" i="8"/>
  <c r="E226" i="8"/>
  <c r="D226" i="11" l="1"/>
  <c r="E226" i="11" s="1"/>
  <c r="G225" i="11"/>
  <c r="F225" i="11"/>
  <c r="D226" i="10"/>
  <c r="E226" i="10" s="1"/>
  <c r="F225" i="10"/>
  <c r="G225" i="10"/>
  <c r="D226" i="9"/>
  <c r="E226" i="9" s="1"/>
  <c r="G225" i="9"/>
  <c r="F225" i="9"/>
  <c r="E227" i="8"/>
  <c r="G226" i="8"/>
  <c r="F226" i="8"/>
  <c r="G226" i="11" l="1"/>
  <c r="F226" i="11"/>
  <c r="D227" i="11"/>
  <c r="E227" i="11" s="1"/>
  <c r="F226" i="10"/>
  <c r="G226" i="10"/>
  <c r="D227" i="10"/>
  <c r="E227" i="10" s="1"/>
  <c r="G226" i="9"/>
  <c r="F226" i="9"/>
  <c r="D227" i="9"/>
  <c r="E227" i="9" s="1"/>
  <c r="G227" i="8"/>
  <c r="F227" i="8"/>
  <c r="E228" i="8"/>
  <c r="D228" i="11" l="1"/>
  <c r="E228" i="11" s="1"/>
  <c r="F227" i="11"/>
  <c r="G227" i="11"/>
  <c r="D228" i="10"/>
  <c r="E228" i="10" s="1"/>
  <c r="F227" i="10"/>
  <c r="G227" i="10"/>
  <c r="D228" i="9"/>
  <c r="E228" i="9" s="1"/>
  <c r="F227" i="9"/>
  <c r="G227" i="9"/>
  <c r="E229" i="8"/>
  <c r="G228" i="8"/>
  <c r="F228" i="8"/>
  <c r="G228" i="11" l="1"/>
  <c r="F228" i="11"/>
  <c r="D229" i="11"/>
  <c r="E229" i="11" s="1"/>
  <c r="F228" i="10"/>
  <c r="G228" i="10"/>
  <c r="D229" i="10"/>
  <c r="E229" i="10" s="1"/>
  <c r="G228" i="9"/>
  <c r="F228" i="9"/>
  <c r="D229" i="9"/>
  <c r="E229" i="9" s="1"/>
  <c r="G229" i="8"/>
  <c r="F229" i="8"/>
  <c r="E230" i="8"/>
  <c r="G229" i="11" l="1"/>
  <c r="F229" i="11"/>
  <c r="D230" i="11"/>
  <c r="E230" i="11" s="1"/>
  <c r="G229" i="10"/>
  <c r="F229" i="10"/>
  <c r="D230" i="10"/>
  <c r="E230" i="10" s="1"/>
  <c r="G229" i="9"/>
  <c r="F229" i="9"/>
  <c r="D230" i="9"/>
  <c r="E230" i="9" s="1"/>
  <c r="E231" i="8"/>
  <c r="G230" i="8"/>
  <c r="F230" i="8"/>
  <c r="G230" i="11" l="1"/>
  <c r="F230" i="11"/>
  <c r="D231" i="11"/>
  <c r="E231" i="11" s="1"/>
  <c r="F230" i="10"/>
  <c r="G230" i="10"/>
  <c r="D231" i="10"/>
  <c r="E231" i="10" s="1"/>
  <c r="G230" i="9"/>
  <c r="F230" i="9"/>
  <c r="D231" i="9"/>
  <c r="E231" i="9" s="1"/>
  <c r="G231" i="8"/>
  <c r="F231" i="8"/>
  <c r="E232" i="8"/>
  <c r="D232" i="11" l="1"/>
  <c r="E232" i="11" s="1"/>
  <c r="G231" i="11"/>
  <c r="F231" i="11"/>
  <c r="D232" i="10"/>
  <c r="E232" i="10" s="1"/>
  <c r="G231" i="10"/>
  <c r="F231" i="10"/>
  <c r="G231" i="9"/>
  <c r="F231" i="9"/>
  <c r="D232" i="9"/>
  <c r="E232" i="9" s="1"/>
  <c r="F232" i="8"/>
  <c r="G232" i="8"/>
  <c r="E233" i="8"/>
  <c r="D233" i="11" l="1"/>
  <c r="E233" i="11" s="1"/>
  <c r="G232" i="11"/>
  <c r="F232" i="11"/>
  <c r="G232" i="10"/>
  <c r="F232" i="10"/>
  <c r="D233" i="10"/>
  <c r="E233" i="10" s="1"/>
  <c r="D233" i="9"/>
  <c r="E233" i="9" s="1"/>
  <c r="G232" i="9"/>
  <c r="F232" i="9"/>
  <c r="F233" i="8"/>
  <c r="G233" i="8"/>
  <c r="E234" i="8"/>
  <c r="G233" i="11" l="1"/>
  <c r="F233" i="11"/>
  <c r="D234" i="11"/>
  <c r="E234" i="11" s="1"/>
  <c r="F233" i="10"/>
  <c r="G233" i="10"/>
  <c r="D234" i="10"/>
  <c r="E234" i="10" s="1"/>
  <c r="G233" i="9"/>
  <c r="F233" i="9"/>
  <c r="D234" i="9"/>
  <c r="E234" i="9" s="1"/>
  <c r="G234" i="8"/>
  <c r="F234" i="8"/>
  <c r="E235" i="8"/>
  <c r="D235" i="11" l="1"/>
  <c r="E235" i="11" s="1"/>
  <c r="G234" i="11"/>
  <c r="F234" i="11"/>
  <c r="G234" i="10"/>
  <c r="F234" i="10"/>
  <c r="D235" i="10"/>
  <c r="E235" i="10" s="1"/>
  <c r="D235" i="9"/>
  <c r="E235" i="9" s="1"/>
  <c r="G234" i="9"/>
  <c r="F234" i="9"/>
  <c r="F235" i="8"/>
  <c r="G235" i="8"/>
  <c r="E236" i="8"/>
  <c r="G235" i="11" l="1"/>
  <c r="F235" i="11"/>
  <c r="D236" i="11"/>
  <c r="E236" i="11" s="1"/>
  <c r="D236" i="10"/>
  <c r="E236" i="10" s="1"/>
  <c r="G235" i="10"/>
  <c r="F235" i="10"/>
  <c r="G235" i="9"/>
  <c r="F235" i="9"/>
  <c r="D236" i="9"/>
  <c r="E236" i="9" s="1"/>
  <c r="E237" i="8"/>
  <c r="G236" i="8"/>
  <c r="F236" i="8"/>
  <c r="G236" i="11" l="1"/>
  <c r="F236" i="11"/>
  <c r="D237" i="11"/>
  <c r="E237" i="11" s="1"/>
  <c r="D237" i="10"/>
  <c r="E237" i="10" s="1"/>
  <c r="G236" i="10"/>
  <c r="F236" i="10"/>
  <c r="G236" i="9"/>
  <c r="F236" i="9"/>
  <c r="D237" i="9"/>
  <c r="E237" i="9" s="1"/>
  <c r="G237" i="8"/>
  <c r="F237" i="8"/>
  <c r="E238" i="8"/>
  <c r="D238" i="11" l="1"/>
  <c r="E238" i="11" s="1"/>
  <c r="G237" i="11"/>
  <c r="F237" i="11"/>
  <c r="G237" i="10"/>
  <c r="F237" i="10"/>
  <c r="D238" i="10"/>
  <c r="E238" i="10" s="1"/>
  <c r="D238" i="9"/>
  <c r="E238" i="9" s="1"/>
  <c r="G237" i="9"/>
  <c r="F237" i="9"/>
  <c r="E239" i="8"/>
  <c r="G238" i="8"/>
  <c r="F238" i="8"/>
  <c r="G238" i="11" l="1"/>
  <c r="F238" i="11"/>
  <c r="D239" i="11"/>
  <c r="E239" i="11" s="1"/>
  <c r="F238" i="10"/>
  <c r="G238" i="10"/>
  <c r="D239" i="10"/>
  <c r="E239" i="10" s="1"/>
  <c r="G238" i="9"/>
  <c r="F238" i="9"/>
  <c r="D239" i="9"/>
  <c r="E239" i="9" s="1"/>
  <c r="G239" i="8"/>
  <c r="F239" i="8"/>
  <c r="E240" i="8"/>
  <c r="D240" i="11" l="1"/>
  <c r="E240" i="11" s="1"/>
  <c r="F239" i="11"/>
  <c r="G239" i="11"/>
  <c r="F239" i="10"/>
  <c r="G239" i="10"/>
  <c r="D240" i="10"/>
  <c r="E240" i="10" s="1"/>
  <c r="D240" i="9"/>
  <c r="E240" i="9" s="1"/>
  <c r="F239" i="9"/>
  <c r="G239" i="9"/>
  <c r="G240" i="8"/>
  <c r="F240" i="8"/>
  <c r="E241" i="8"/>
  <c r="G240" i="11" l="1"/>
  <c r="F240" i="11"/>
  <c r="D241" i="11"/>
  <c r="E241" i="11" s="1"/>
  <c r="F240" i="10"/>
  <c r="G240" i="10"/>
  <c r="D241" i="10"/>
  <c r="E241" i="10" s="1"/>
  <c r="G240" i="9"/>
  <c r="F240" i="9"/>
  <c r="D241" i="9"/>
  <c r="E241" i="9" s="1"/>
  <c r="E242" i="8"/>
  <c r="G241" i="8"/>
  <c r="F241" i="8"/>
  <c r="G241" i="11" l="1"/>
  <c r="F241" i="11"/>
  <c r="D242" i="11"/>
  <c r="E242" i="11" s="1"/>
  <c r="G241" i="10"/>
  <c r="F241" i="10"/>
  <c r="D242" i="10"/>
  <c r="E242" i="10" s="1"/>
  <c r="G241" i="9"/>
  <c r="F241" i="9"/>
  <c r="D242" i="9"/>
  <c r="E242" i="9" s="1"/>
  <c r="E243" i="8"/>
  <c r="G242" i="8"/>
  <c r="F242" i="8"/>
  <c r="G242" i="11" l="1"/>
  <c r="F242" i="11"/>
  <c r="D243" i="11"/>
  <c r="E243" i="11" s="1"/>
  <c r="D243" i="10"/>
  <c r="E243" i="10" s="1"/>
  <c r="G242" i="10"/>
  <c r="F242" i="10"/>
  <c r="G242" i="9"/>
  <c r="F242" i="9"/>
  <c r="D243" i="9"/>
  <c r="E243" i="9" s="1"/>
  <c r="G243" i="8"/>
  <c r="F243" i="8"/>
  <c r="E244" i="8"/>
  <c r="G243" i="11" l="1"/>
  <c r="F243" i="11"/>
  <c r="D244" i="11"/>
  <c r="E244" i="11" s="1"/>
  <c r="G243" i="10"/>
  <c r="F243" i="10"/>
  <c r="D244" i="10"/>
  <c r="E244" i="10" s="1"/>
  <c r="G243" i="9"/>
  <c r="F243" i="9"/>
  <c r="D244" i="9"/>
  <c r="E244" i="9" s="1"/>
  <c r="F244" i="8"/>
  <c r="G244" i="8"/>
  <c r="E245" i="8"/>
  <c r="D245" i="11" l="1"/>
  <c r="E245" i="11" s="1"/>
  <c r="F244" i="11"/>
  <c r="G244" i="11"/>
  <c r="D245" i="10"/>
  <c r="E245" i="10" s="1"/>
  <c r="G244" i="10"/>
  <c r="F244" i="10"/>
  <c r="D245" i="9"/>
  <c r="E245" i="9" s="1"/>
  <c r="G244" i="9"/>
  <c r="F244" i="9"/>
  <c r="E246" i="8"/>
  <c r="G245" i="8"/>
  <c r="F245" i="8"/>
  <c r="G245" i="11" l="1"/>
  <c r="F245" i="11"/>
  <c r="D246" i="11"/>
  <c r="E246" i="11" s="1"/>
  <c r="F245" i="10"/>
  <c r="G245" i="10"/>
  <c r="D246" i="10"/>
  <c r="E246" i="10" s="1"/>
  <c r="G245" i="9"/>
  <c r="F245" i="9"/>
  <c r="D246" i="9"/>
  <c r="E246" i="9" s="1"/>
  <c r="F246" i="8"/>
  <c r="G246" i="8"/>
  <c r="E247" i="8"/>
  <c r="D247" i="11" l="1"/>
  <c r="E247" i="11" s="1"/>
  <c r="G246" i="11"/>
  <c r="F246" i="11"/>
  <c r="G246" i="10"/>
  <c r="F246" i="10"/>
  <c r="D247" i="10"/>
  <c r="E247" i="10" s="1"/>
  <c r="D247" i="9"/>
  <c r="E247" i="9" s="1"/>
  <c r="G246" i="9"/>
  <c r="F246" i="9"/>
  <c r="G247" i="8"/>
  <c r="F247" i="8"/>
  <c r="E248" i="8"/>
  <c r="G247" i="11" l="1"/>
  <c r="F247" i="11"/>
  <c r="D248" i="11"/>
  <c r="E248" i="11" s="1"/>
  <c r="G247" i="10"/>
  <c r="F247" i="10"/>
  <c r="D248" i="10"/>
  <c r="E248" i="10" s="1"/>
  <c r="G247" i="9"/>
  <c r="F247" i="9"/>
  <c r="D248" i="9"/>
  <c r="E248" i="9" s="1"/>
  <c r="G248" i="8"/>
  <c r="F248" i="8"/>
  <c r="E249" i="8"/>
  <c r="G248" i="11" l="1"/>
  <c r="F248" i="11"/>
  <c r="D249" i="11"/>
  <c r="E249" i="11" s="1"/>
  <c r="G248" i="10"/>
  <c r="F248" i="10"/>
  <c r="D249" i="10"/>
  <c r="E249" i="10" s="1"/>
  <c r="G248" i="9"/>
  <c r="F248" i="9"/>
  <c r="D249" i="9"/>
  <c r="E249" i="9" s="1"/>
  <c r="E250" i="8"/>
  <c r="G249" i="8"/>
  <c r="F249" i="8"/>
  <c r="D250" i="11" l="1"/>
  <c r="E250" i="11" s="1"/>
  <c r="G249" i="11"/>
  <c r="F249" i="11"/>
  <c r="D250" i="10"/>
  <c r="E250" i="10" s="1"/>
  <c r="G249" i="10"/>
  <c r="F249" i="10"/>
  <c r="D250" i="9"/>
  <c r="E250" i="9" s="1"/>
  <c r="G249" i="9"/>
  <c r="F249" i="9"/>
  <c r="E251" i="8"/>
  <c r="F250" i="8"/>
  <c r="G250" i="8"/>
  <c r="G250" i="11" l="1"/>
  <c r="F250" i="11"/>
  <c r="D251" i="11"/>
  <c r="E251" i="11" s="1"/>
  <c r="F250" i="10"/>
  <c r="G250" i="10"/>
  <c r="D251" i="10"/>
  <c r="E251" i="10" s="1"/>
  <c r="G250" i="9"/>
  <c r="F250" i="9"/>
  <c r="D251" i="9"/>
  <c r="E251" i="9" s="1"/>
  <c r="G251" i="8"/>
  <c r="F251" i="8"/>
  <c r="E252" i="8"/>
  <c r="D252" i="11" l="1"/>
  <c r="E252" i="11" s="1"/>
  <c r="F251" i="11"/>
  <c r="G251" i="11"/>
  <c r="D252" i="10"/>
  <c r="E252" i="10" s="1"/>
  <c r="F251" i="10"/>
  <c r="G251" i="10"/>
  <c r="D252" i="9"/>
  <c r="E252" i="9" s="1"/>
  <c r="F251" i="9"/>
  <c r="G251" i="9"/>
  <c r="F252" i="8"/>
  <c r="G252" i="8"/>
  <c r="E253" i="8"/>
  <c r="G252" i="11" l="1"/>
  <c r="F252" i="11"/>
  <c r="D253" i="11"/>
  <c r="E253" i="11" s="1"/>
  <c r="D253" i="10"/>
  <c r="E253" i="10" s="1"/>
  <c r="F252" i="10"/>
  <c r="G252" i="10"/>
  <c r="G252" i="9"/>
  <c r="F252" i="9"/>
  <c r="D253" i="9"/>
  <c r="E253" i="9" s="1"/>
  <c r="G253" i="8"/>
  <c r="F253" i="8"/>
  <c r="E254" i="8"/>
  <c r="G253" i="11" l="1"/>
  <c r="F253" i="11"/>
  <c r="D254" i="11"/>
  <c r="E254" i="11" s="1"/>
  <c r="G253" i="10"/>
  <c r="F253" i="10"/>
  <c r="D254" i="10"/>
  <c r="E254" i="10" s="1"/>
  <c r="G253" i="9"/>
  <c r="F253" i="9"/>
  <c r="D254" i="9"/>
  <c r="E254" i="9" s="1"/>
  <c r="E255" i="8"/>
  <c r="F254" i="8"/>
  <c r="G254" i="8"/>
  <c r="G254" i="11" l="1"/>
  <c r="F254" i="11"/>
  <c r="D255" i="11"/>
  <c r="E255" i="11" s="1"/>
  <c r="D255" i="10"/>
  <c r="E255" i="10" s="1"/>
  <c r="F254" i="10"/>
  <c r="G254" i="10"/>
  <c r="G254" i="9"/>
  <c r="F254" i="9"/>
  <c r="D255" i="9"/>
  <c r="E255" i="9" s="1"/>
  <c r="E256" i="8"/>
  <c r="G255" i="8"/>
  <c r="F255" i="8"/>
  <c r="G255" i="11" l="1"/>
  <c r="F255" i="11"/>
  <c r="D256" i="11"/>
  <c r="E256" i="11" s="1"/>
  <c r="D256" i="10"/>
  <c r="E256" i="10" s="1"/>
  <c r="G255" i="10"/>
  <c r="F255" i="10"/>
  <c r="G255" i="9"/>
  <c r="F255" i="9"/>
  <c r="D256" i="9"/>
  <c r="E256" i="9" s="1"/>
  <c r="F256" i="8"/>
  <c r="G256" i="8"/>
  <c r="E257" i="8"/>
  <c r="D257" i="11" l="1"/>
  <c r="E257" i="11" s="1"/>
  <c r="G256" i="11"/>
  <c r="F256" i="11"/>
  <c r="D257" i="10"/>
  <c r="E257" i="10" s="1"/>
  <c r="F256" i="10"/>
  <c r="G256" i="10"/>
  <c r="D257" i="9"/>
  <c r="E257" i="9" s="1"/>
  <c r="G256" i="9"/>
  <c r="F256" i="9"/>
  <c r="E258" i="8"/>
  <c r="G257" i="8"/>
  <c r="F257" i="8"/>
  <c r="G257" i="11" l="1"/>
  <c r="F257" i="11"/>
  <c r="D258" i="11"/>
  <c r="E258" i="11" s="1"/>
  <c r="D258" i="10"/>
  <c r="E258" i="10" s="1"/>
  <c r="G257" i="10"/>
  <c r="F257" i="10"/>
  <c r="G257" i="9"/>
  <c r="F257" i="9"/>
  <c r="D258" i="9"/>
  <c r="E258" i="9" s="1"/>
  <c r="G258" i="8"/>
  <c r="F258" i="8"/>
  <c r="E259" i="8"/>
  <c r="D259" i="11" l="1"/>
  <c r="E259" i="11" s="1"/>
  <c r="G258" i="11"/>
  <c r="F258" i="11"/>
  <c r="D259" i="10"/>
  <c r="E259" i="10" s="1"/>
  <c r="G258" i="10"/>
  <c r="F258" i="10"/>
  <c r="D259" i="9"/>
  <c r="E259" i="9" s="1"/>
  <c r="G258" i="9"/>
  <c r="F258" i="9"/>
  <c r="E260" i="8"/>
  <c r="G259" i="8"/>
  <c r="F259" i="8"/>
  <c r="G259" i="11" l="1"/>
  <c r="F259" i="11"/>
  <c r="D260" i="11"/>
  <c r="E260" i="11" s="1"/>
  <c r="F259" i="10"/>
  <c r="G259" i="10"/>
  <c r="D260" i="10"/>
  <c r="E260" i="10" s="1"/>
  <c r="G259" i="9"/>
  <c r="F259" i="9"/>
  <c r="D260" i="9"/>
  <c r="E260" i="9" s="1"/>
  <c r="G260" i="8"/>
  <c r="F260" i="8"/>
  <c r="E261" i="8"/>
  <c r="G260" i="11" l="1"/>
  <c r="F260" i="11"/>
  <c r="D261" i="11"/>
  <c r="E261" i="11" s="1"/>
  <c r="G260" i="10"/>
  <c r="F260" i="10"/>
  <c r="D261" i="10"/>
  <c r="E261" i="10" s="1"/>
  <c r="G260" i="9"/>
  <c r="F260" i="9"/>
  <c r="D261" i="9"/>
  <c r="E261" i="9" s="1"/>
  <c r="G261" i="8"/>
  <c r="F261" i="8"/>
  <c r="E262" i="8"/>
  <c r="D262" i="11" l="1"/>
  <c r="E262" i="11" s="1"/>
  <c r="G261" i="11"/>
  <c r="F261" i="11"/>
  <c r="D262" i="10"/>
  <c r="E262" i="10" s="1"/>
  <c r="F261" i="10"/>
  <c r="G261" i="10"/>
  <c r="D262" i="9"/>
  <c r="E262" i="9" s="1"/>
  <c r="G261" i="9"/>
  <c r="F261" i="9"/>
  <c r="E263" i="8"/>
  <c r="G262" i="8"/>
  <c r="F262" i="8"/>
  <c r="G262" i="11" l="1"/>
  <c r="F262" i="11"/>
  <c r="D263" i="11"/>
  <c r="E263" i="11" s="1"/>
  <c r="D263" i="10"/>
  <c r="E263" i="10" s="1"/>
  <c r="G262" i="10"/>
  <c r="F262" i="10"/>
  <c r="G262" i="9"/>
  <c r="F262" i="9"/>
  <c r="D263" i="9"/>
  <c r="E263" i="9" s="1"/>
  <c r="E264" i="8"/>
  <c r="G263" i="8"/>
  <c r="F263" i="8"/>
  <c r="D264" i="11" l="1"/>
  <c r="E264" i="11" s="1"/>
  <c r="F263" i="11"/>
  <c r="G263" i="11"/>
  <c r="D264" i="10"/>
  <c r="E264" i="10" s="1"/>
  <c r="F263" i="10"/>
  <c r="G263" i="10"/>
  <c r="D264" i="9"/>
  <c r="E264" i="9" s="1"/>
  <c r="F263" i="9"/>
  <c r="G263" i="9"/>
  <c r="G264" i="8"/>
  <c r="F264" i="8"/>
  <c r="E265" i="8"/>
  <c r="G264" i="11" l="1"/>
  <c r="F264" i="11"/>
  <c r="D265" i="11"/>
  <c r="E265" i="11" s="1"/>
  <c r="F264" i="10"/>
  <c r="G264" i="10"/>
  <c r="D265" i="10"/>
  <c r="E265" i="10" s="1"/>
  <c r="G264" i="9"/>
  <c r="F264" i="9"/>
  <c r="D265" i="9"/>
  <c r="E265" i="9" s="1"/>
  <c r="G265" i="8"/>
  <c r="F265" i="8"/>
  <c r="E266" i="8"/>
  <c r="G265" i="11" l="1"/>
  <c r="F265" i="11"/>
  <c r="D266" i="11"/>
  <c r="E266" i="11" s="1"/>
  <c r="G265" i="10"/>
  <c r="F265" i="10"/>
  <c r="D266" i="10"/>
  <c r="E266" i="10" s="1"/>
  <c r="G265" i="9"/>
  <c r="F265" i="9"/>
  <c r="D266" i="9"/>
  <c r="E266" i="9" s="1"/>
  <c r="E267" i="8"/>
  <c r="G266" i="8"/>
  <c r="F266" i="8"/>
  <c r="G266" i="11" l="1"/>
  <c r="F266" i="11"/>
  <c r="D267" i="11"/>
  <c r="E267" i="11" s="1"/>
  <c r="F266" i="10"/>
  <c r="G266" i="10"/>
  <c r="D267" i="10"/>
  <c r="E267" i="10" s="1"/>
  <c r="G266" i="9"/>
  <c r="F266" i="9"/>
  <c r="D267" i="9"/>
  <c r="E267" i="9" s="1"/>
  <c r="E268" i="8"/>
  <c r="F267" i="8"/>
  <c r="G267" i="8"/>
  <c r="G267" i="11" l="1"/>
  <c r="F267" i="11"/>
  <c r="D268" i="11"/>
  <c r="E268" i="11" s="1"/>
  <c r="D268" i="10"/>
  <c r="E268" i="10" s="1"/>
  <c r="G267" i="10"/>
  <c r="F267" i="10"/>
  <c r="G267" i="9"/>
  <c r="F267" i="9"/>
  <c r="D268" i="9"/>
  <c r="E268" i="9" s="1"/>
  <c r="F268" i="8"/>
  <c r="G268" i="8"/>
  <c r="E269" i="8"/>
  <c r="D269" i="11" l="1"/>
  <c r="E269" i="11" s="1"/>
  <c r="G268" i="11"/>
  <c r="F268" i="11"/>
  <c r="D269" i="10"/>
  <c r="E269" i="10" s="1"/>
  <c r="G268" i="10"/>
  <c r="F268" i="10"/>
  <c r="D269" i="9"/>
  <c r="E269" i="9" s="1"/>
  <c r="G268" i="9"/>
  <c r="F268" i="9"/>
  <c r="G269" i="8"/>
  <c r="F269" i="8"/>
  <c r="E270" i="8"/>
  <c r="G269" i="11" l="1"/>
  <c r="F269" i="11"/>
  <c r="D270" i="11"/>
  <c r="E270" i="11" s="1"/>
  <c r="G269" i="10"/>
  <c r="F269" i="10"/>
  <c r="D270" i="10"/>
  <c r="E270" i="10" s="1"/>
  <c r="G269" i="9"/>
  <c r="F269" i="9"/>
  <c r="D270" i="9"/>
  <c r="E270" i="9" s="1"/>
  <c r="G270" i="8"/>
  <c r="F270" i="8"/>
  <c r="E271" i="8"/>
  <c r="D271" i="11" l="1"/>
  <c r="E271" i="11" s="1"/>
  <c r="G270" i="11"/>
  <c r="F270" i="11"/>
  <c r="G270" i="10"/>
  <c r="F270" i="10"/>
  <c r="D271" i="10"/>
  <c r="E271" i="10" s="1"/>
  <c r="D271" i="9"/>
  <c r="E271" i="9" s="1"/>
  <c r="G270" i="9"/>
  <c r="F270" i="9"/>
  <c r="F271" i="8"/>
  <c r="G271" i="8"/>
  <c r="E272" i="8"/>
  <c r="G271" i="11" l="1"/>
  <c r="F271" i="11"/>
  <c r="D272" i="11"/>
  <c r="E272" i="11" s="1"/>
  <c r="F271" i="10"/>
  <c r="G271" i="10"/>
  <c r="D272" i="10"/>
  <c r="E272" i="10" s="1"/>
  <c r="G271" i="9"/>
  <c r="F271" i="9"/>
  <c r="D272" i="9"/>
  <c r="E272" i="9" s="1"/>
  <c r="G272" i="8"/>
  <c r="F272" i="8"/>
  <c r="E273" i="8"/>
  <c r="G272" i="11" l="1"/>
  <c r="F272" i="11"/>
  <c r="D273" i="11"/>
  <c r="E273" i="11" s="1"/>
  <c r="G272" i="10"/>
  <c r="F272" i="10"/>
  <c r="D273" i="10"/>
  <c r="E273" i="10" s="1"/>
  <c r="G272" i="9"/>
  <c r="F272" i="9"/>
  <c r="D273" i="9"/>
  <c r="E273" i="9" s="1"/>
  <c r="E274" i="8"/>
  <c r="F273" i="8"/>
  <c r="G273" i="8"/>
  <c r="D274" i="11" l="1"/>
  <c r="E274" i="11" s="1"/>
  <c r="F273" i="11"/>
  <c r="G273" i="11"/>
  <c r="D274" i="10"/>
  <c r="E274" i="10" s="1"/>
  <c r="G273" i="10"/>
  <c r="F273" i="10"/>
  <c r="D274" i="9"/>
  <c r="E274" i="9" s="1"/>
  <c r="G273" i="9"/>
  <c r="F273" i="9"/>
  <c r="F274" i="8"/>
  <c r="G274" i="8"/>
  <c r="E275" i="8"/>
  <c r="G274" i="11" l="1"/>
  <c r="F274" i="11"/>
  <c r="D275" i="11"/>
  <c r="E275" i="11" s="1"/>
  <c r="D275" i="10"/>
  <c r="E275" i="10" s="1"/>
  <c r="G274" i="10"/>
  <c r="F274" i="10"/>
  <c r="G274" i="9"/>
  <c r="F274" i="9"/>
  <c r="D275" i="9"/>
  <c r="E275" i="9" s="1"/>
  <c r="E276" i="8"/>
  <c r="G275" i="8"/>
  <c r="F275" i="8"/>
  <c r="F275" i="11" l="1"/>
  <c r="G275" i="11"/>
  <c r="D276" i="11"/>
  <c r="E276" i="11" s="1"/>
  <c r="F275" i="10"/>
  <c r="G275" i="10"/>
  <c r="D276" i="10"/>
  <c r="E276" i="10" s="1"/>
  <c r="D276" i="9"/>
  <c r="E276" i="9" s="1"/>
  <c r="F275" i="9"/>
  <c r="G275" i="9"/>
  <c r="E277" i="8"/>
  <c r="G276" i="8"/>
  <c r="F276" i="8"/>
  <c r="G276" i="11" l="1"/>
  <c r="F276" i="11"/>
  <c r="D277" i="11"/>
  <c r="E277" i="11" s="1"/>
  <c r="F276" i="10"/>
  <c r="G276" i="10"/>
  <c r="D277" i="10"/>
  <c r="E277" i="10" s="1"/>
  <c r="G276" i="9"/>
  <c r="F276" i="9"/>
  <c r="D277" i="9"/>
  <c r="E277" i="9" s="1"/>
  <c r="G277" i="8"/>
  <c r="F277" i="8"/>
  <c r="E278" i="8"/>
  <c r="G277" i="11" l="1"/>
  <c r="F277" i="11"/>
  <c r="D278" i="11"/>
  <c r="E278" i="11" s="1"/>
  <c r="G277" i="10"/>
  <c r="F277" i="10"/>
  <c r="D278" i="10"/>
  <c r="E278" i="10" s="1"/>
  <c r="G277" i="9"/>
  <c r="F277" i="9"/>
  <c r="D278" i="9"/>
  <c r="E278" i="9" s="1"/>
  <c r="E279" i="8"/>
  <c r="G278" i="8"/>
  <c r="F278" i="8"/>
  <c r="D279" i="11" l="1"/>
  <c r="E279" i="11" s="1"/>
  <c r="G278" i="11"/>
  <c r="F278" i="11"/>
  <c r="D279" i="10"/>
  <c r="E279" i="10" s="1"/>
  <c r="G278" i="10"/>
  <c r="F278" i="10"/>
  <c r="G278" i="9"/>
  <c r="F278" i="9"/>
  <c r="D279" i="9"/>
  <c r="E279" i="9" s="1"/>
  <c r="G279" i="8"/>
  <c r="F279" i="8"/>
  <c r="E280" i="8"/>
  <c r="G279" i="11" l="1"/>
  <c r="F279" i="11"/>
  <c r="D280" i="11"/>
  <c r="E280" i="11" s="1"/>
  <c r="G279" i="10"/>
  <c r="F279" i="10"/>
  <c r="D280" i="10"/>
  <c r="E280" i="10" s="1"/>
  <c r="G279" i="9"/>
  <c r="F279" i="9"/>
  <c r="D280" i="9"/>
  <c r="E280" i="9" s="1"/>
  <c r="E281" i="8"/>
  <c r="F280" i="8"/>
  <c r="G280" i="8"/>
  <c r="D281" i="11" l="1"/>
  <c r="E281" i="11" s="1"/>
  <c r="G280" i="11"/>
  <c r="F280" i="11"/>
  <c r="D281" i="10"/>
  <c r="E281" i="10" s="1"/>
  <c r="G280" i="10"/>
  <c r="F280" i="10"/>
  <c r="D281" i="9"/>
  <c r="E281" i="9" s="1"/>
  <c r="F280" i="9"/>
  <c r="G280" i="9"/>
  <c r="G281" i="8"/>
  <c r="F281" i="8"/>
  <c r="E282" i="8"/>
  <c r="G281" i="11" l="1"/>
  <c r="F281" i="11"/>
  <c r="D282" i="11"/>
  <c r="E282" i="11" s="1"/>
  <c r="F281" i="10"/>
  <c r="G281" i="10"/>
  <c r="D282" i="10"/>
  <c r="E282" i="10" s="1"/>
  <c r="D282" i="9"/>
  <c r="E282" i="9" s="1"/>
  <c r="G281" i="9"/>
  <c r="F281" i="9"/>
  <c r="G282" i="8"/>
  <c r="F282" i="8"/>
  <c r="E283" i="8"/>
  <c r="G282" i="11" l="1"/>
  <c r="F282" i="11"/>
  <c r="D283" i="11"/>
  <c r="E283" i="11" s="1"/>
  <c r="D283" i="10"/>
  <c r="E283" i="10" s="1"/>
  <c r="G282" i="10"/>
  <c r="F282" i="10"/>
  <c r="D283" i="9"/>
  <c r="E283" i="9" s="1"/>
  <c r="G282" i="9"/>
  <c r="F282" i="9"/>
  <c r="E284" i="8"/>
  <c r="G283" i="8"/>
  <c r="F283" i="8"/>
  <c r="D284" i="11" l="1"/>
  <c r="E284" i="11" s="1"/>
  <c r="G283" i="11"/>
  <c r="F283" i="11"/>
  <c r="D284" i="10"/>
  <c r="E284" i="10" s="1"/>
  <c r="G283" i="10"/>
  <c r="F283" i="10"/>
  <c r="G283" i="9"/>
  <c r="F283" i="9"/>
  <c r="D284" i="9"/>
  <c r="E284" i="9" s="1"/>
  <c r="E285" i="8"/>
  <c r="G284" i="8"/>
  <c r="F284" i="8"/>
  <c r="G284" i="11" l="1"/>
  <c r="F284" i="11"/>
  <c r="D285" i="11"/>
  <c r="E285" i="11" s="1"/>
  <c r="F284" i="10"/>
  <c r="G284" i="10"/>
  <c r="D285" i="10"/>
  <c r="E285" i="10" s="1"/>
  <c r="G284" i="9"/>
  <c r="F284" i="9"/>
  <c r="D285" i="9"/>
  <c r="E285" i="9" s="1"/>
  <c r="G285" i="8"/>
  <c r="F285" i="8"/>
  <c r="E286" i="8"/>
  <c r="D286" i="11" l="1"/>
  <c r="E286" i="11" s="1"/>
  <c r="G285" i="11"/>
  <c r="F285" i="11"/>
  <c r="D286" i="10"/>
  <c r="E286" i="10" s="1"/>
  <c r="G285" i="10"/>
  <c r="F285" i="10"/>
  <c r="D286" i="9"/>
  <c r="E286" i="9" s="1"/>
  <c r="G285" i="9"/>
  <c r="F285" i="9"/>
  <c r="G286" i="8"/>
  <c r="F286" i="8"/>
  <c r="E287" i="8"/>
  <c r="G286" i="11" l="1"/>
  <c r="F286" i="11"/>
  <c r="D287" i="11"/>
  <c r="E287" i="11" s="1"/>
  <c r="G286" i="10"/>
  <c r="F286" i="10"/>
  <c r="D287" i="10"/>
  <c r="E287" i="10" s="1"/>
  <c r="G286" i="9"/>
  <c r="F286" i="9"/>
  <c r="D287" i="9"/>
  <c r="E287" i="9" s="1"/>
  <c r="E288" i="8"/>
  <c r="G287" i="8"/>
  <c r="F287" i="8"/>
  <c r="D288" i="11" l="1"/>
  <c r="E288" i="11" s="1"/>
  <c r="F287" i="11"/>
  <c r="G287" i="11"/>
  <c r="D288" i="10"/>
  <c r="E288" i="10" s="1"/>
  <c r="F287" i="10"/>
  <c r="G287" i="10"/>
  <c r="D288" i="9"/>
  <c r="E288" i="9" s="1"/>
  <c r="F287" i="9"/>
  <c r="G287" i="9"/>
  <c r="E289" i="8"/>
  <c r="F288" i="8"/>
  <c r="G288" i="8"/>
  <c r="G288" i="11" l="1"/>
  <c r="F288" i="11"/>
  <c r="D289" i="11"/>
  <c r="E289" i="11" s="1"/>
  <c r="D289" i="10"/>
  <c r="E289" i="10" s="1"/>
  <c r="G288" i="10"/>
  <c r="F288" i="10"/>
  <c r="G288" i="9"/>
  <c r="F288" i="9"/>
  <c r="D289" i="9"/>
  <c r="E289" i="9" s="1"/>
  <c r="G289" i="8"/>
  <c r="F289" i="8"/>
  <c r="E290" i="8"/>
  <c r="G289" i="11" l="1"/>
  <c r="F289" i="11"/>
  <c r="D290" i="11"/>
  <c r="E290" i="11" s="1"/>
  <c r="G289" i="10"/>
  <c r="F289" i="10"/>
  <c r="D290" i="10"/>
  <c r="E290" i="10" s="1"/>
  <c r="G289" i="9"/>
  <c r="F289" i="9"/>
  <c r="D290" i="9"/>
  <c r="E290" i="9" s="1"/>
  <c r="E291" i="8"/>
  <c r="G290" i="8"/>
  <c r="F290" i="8"/>
  <c r="G290" i="11" l="1"/>
  <c r="F290" i="11"/>
  <c r="D291" i="11"/>
  <c r="E291" i="11" s="1"/>
  <c r="G290" i="10"/>
  <c r="F290" i="10"/>
  <c r="D291" i="10"/>
  <c r="E291" i="10" s="1"/>
  <c r="G290" i="9"/>
  <c r="F290" i="9"/>
  <c r="D291" i="9"/>
  <c r="E291" i="9" s="1"/>
  <c r="E292" i="8"/>
  <c r="G291" i="8"/>
  <c r="F291" i="8"/>
  <c r="G291" i="11" l="1"/>
  <c r="F291" i="11"/>
  <c r="D292" i="11"/>
  <c r="E292" i="11" s="1"/>
  <c r="D292" i="10"/>
  <c r="E292" i="10" s="1"/>
  <c r="F291" i="10"/>
  <c r="G291" i="10"/>
  <c r="D292" i="9"/>
  <c r="E292" i="9" s="1"/>
  <c r="G291" i="9"/>
  <c r="F291" i="9"/>
  <c r="F292" i="8"/>
  <c r="G292" i="8"/>
  <c r="E293" i="8"/>
  <c r="F292" i="11" l="1"/>
  <c r="G292" i="11"/>
  <c r="D293" i="11"/>
  <c r="E293" i="11" s="1"/>
  <c r="D293" i="10"/>
  <c r="E293" i="10" s="1"/>
  <c r="F292" i="10"/>
  <c r="G292" i="10"/>
  <c r="D293" i="9"/>
  <c r="E293" i="9" s="1"/>
  <c r="G292" i="9"/>
  <c r="F292" i="9"/>
  <c r="G293" i="8"/>
  <c r="F293" i="8"/>
  <c r="E294" i="8"/>
  <c r="G293" i="11" l="1"/>
  <c r="F293" i="11"/>
  <c r="D294" i="11"/>
  <c r="E294" i="11" s="1"/>
  <c r="D294" i="10"/>
  <c r="E294" i="10" s="1"/>
  <c r="G293" i="10"/>
  <c r="F293" i="10"/>
  <c r="G293" i="9"/>
  <c r="F293" i="9"/>
  <c r="D294" i="9"/>
  <c r="E294" i="9" s="1"/>
  <c r="G294" i="8"/>
  <c r="F294" i="8"/>
  <c r="E295" i="8"/>
  <c r="D295" i="11" l="1"/>
  <c r="E295" i="11" s="1"/>
  <c r="G294" i="11"/>
  <c r="F294" i="11"/>
  <c r="G294" i="10"/>
  <c r="F294" i="10"/>
  <c r="D295" i="10"/>
  <c r="E295" i="10" s="1"/>
  <c r="D295" i="9"/>
  <c r="E295" i="9" s="1"/>
  <c r="G294" i="9"/>
  <c r="F294" i="9"/>
  <c r="F295" i="8"/>
  <c r="G295" i="8"/>
  <c r="E296" i="8"/>
  <c r="G295" i="11" l="1"/>
  <c r="F295" i="11"/>
  <c r="D296" i="11"/>
  <c r="E296" i="11" s="1"/>
  <c r="F295" i="10"/>
  <c r="G295" i="10"/>
  <c r="D296" i="10"/>
  <c r="E296" i="10" s="1"/>
  <c r="G295" i="9"/>
  <c r="F295" i="9"/>
  <c r="D296" i="9"/>
  <c r="E296" i="9" s="1"/>
  <c r="E297" i="8"/>
  <c r="G296" i="8"/>
  <c r="F296" i="8"/>
  <c r="D297" i="11" l="1"/>
  <c r="E297" i="11" s="1"/>
  <c r="G296" i="11"/>
  <c r="F296" i="11"/>
  <c r="F296" i="10"/>
  <c r="G296" i="10"/>
  <c r="D297" i="10"/>
  <c r="E297" i="10" s="1"/>
  <c r="G296" i="9"/>
  <c r="F296" i="9"/>
  <c r="D297" i="9"/>
  <c r="E297" i="9" s="1"/>
  <c r="E298" i="8"/>
  <c r="G297" i="8"/>
  <c r="F297" i="8"/>
  <c r="D298" i="11" l="1"/>
  <c r="E298" i="11" s="1"/>
  <c r="G297" i="11"/>
  <c r="F297" i="11"/>
  <c r="D298" i="10"/>
  <c r="E298" i="10" s="1"/>
  <c r="F297" i="10"/>
  <c r="G297" i="10"/>
  <c r="D298" i="9"/>
  <c r="E298" i="9" s="1"/>
  <c r="G297" i="9"/>
  <c r="F297" i="9"/>
  <c r="G298" i="8"/>
  <c r="F298" i="8"/>
  <c r="E299" i="8"/>
  <c r="G298" i="11" l="1"/>
  <c r="F298" i="11"/>
  <c r="D299" i="11"/>
  <c r="E299" i="11" s="1"/>
  <c r="G298" i="10"/>
  <c r="F298" i="10"/>
  <c r="D299" i="10"/>
  <c r="E299" i="10" s="1"/>
  <c r="G298" i="9"/>
  <c r="F298" i="9"/>
  <c r="D299" i="9"/>
  <c r="E299" i="9" s="1"/>
  <c r="G299" i="8"/>
  <c r="F299" i="8"/>
  <c r="E300" i="8"/>
  <c r="D300" i="11" l="1"/>
  <c r="E300" i="11" s="1"/>
  <c r="F299" i="11"/>
  <c r="G299" i="11"/>
  <c r="D300" i="10"/>
  <c r="E300" i="10" s="1"/>
  <c r="F299" i="10"/>
  <c r="G299" i="10"/>
  <c r="D300" i="9"/>
  <c r="E300" i="9" s="1"/>
  <c r="F299" i="9"/>
  <c r="G299" i="9"/>
  <c r="G300" i="8"/>
  <c r="F300" i="8"/>
  <c r="E301" i="8"/>
  <c r="G300" i="11" l="1"/>
  <c r="F300" i="11"/>
  <c r="D301" i="11"/>
  <c r="E301" i="11" s="1"/>
  <c r="G300" i="10"/>
  <c r="F300" i="10"/>
  <c r="D301" i="10"/>
  <c r="E301" i="10" s="1"/>
  <c r="G300" i="9"/>
  <c r="F300" i="9"/>
  <c r="D301" i="9"/>
  <c r="E301" i="9" s="1"/>
  <c r="E302" i="8"/>
  <c r="F301" i="8"/>
  <c r="G301" i="8"/>
  <c r="G301" i="11" l="1"/>
  <c r="F301" i="11"/>
  <c r="D302" i="11"/>
  <c r="E302" i="11" s="1"/>
  <c r="G301" i="10"/>
  <c r="F301" i="10"/>
  <c r="D302" i="10"/>
  <c r="E302" i="10" s="1"/>
  <c r="G301" i="9"/>
  <c r="F301" i="9"/>
  <c r="D302" i="9"/>
  <c r="E302" i="9" s="1"/>
  <c r="E303" i="8"/>
  <c r="G302" i="8"/>
  <c r="F302" i="8"/>
  <c r="G302" i="11" l="1"/>
  <c r="F302" i="11"/>
  <c r="D303" i="11"/>
  <c r="E303" i="11" s="1"/>
  <c r="F302" i="10"/>
  <c r="G302" i="10"/>
  <c r="D303" i="10"/>
  <c r="E303" i="10" s="1"/>
  <c r="D303" i="9"/>
  <c r="E303" i="9" s="1"/>
  <c r="G302" i="9"/>
  <c r="F302" i="9"/>
  <c r="G303" i="8"/>
  <c r="F303" i="8"/>
  <c r="E304" i="8"/>
  <c r="G303" i="11" l="1"/>
  <c r="F303" i="11"/>
  <c r="D304" i="11"/>
  <c r="E304" i="11" s="1"/>
  <c r="D304" i="10"/>
  <c r="E304" i="10" s="1"/>
  <c r="G303" i="10"/>
  <c r="F303" i="10"/>
  <c r="G303" i="9"/>
  <c r="F303" i="9"/>
  <c r="D304" i="9"/>
  <c r="E304" i="9" s="1"/>
  <c r="E305" i="8"/>
  <c r="F304" i="8"/>
  <c r="G304" i="8"/>
  <c r="D305" i="11" l="1"/>
  <c r="E305" i="11" s="1"/>
  <c r="G304" i="11"/>
  <c r="F304" i="11"/>
  <c r="D305" i="10"/>
  <c r="E305" i="10" s="1"/>
  <c r="G304" i="10"/>
  <c r="F304" i="10"/>
  <c r="D305" i="9"/>
  <c r="E305" i="9" s="1"/>
  <c r="G304" i="9"/>
  <c r="F304" i="9"/>
  <c r="G305" i="8"/>
  <c r="F305" i="8"/>
  <c r="E306" i="8"/>
  <c r="G305" i="11" l="1"/>
  <c r="F305" i="11"/>
  <c r="D306" i="11"/>
  <c r="E306" i="11" s="1"/>
  <c r="F305" i="10"/>
  <c r="G305" i="10"/>
  <c r="D306" i="10"/>
  <c r="E306" i="10" s="1"/>
  <c r="G305" i="9"/>
  <c r="F305" i="9"/>
  <c r="D306" i="9"/>
  <c r="E306" i="9" s="1"/>
  <c r="G306" i="8"/>
  <c r="F306" i="8"/>
  <c r="E307" i="8"/>
  <c r="D307" i="11" l="1"/>
  <c r="E307" i="11" s="1"/>
  <c r="G306" i="11"/>
  <c r="F306" i="11"/>
  <c r="G306" i="10"/>
  <c r="F306" i="10"/>
  <c r="D307" i="10"/>
  <c r="E307" i="10" s="1"/>
  <c r="D307" i="9"/>
  <c r="E307" i="9" s="1"/>
  <c r="G306" i="9"/>
  <c r="F306" i="9"/>
  <c r="G307" i="8"/>
  <c r="F307" i="8"/>
  <c r="E308" i="8"/>
  <c r="G307" i="11" l="1"/>
  <c r="F307" i="11"/>
  <c r="D308" i="11"/>
  <c r="E308" i="11" s="1"/>
  <c r="F307" i="10"/>
  <c r="G307" i="10"/>
  <c r="D308" i="10"/>
  <c r="E308" i="10" s="1"/>
  <c r="G307" i="9"/>
  <c r="F307" i="9"/>
  <c r="D308" i="9"/>
  <c r="E308" i="9" s="1"/>
  <c r="G308" i="8"/>
  <c r="F308" i="8"/>
  <c r="E309" i="8"/>
  <c r="G308" i="11" l="1"/>
  <c r="F308" i="11"/>
  <c r="D309" i="11"/>
  <c r="E309" i="11" s="1"/>
  <c r="G308" i="10"/>
  <c r="F308" i="10"/>
  <c r="D309" i="10"/>
  <c r="E309" i="10" s="1"/>
  <c r="G308" i="9"/>
  <c r="F308" i="9"/>
  <c r="D309" i="9"/>
  <c r="E309" i="9" s="1"/>
  <c r="E310" i="8"/>
  <c r="F309" i="8"/>
  <c r="G309" i="8"/>
  <c r="D310" i="11" l="1"/>
  <c r="E310" i="11" s="1"/>
  <c r="G309" i="11"/>
  <c r="F309" i="11"/>
  <c r="D310" i="10"/>
  <c r="E310" i="10" s="1"/>
  <c r="G309" i="10"/>
  <c r="F309" i="10"/>
  <c r="D310" i="9"/>
  <c r="E310" i="9" s="1"/>
  <c r="G309" i="9"/>
  <c r="F309" i="9"/>
  <c r="G310" i="8"/>
  <c r="F310" i="8"/>
  <c r="E311" i="8"/>
  <c r="G310" i="11" l="1"/>
  <c r="F310" i="11"/>
  <c r="D311" i="11"/>
  <c r="E311" i="11" s="1"/>
  <c r="F310" i="10"/>
  <c r="G310" i="10"/>
  <c r="D311" i="10"/>
  <c r="E311" i="10" s="1"/>
  <c r="G310" i="9"/>
  <c r="F310" i="9"/>
  <c r="D311" i="9"/>
  <c r="E311" i="9" s="1"/>
  <c r="G311" i="8"/>
  <c r="F311" i="8"/>
  <c r="E312" i="8"/>
  <c r="D312" i="11" l="1"/>
  <c r="E312" i="11" s="1"/>
  <c r="F311" i="11"/>
  <c r="G311" i="11"/>
  <c r="F311" i="10"/>
  <c r="G311" i="10"/>
  <c r="D312" i="10"/>
  <c r="E312" i="10" s="1"/>
  <c r="D312" i="9"/>
  <c r="E312" i="9" s="1"/>
  <c r="F311" i="9"/>
  <c r="G311" i="9"/>
  <c r="E313" i="8"/>
  <c r="G312" i="8"/>
  <c r="F312" i="8"/>
  <c r="G312" i="11" l="1"/>
  <c r="F312" i="11"/>
  <c r="D313" i="11"/>
  <c r="E313" i="11" s="1"/>
  <c r="F312" i="10"/>
  <c r="G312" i="10"/>
  <c r="D313" i="10"/>
  <c r="E313" i="10" s="1"/>
  <c r="G312" i="9"/>
  <c r="F312" i="9"/>
  <c r="D313" i="9"/>
  <c r="E313" i="9" s="1"/>
  <c r="G313" i="8"/>
  <c r="F313" i="8"/>
  <c r="E314" i="8"/>
  <c r="G313" i="11" l="1"/>
  <c r="F313" i="11"/>
  <c r="D314" i="11"/>
  <c r="E314" i="11" s="1"/>
  <c r="G313" i="10"/>
  <c r="F313" i="10"/>
  <c r="D314" i="10"/>
  <c r="E314" i="10" s="1"/>
  <c r="G313" i="9"/>
  <c r="F313" i="9"/>
  <c r="D314" i="9"/>
  <c r="E314" i="9" s="1"/>
  <c r="E315" i="8"/>
  <c r="G314" i="8"/>
  <c r="F314" i="8"/>
  <c r="G314" i="11" l="1"/>
  <c r="F314" i="11"/>
  <c r="D315" i="11"/>
  <c r="E315" i="11" s="1"/>
  <c r="D315" i="10"/>
  <c r="E315" i="10" s="1"/>
  <c r="G314" i="10"/>
  <c r="F314" i="10"/>
  <c r="G314" i="9"/>
  <c r="F314" i="9"/>
  <c r="D315" i="9"/>
  <c r="E315" i="9" s="1"/>
  <c r="E316" i="8"/>
  <c r="G315" i="8"/>
  <c r="F315" i="8"/>
  <c r="G315" i="11" l="1"/>
  <c r="F315" i="11"/>
  <c r="D316" i="11"/>
  <c r="E316" i="11" s="1"/>
  <c r="G315" i="10"/>
  <c r="F315" i="10"/>
  <c r="D316" i="10"/>
  <c r="E316" i="10" s="1"/>
  <c r="G315" i="9"/>
  <c r="F315" i="9"/>
  <c r="D316" i="9"/>
  <c r="E316" i="9" s="1"/>
  <c r="F316" i="8"/>
  <c r="G316" i="8"/>
  <c r="E317" i="8"/>
  <c r="D317" i="11" l="1"/>
  <c r="E317" i="11" s="1"/>
  <c r="G316" i="11"/>
  <c r="F316" i="11"/>
  <c r="D317" i="10"/>
  <c r="E317" i="10" s="1"/>
  <c r="F316" i="10"/>
  <c r="G316" i="10"/>
  <c r="D317" i="9"/>
  <c r="E317" i="9" s="1"/>
  <c r="G316" i="9"/>
  <c r="F316" i="9"/>
  <c r="E318" i="8"/>
  <c r="G317" i="8"/>
  <c r="F317" i="8"/>
  <c r="G317" i="11" l="1"/>
  <c r="F317" i="11"/>
  <c r="D318" i="11"/>
  <c r="E318" i="11" s="1"/>
  <c r="F317" i="10"/>
  <c r="G317" i="10"/>
  <c r="D318" i="10"/>
  <c r="E318" i="10" s="1"/>
  <c r="G317" i="9"/>
  <c r="F317" i="9"/>
  <c r="D318" i="9"/>
  <c r="E318" i="9" s="1"/>
  <c r="F318" i="8"/>
  <c r="G318" i="8"/>
  <c r="E319" i="8"/>
  <c r="D319" i="11" l="1"/>
  <c r="E319" i="11" s="1"/>
  <c r="G318" i="11"/>
  <c r="F318" i="11"/>
  <c r="D319" i="10"/>
  <c r="E319" i="10" s="1"/>
  <c r="G318" i="10"/>
  <c r="F318" i="10"/>
  <c r="D319" i="9"/>
  <c r="E319" i="9" s="1"/>
  <c r="G318" i="9"/>
  <c r="F318" i="9"/>
  <c r="G319" i="8"/>
  <c r="F319" i="8"/>
  <c r="E320" i="8"/>
  <c r="G319" i="11" l="1"/>
  <c r="F319" i="11"/>
  <c r="D320" i="11"/>
  <c r="E320" i="11" s="1"/>
  <c r="D320" i="10"/>
  <c r="E320" i="10" s="1"/>
  <c r="G319" i="10"/>
  <c r="F319" i="10"/>
  <c r="G319" i="9"/>
  <c r="F319" i="9"/>
  <c r="D320" i="9"/>
  <c r="E320" i="9" s="1"/>
  <c r="F320" i="8"/>
  <c r="G320" i="8"/>
  <c r="E321" i="8"/>
  <c r="G320" i="11" l="1"/>
  <c r="F320" i="11"/>
  <c r="D321" i="11"/>
  <c r="E321" i="11" s="1"/>
  <c r="G320" i="10"/>
  <c r="F320" i="10"/>
  <c r="D321" i="10"/>
  <c r="E321" i="10" s="1"/>
  <c r="G320" i="9"/>
  <c r="F320" i="9"/>
  <c r="D321" i="9"/>
  <c r="E321" i="9" s="1"/>
  <c r="G321" i="8"/>
  <c r="F321" i="8"/>
  <c r="E322" i="8"/>
  <c r="D322" i="11" l="1"/>
  <c r="E322" i="11" s="1"/>
  <c r="G321" i="11"/>
  <c r="F321" i="11"/>
  <c r="D322" i="10"/>
  <c r="E322" i="10" s="1"/>
  <c r="G321" i="10"/>
  <c r="F321" i="10"/>
  <c r="D322" i="9"/>
  <c r="E322" i="9" s="1"/>
  <c r="G321" i="9"/>
  <c r="F321" i="9"/>
  <c r="E323" i="8"/>
  <c r="F322" i="8"/>
  <c r="G322" i="8"/>
  <c r="G322" i="11" l="1"/>
  <c r="F322" i="11"/>
  <c r="D323" i="11"/>
  <c r="E323" i="11" s="1"/>
  <c r="F322" i="10"/>
  <c r="G322" i="10"/>
  <c r="D323" i="10"/>
  <c r="E323" i="10" s="1"/>
  <c r="G322" i="9"/>
  <c r="F322" i="9"/>
  <c r="D323" i="9"/>
  <c r="E323" i="9" s="1"/>
  <c r="G323" i="8"/>
  <c r="F323" i="8"/>
  <c r="E324" i="8"/>
  <c r="D324" i="11" l="1"/>
  <c r="E324" i="11" s="1"/>
  <c r="F323" i="11"/>
  <c r="G323" i="11"/>
  <c r="D324" i="10"/>
  <c r="E324" i="10" s="1"/>
  <c r="F323" i="10"/>
  <c r="G323" i="10"/>
  <c r="D324" i="9"/>
  <c r="E324" i="9" s="1"/>
  <c r="F323" i="9"/>
  <c r="G323" i="9"/>
  <c r="G324" i="8"/>
  <c r="F324" i="8"/>
  <c r="E325" i="8"/>
  <c r="G324" i="11" l="1"/>
  <c r="F324" i="11"/>
  <c r="D325" i="11"/>
  <c r="E325" i="11" s="1"/>
  <c r="D325" i="10"/>
  <c r="E325" i="10" s="1"/>
  <c r="G324" i="10"/>
  <c r="F324" i="10"/>
  <c r="G324" i="9"/>
  <c r="F324" i="9"/>
  <c r="D325" i="9"/>
  <c r="E325" i="9" s="1"/>
  <c r="E326" i="8"/>
  <c r="G325" i="8"/>
  <c r="F325" i="8"/>
  <c r="G325" i="11" l="1"/>
  <c r="F325" i="11"/>
  <c r="D326" i="11"/>
  <c r="E326" i="11" s="1"/>
  <c r="G325" i="10"/>
  <c r="F325" i="10"/>
  <c r="D326" i="10"/>
  <c r="E326" i="10" s="1"/>
  <c r="D326" i="9"/>
  <c r="E326" i="9" s="1"/>
  <c r="G325" i="9"/>
  <c r="F325" i="9"/>
  <c r="E327" i="8"/>
  <c r="G326" i="8"/>
  <c r="F326" i="8"/>
  <c r="G326" i="11" l="1"/>
  <c r="F326" i="11"/>
  <c r="D327" i="11"/>
  <c r="E327" i="11" s="1"/>
  <c r="G326" i="10"/>
  <c r="F326" i="10"/>
  <c r="D327" i="10"/>
  <c r="E327" i="10" s="1"/>
  <c r="G326" i="9"/>
  <c r="F326" i="9"/>
  <c r="D327" i="9"/>
  <c r="E327" i="9" s="1"/>
  <c r="G327" i="8"/>
  <c r="F327" i="8"/>
  <c r="E328" i="8"/>
  <c r="G327" i="11" l="1"/>
  <c r="F327" i="11"/>
  <c r="D328" i="11"/>
  <c r="E328" i="11" s="1"/>
  <c r="F327" i="10"/>
  <c r="G327" i="10"/>
  <c r="D328" i="10"/>
  <c r="E328" i="10" s="1"/>
  <c r="D328" i="9"/>
  <c r="E328" i="9" s="1"/>
  <c r="G327" i="9"/>
  <c r="F327" i="9"/>
  <c r="F328" i="8"/>
  <c r="G328" i="8"/>
  <c r="E329" i="8"/>
  <c r="D329" i="11" l="1"/>
  <c r="E329" i="11" s="1"/>
  <c r="G328" i="11"/>
  <c r="F328" i="11"/>
  <c r="D329" i="10"/>
  <c r="E329" i="10" s="1"/>
  <c r="F328" i="10"/>
  <c r="G328" i="10"/>
  <c r="D329" i="9"/>
  <c r="E329" i="9" s="1"/>
  <c r="G328" i="9"/>
  <c r="F328" i="9"/>
  <c r="G329" i="8"/>
  <c r="F329" i="8"/>
  <c r="E330" i="8"/>
  <c r="G329" i="11" l="1"/>
  <c r="F329" i="11"/>
  <c r="D330" i="11"/>
  <c r="E330" i="11" s="1"/>
  <c r="D330" i="10"/>
  <c r="E330" i="10" s="1"/>
  <c r="G329" i="10"/>
  <c r="F329" i="10"/>
  <c r="G329" i="9"/>
  <c r="F329" i="9"/>
  <c r="D330" i="9"/>
  <c r="E330" i="9" s="1"/>
  <c r="G330" i="8"/>
  <c r="F330" i="8"/>
  <c r="E331" i="8"/>
  <c r="D331" i="11" l="1"/>
  <c r="E331" i="11" s="1"/>
  <c r="G330" i="11"/>
  <c r="F330" i="11"/>
  <c r="G330" i="10"/>
  <c r="F330" i="10"/>
  <c r="D331" i="10"/>
  <c r="E331" i="10" s="1"/>
  <c r="D331" i="9"/>
  <c r="E331" i="9" s="1"/>
  <c r="G330" i="9"/>
  <c r="F330" i="9"/>
  <c r="G331" i="8"/>
  <c r="F331" i="8"/>
  <c r="E332" i="8"/>
  <c r="G331" i="11" l="1"/>
  <c r="F331" i="11"/>
  <c r="D332" i="11"/>
  <c r="E332" i="11" s="1"/>
  <c r="G331" i="10"/>
  <c r="F331" i="10"/>
  <c r="D332" i="10"/>
  <c r="E332" i="10" s="1"/>
  <c r="G331" i="9"/>
  <c r="F331" i="9"/>
  <c r="D332" i="9"/>
  <c r="E332" i="9" s="1"/>
  <c r="G332" i="8"/>
  <c r="F332" i="8"/>
  <c r="E333" i="8"/>
  <c r="G332" i="11" l="1"/>
  <c r="F332" i="11"/>
  <c r="D333" i="11"/>
  <c r="E333" i="11" s="1"/>
  <c r="G332" i="10"/>
  <c r="F332" i="10"/>
  <c r="D333" i="10"/>
  <c r="E333" i="10" s="1"/>
  <c r="G332" i="9"/>
  <c r="F332" i="9"/>
  <c r="D333" i="9"/>
  <c r="E333" i="9" s="1"/>
  <c r="G333" i="8"/>
  <c r="F333" i="8"/>
  <c r="E334" i="8"/>
  <c r="D334" i="11" l="1"/>
  <c r="E334" i="11" s="1"/>
  <c r="G333" i="11"/>
  <c r="F333" i="11"/>
  <c r="D334" i="10"/>
  <c r="E334" i="10" s="1"/>
  <c r="F333" i="10"/>
  <c r="G333" i="10"/>
  <c r="D334" i="9"/>
  <c r="E334" i="9" s="1"/>
  <c r="G333" i="9"/>
  <c r="F333" i="9"/>
  <c r="G334" i="8"/>
  <c r="F334" i="8"/>
  <c r="E335" i="8"/>
  <c r="G334" i="11" l="1"/>
  <c r="F334" i="11"/>
  <c r="D335" i="11"/>
  <c r="E335" i="11" s="1"/>
  <c r="D335" i="10"/>
  <c r="E335" i="10" s="1"/>
  <c r="G334" i="10"/>
  <c r="F334" i="10"/>
  <c r="G334" i="9"/>
  <c r="F334" i="9"/>
  <c r="D335" i="9"/>
  <c r="E335" i="9" s="1"/>
  <c r="E336" i="8"/>
  <c r="G335" i="8"/>
  <c r="F335" i="8"/>
  <c r="D336" i="11" l="1"/>
  <c r="E336" i="11" s="1"/>
  <c r="F335" i="11"/>
  <c r="G335" i="11"/>
  <c r="D336" i="10"/>
  <c r="E336" i="10" s="1"/>
  <c r="F335" i="10"/>
  <c r="G335" i="10"/>
  <c r="D336" i="9"/>
  <c r="E336" i="9" s="1"/>
  <c r="F335" i="9"/>
  <c r="G335" i="9"/>
  <c r="E337" i="8"/>
  <c r="G336" i="8"/>
  <c r="F336" i="8"/>
  <c r="G336" i="11" l="1"/>
  <c r="F336" i="11"/>
  <c r="D337" i="11"/>
  <c r="E337" i="11" s="1"/>
  <c r="G336" i="10"/>
  <c r="F336" i="10"/>
  <c r="D337" i="10"/>
  <c r="E337" i="10" s="1"/>
  <c r="G336" i="9"/>
  <c r="F336" i="9"/>
  <c r="D337" i="9"/>
  <c r="E337" i="9" s="1"/>
  <c r="G337" i="8"/>
  <c r="F337" i="8"/>
  <c r="E338" i="8"/>
  <c r="G337" i="11" l="1"/>
  <c r="F337" i="11"/>
  <c r="D338" i="11"/>
  <c r="E338" i="11" s="1"/>
  <c r="G337" i="10"/>
  <c r="F337" i="10"/>
  <c r="D338" i="10"/>
  <c r="E338" i="10" s="1"/>
  <c r="G337" i="9"/>
  <c r="F337" i="9"/>
  <c r="D338" i="9"/>
  <c r="E338" i="9" s="1"/>
  <c r="E339" i="8"/>
  <c r="G338" i="8"/>
  <c r="F338" i="8"/>
  <c r="G338" i="11" l="1"/>
  <c r="F338" i="11"/>
  <c r="D339" i="11"/>
  <c r="E339" i="11" s="1"/>
  <c r="F338" i="10"/>
  <c r="G338" i="10"/>
  <c r="D339" i="10"/>
  <c r="E339" i="10" s="1"/>
  <c r="G338" i="9"/>
  <c r="F338" i="9"/>
  <c r="D339" i="9"/>
  <c r="E339" i="9" s="1"/>
  <c r="E340" i="8"/>
  <c r="F339" i="8"/>
  <c r="G339" i="8"/>
  <c r="G339" i="11" l="1"/>
  <c r="F339" i="11"/>
  <c r="D340" i="11"/>
  <c r="E340" i="11" s="1"/>
  <c r="D340" i="10"/>
  <c r="E340" i="10" s="1"/>
  <c r="G339" i="10"/>
  <c r="F339" i="10"/>
  <c r="G339" i="9"/>
  <c r="F339" i="9"/>
  <c r="D340" i="9"/>
  <c r="E340" i="9" s="1"/>
  <c r="F340" i="8"/>
  <c r="G340" i="8"/>
  <c r="E341" i="8"/>
  <c r="D341" i="11" l="1"/>
  <c r="E341" i="11" s="1"/>
  <c r="F340" i="11"/>
  <c r="G340" i="11"/>
  <c r="D341" i="10"/>
  <c r="E341" i="10" s="1"/>
  <c r="G340" i="10"/>
  <c r="F340" i="10"/>
  <c r="D341" i="9"/>
  <c r="E341" i="9" s="1"/>
  <c r="G340" i="9"/>
  <c r="F340" i="9"/>
  <c r="G341" i="8"/>
  <c r="F341" i="8"/>
  <c r="E342" i="8"/>
  <c r="G341" i="11" l="1"/>
  <c r="F341" i="11"/>
  <c r="D342" i="11"/>
  <c r="E342" i="11" s="1"/>
  <c r="F341" i="10"/>
  <c r="G341" i="10"/>
  <c r="D342" i="10"/>
  <c r="E342" i="10" s="1"/>
  <c r="G341" i="9"/>
  <c r="F341" i="9"/>
  <c r="D342" i="9"/>
  <c r="E342" i="9" s="1"/>
  <c r="G342" i="8"/>
  <c r="F342" i="8"/>
  <c r="E343" i="8"/>
  <c r="D343" i="11" l="1"/>
  <c r="E343" i="11" s="1"/>
  <c r="G342" i="11"/>
  <c r="F342" i="11"/>
  <c r="G342" i="10"/>
  <c r="F342" i="10"/>
  <c r="D343" i="10"/>
  <c r="E343" i="10" s="1"/>
  <c r="G342" i="9"/>
  <c r="F342" i="9"/>
  <c r="D343" i="9"/>
  <c r="E343" i="9" s="1"/>
  <c r="E344" i="8"/>
  <c r="F343" i="8"/>
  <c r="G343" i="8"/>
  <c r="G343" i="11" l="1"/>
  <c r="F343" i="11"/>
  <c r="D344" i="11"/>
  <c r="E344" i="11" s="1"/>
  <c r="D344" i="10"/>
  <c r="E344" i="10" s="1"/>
  <c r="F343" i="10"/>
  <c r="G343" i="10"/>
  <c r="G343" i="9"/>
  <c r="F343" i="9"/>
  <c r="D344" i="9"/>
  <c r="E344" i="9" s="1"/>
  <c r="E345" i="8"/>
  <c r="G344" i="8"/>
  <c r="F344" i="8"/>
  <c r="G344" i="11" l="1"/>
  <c r="F344" i="11"/>
  <c r="D345" i="11"/>
  <c r="E345" i="11" s="1"/>
  <c r="G344" i="10"/>
  <c r="F344" i="10"/>
  <c r="D345" i="10"/>
  <c r="E345" i="10" s="1"/>
  <c r="G344" i="9"/>
  <c r="F344" i="9"/>
  <c r="D345" i="9"/>
  <c r="E345" i="9" s="1"/>
  <c r="G345" i="8"/>
  <c r="F345" i="8"/>
  <c r="E346" i="8"/>
  <c r="D346" i="11" l="1"/>
  <c r="E346" i="11" s="1"/>
  <c r="G345" i="11"/>
  <c r="F345" i="11"/>
  <c r="D346" i="10"/>
  <c r="E346" i="10" s="1"/>
  <c r="G345" i="10"/>
  <c r="F345" i="10"/>
  <c r="D346" i="9"/>
  <c r="E346" i="9" s="1"/>
  <c r="G345" i="9"/>
  <c r="F345" i="9"/>
  <c r="E347" i="8"/>
  <c r="G346" i="8"/>
  <c r="F346" i="8"/>
  <c r="G346" i="11" l="1"/>
  <c r="F346" i="11"/>
  <c r="D347" i="11"/>
  <c r="E347" i="11" s="1"/>
  <c r="G346" i="10"/>
  <c r="F346" i="10"/>
  <c r="D347" i="10"/>
  <c r="E347" i="10" s="1"/>
  <c r="G346" i="9"/>
  <c r="F346" i="9"/>
  <c r="D347" i="9"/>
  <c r="E347" i="9" s="1"/>
  <c r="G347" i="8"/>
  <c r="F347" i="8"/>
  <c r="E348" i="8"/>
  <c r="D348" i="11" l="1"/>
  <c r="E348" i="11" s="1"/>
  <c r="F347" i="11"/>
  <c r="G347" i="11"/>
  <c r="F347" i="10"/>
  <c r="G347" i="10"/>
  <c r="D348" i="10"/>
  <c r="E348" i="10" s="1"/>
  <c r="D348" i="9"/>
  <c r="E348" i="9" s="1"/>
  <c r="F347" i="9"/>
  <c r="G347" i="9"/>
  <c r="G348" i="8"/>
  <c r="F348" i="8"/>
  <c r="E349" i="8"/>
  <c r="G348" i="11" l="1"/>
  <c r="F348" i="11"/>
  <c r="D349" i="11"/>
  <c r="E349" i="11" s="1"/>
  <c r="F348" i="10"/>
  <c r="G348" i="10"/>
  <c r="D349" i="10"/>
  <c r="E349" i="10" s="1"/>
  <c r="G348" i="9"/>
  <c r="F348" i="9"/>
  <c r="D349" i="9"/>
  <c r="E349" i="9" s="1"/>
  <c r="G349" i="8"/>
  <c r="F349" i="8"/>
  <c r="E350" i="8"/>
  <c r="G349" i="11" l="1"/>
  <c r="F349" i="11"/>
  <c r="D350" i="11"/>
  <c r="E350" i="11" s="1"/>
  <c r="G349" i="10"/>
  <c r="F349" i="10"/>
  <c r="D350" i="10"/>
  <c r="E350" i="10" s="1"/>
  <c r="G349" i="9"/>
  <c r="F349" i="9"/>
  <c r="D350" i="9"/>
  <c r="E350" i="9" s="1"/>
  <c r="E351" i="8"/>
  <c r="G350" i="8"/>
  <c r="F350" i="8"/>
  <c r="G350" i="11" l="1"/>
  <c r="F350" i="11"/>
  <c r="D351" i="11"/>
  <c r="E351" i="11" s="1"/>
  <c r="G350" i="10"/>
  <c r="F350" i="10"/>
  <c r="D351" i="10"/>
  <c r="E351" i="10" s="1"/>
  <c r="G350" i="9"/>
  <c r="F350" i="9"/>
  <c r="D351" i="9"/>
  <c r="E351" i="9" s="1"/>
  <c r="E352" i="8"/>
  <c r="G351" i="8"/>
  <c r="F351" i="8"/>
  <c r="G351" i="11" l="1"/>
  <c r="F351" i="11"/>
  <c r="D352" i="11"/>
  <c r="E352" i="11" s="1"/>
  <c r="F351" i="10"/>
  <c r="G351" i="10"/>
  <c r="D352" i="10"/>
  <c r="E352" i="10" s="1"/>
  <c r="G351" i="9"/>
  <c r="F351" i="9"/>
  <c r="D352" i="9"/>
  <c r="E352" i="9" s="1"/>
  <c r="F352" i="8"/>
  <c r="G352" i="8"/>
  <c r="E353" i="8"/>
  <c r="D353" i="11" l="1"/>
  <c r="E353" i="11" s="1"/>
  <c r="G352" i="11"/>
  <c r="F352" i="11"/>
  <c r="D353" i="10"/>
  <c r="E353" i="10" s="1"/>
  <c r="G352" i="10"/>
  <c r="F352" i="10"/>
  <c r="D353" i="9"/>
  <c r="E353" i="9" s="1"/>
  <c r="G352" i="9"/>
  <c r="F352" i="9"/>
  <c r="G353" i="8"/>
  <c r="F353" i="8"/>
  <c r="E354" i="8"/>
  <c r="G353" i="11" l="1"/>
  <c r="F353" i="11"/>
  <c r="D354" i="11"/>
  <c r="E354" i="11" s="1"/>
  <c r="F353" i="10"/>
  <c r="G353" i="10"/>
  <c r="D354" i="10"/>
  <c r="E354" i="10" s="1"/>
  <c r="G353" i="9"/>
  <c r="F353" i="9"/>
  <c r="D354" i="9"/>
  <c r="E354" i="9" s="1"/>
  <c r="G354" i="8"/>
  <c r="F354" i="8"/>
  <c r="E355" i="8"/>
  <c r="D355" i="11" l="1"/>
  <c r="E355" i="11" s="1"/>
  <c r="G354" i="11"/>
  <c r="F354" i="11"/>
  <c r="D355" i="10"/>
  <c r="E355" i="10" s="1"/>
  <c r="G354" i="10"/>
  <c r="F354" i="10"/>
  <c r="D355" i="9"/>
  <c r="E355" i="9" s="1"/>
  <c r="G354" i="9"/>
  <c r="F354" i="9"/>
  <c r="G355" i="8"/>
  <c r="F355" i="8"/>
  <c r="E356" i="8"/>
  <c r="G355" i="11" l="1"/>
  <c r="F355" i="11"/>
  <c r="D356" i="11"/>
  <c r="E356" i="11" s="1"/>
  <c r="D356" i="10"/>
  <c r="E356" i="10" s="1"/>
  <c r="G355" i="10"/>
  <c r="F355" i="10"/>
  <c r="G355" i="9"/>
  <c r="F355" i="9"/>
  <c r="D356" i="9"/>
  <c r="E356" i="9" s="1"/>
  <c r="E357" i="8"/>
  <c r="F356" i="8"/>
  <c r="G356" i="8"/>
  <c r="G356" i="11" l="1"/>
  <c r="F356" i="11"/>
  <c r="D357" i="11"/>
  <c r="E357" i="11" s="1"/>
  <c r="F356" i="10"/>
  <c r="G356" i="10"/>
  <c r="D357" i="10"/>
  <c r="E357" i="10" s="1"/>
  <c r="G356" i="9"/>
  <c r="F356" i="9"/>
  <c r="D357" i="9"/>
  <c r="E357" i="9" s="1"/>
  <c r="E358" i="8"/>
  <c r="F357" i="8"/>
  <c r="G357" i="8"/>
  <c r="D358" i="11" l="1"/>
  <c r="E358" i="11" s="1"/>
  <c r="G357" i="11"/>
  <c r="F357" i="11"/>
  <c r="D358" i="10"/>
  <c r="E358" i="10" s="1"/>
  <c r="G357" i="10"/>
  <c r="F357" i="10"/>
  <c r="D358" i="9"/>
  <c r="E358" i="9" s="1"/>
  <c r="G357" i="9"/>
  <c r="F357" i="9"/>
  <c r="G358" i="8"/>
  <c r="F358" i="8"/>
  <c r="E359" i="8"/>
  <c r="G358" i="11" l="1"/>
  <c r="F358" i="11"/>
  <c r="D359" i="11"/>
  <c r="E359" i="11" s="1"/>
  <c r="F358" i="10"/>
  <c r="G358" i="10"/>
  <c r="D359" i="10"/>
  <c r="E359" i="10" s="1"/>
  <c r="G358" i="9"/>
  <c r="F358" i="9"/>
  <c r="D359" i="9"/>
  <c r="E359" i="9" s="1"/>
  <c r="E360" i="8"/>
  <c r="G359" i="8"/>
  <c r="F359" i="8"/>
  <c r="D360" i="11" l="1"/>
  <c r="E360" i="11" s="1"/>
  <c r="F359" i="11"/>
  <c r="G359" i="11"/>
  <c r="D360" i="10"/>
  <c r="E360" i="10" s="1"/>
  <c r="F359" i="10"/>
  <c r="G359" i="10"/>
  <c r="D360" i="9"/>
  <c r="E360" i="9" s="1"/>
  <c r="F359" i="9"/>
  <c r="G359" i="9"/>
  <c r="E361" i="8"/>
  <c r="F360" i="8"/>
  <c r="G360" i="8"/>
  <c r="G360" i="11" l="1"/>
  <c r="F360" i="11"/>
  <c r="D361" i="11"/>
  <c r="E361" i="11" s="1"/>
  <c r="D361" i="10"/>
  <c r="E361" i="10" s="1"/>
  <c r="G360" i="10"/>
  <c r="F360" i="10"/>
  <c r="G360" i="9"/>
  <c r="F360" i="9"/>
  <c r="D361" i="9"/>
  <c r="E361" i="9" s="1"/>
  <c r="G361" i="8"/>
  <c r="F361" i="8"/>
  <c r="E362" i="8"/>
  <c r="G361" i="11" l="1"/>
  <c r="F361" i="11"/>
  <c r="D362" i="11"/>
  <c r="E362" i="11" s="1"/>
  <c r="G361" i="10"/>
  <c r="F361" i="10"/>
  <c r="D362" i="10"/>
  <c r="E362" i="10" s="1"/>
  <c r="G361" i="9"/>
  <c r="F361" i="9"/>
  <c r="D362" i="9"/>
  <c r="E362" i="9" s="1"/>
  <c r="E363" i="8"/>
  <c r="G362" i="8"/>
  <c r="F362" i="8"/>
  <c r="G362" i="11" l="1"/>
  <c r="F362" i="11"/>
  <c r="D363" i="11"/>
  <c r="E363" i="11" s="1"/>
  <c r="F362" i="10"/>
  <c r="G362" i="10"/>
  <c r="D363" i="10"/>
  <c r="E363" i="10" s="1"/>
  <c r="G362" i="9"/>
  <c r="F362" i="9"/>
  <c r="D363" i="9"/>
  <c r="E363" i="9" s="1"/>
  <c r="G363" i="8"/>
  <c r="F363" i="8"/>
  <c r="E364" i="8"/>
  <c r="G363" i="11" l="1"/>
  <c r="F363" i="11"/>
  <c r="D364" i="11"/>
  <c r="E364" i="11" s="1"/>
  <c r="F363" i="10"/>
  <c r="G363" i="10"/>
  <c r="D364" i="10"/>
  <c r="E364" i="10" s="1"/>
  <c r="G363" i="9"/>
  <c r="F363" i="9"/>
  <c r="D364" i="9"/>
  <c r="E364" i="9" s="1"/>
  <c r="G364" i="8"/>
  <c r="F364" i="8"/>
  <c r="E365" i="8"/>
  <c r="E366" i="8"/>
  <c r="D366" i="11" l="1"/>
  <c r="E366" i="11" s="1"/>
  <c r="D365" i="11"/>
  <c r="E365" i="11" s="1"/>
  <c r="G364" i="11"/>
  <c r="F364" i="11"/>
  <c r="D365" i="10"/>
  <c r="E365" i="10" s="1"/>
  <c r="D366" i="10"/>
  <c r="E366" i="10" s="1"/>
  <c r="F364" i="10"/>
  <c r="G364" i="10"/>
  <c r="D366" i="9"/>
  <c r="E366" i="9" s="1"/>
  <c r="D365" i="9"/>
  <c r="E365" i="9" s="1"/>
  <c r="G364" i="9"/>
  <c r="F364" i="9"/>
  <c r="G366" i="8"/>
  <c r="F366" i="8"/>
  <c r="K8" i="8"/>
  <c r="G365" i="8"/>
  <c r="F365" i="8"/>
  <c r="G365" i="11" l="1"/>
  <c r="F365" i="11"/>
  <c r="G366" i="11"/>
  <c r="K10" i="11" s="1"/>
  <c r="K11" i="11" s="1"/>
  <c r="F366" i="11"/>
  <c r="K9" i="11" s="1"/>
  <c r="K8" i="11"/>
  <c r="G366" i="10"/>
  <c r="K10" i="10" s="1"/>
  <c r="K11" i="10" s="1"/>
  <c r="F366" i="10"/>
  <c r="K9" i="10" s="1"/>
  <c r="K8" i="10"/>
  <c r="G365" i="10"/>
  <c r="F365" i="10"/>
  <c r="G365" i="9"/>
  <c r="F365" i="9"/>
  <c r="G366" i="9"/>
  <c r="K10" i="9" s="1"/>
  <c r="K11" i="9" s="1"/>
  <c r="F366" i="9"/>
  <c r="K9" i="9" s="1"/>
  <c r="K8" i="9"/>
  <c r="K9" i="8"/>
  <c r="K10" i="8"/>
  <c r="K11" i="8" s="1"/>
</calcChain>
</file>

<file path=xl/sharedStrings.xml><?xml version="1.0" encoding="utf-8"?>
<sst xmlns="http://schemas.openxmlformats.org/spreadsheetml/2006/main" count="170" uniqueCount="70">
  <si>
    <t>Date</t>
  </si>
  <si>
    <t>Daily sales</t>
  </si>
  <si>
    <t>Naïve Approach</t>
  </si>
  <si>
    <t>Naive Error</t>
  </si>
  <si>
    <t>Absolute Error</t>
  </si>
  <si>
    <t>Absolute Squared Error</t>
  </si>
  <si>
    <t>Absolute Percentage Error</t>
  </si>
  <si>
    <t>MAE</t>
  </si>
  <si>
    <t>MSE</t>
  </si>
  <si>
    <t>MAPE</t>
  </si>
  <si>
    <t>Accuracy</t>
  </si>
  <si>
    <t>Moving Average Approach</t>
  </si>
  <si>
    <t>MA Error</t>
  </si>
  <si>
    <t>Exponential Smoothing Approach</t>
  </si>
  <si>
    <t>ES Error</t>
  </si>
  <si>
    <t>Period</t>
  </si>
  <si>
    <t>Linear forecast</t>
  </si>
  <si>
    <t>Months</t>
  </si>
  <si>
    <t>SLR Forecast</t>
  </si>
  <si>
    <t>Seasonality</t>
  </si>
  <si>
    <t>SLR Forecast * Seasonality</t>
  </si>
  <si>
    <t>Intercept</t>
  </si>
  <si>
    <t>Seasonality Index</t>
  </si>
  <si>
    <t>Monthly Mean</t>
  </si>
  <si>
    <t>Annual Average</t>
  </si>
  <si>
    <t>Seasonlity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</si>
  <si>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</si>
  <si>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</si>
  <si>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</si>
  <si>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</si>
  <si>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</si>
  <si>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</si>
  <si>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</si>
  <si>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</si>
  <si>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</si>
  <si>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</si>
  <si>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</si>
  <si>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</si>
  <si>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Moving Average Approach(3 Days)</t>
  </si>
  <si>
    <t>SLOPE</t>
  </si>
  <si>
    <t>Forecast(Daily sales)</t>
  </si>
  <si>
    <t>Lower Confidence Bound(Daily sales)</t>
  </si>
  <si>
    <t>Upper Confidence Bound(Daily sales)</t>
  </si>
  <si>
    <t>• Naïve Forecast</t>
  </si>
  <si>
    <t>• 3-Day Moving Average</t>
  </si>
  <si>
    <t>• 7-Day Moving Average</t>
  </si>
  <si>
    <t>• Exponential Smoothing (α = 0.8)</t>
  </si>
  <si>
    <t>• Linear Regression (Trend Only)</t>
  </si>
  <si>
    <t>• Trend × Seasonality Model</t>
  </si>
  <si>
    <t>Model Comparison</t>
  </si>
  <si>
    <t>Model</t>
  </si>
  <si>
    <t>Naïve</t>
  </si>
  <si>
    <t>MA (3-Day)</t>
  </si>
  <si>
    <t>MA (7-Day)</t>
  </si>
  <si>
    <t>Exponential (α=0.8)</t>
  </si>
  <si>
    <t>• Daily sales show minimal long-term trend (slope ≈ 0.02).</t>
  </si>
  <si>
    <t>• Weekly seasonal patterns are present in the data.</t>
  </si>
  <si>
    <t>• Models incorporating seasonality outperform smoothing-only methods.</t>
  </si>
  <si>
    <t>• Trend × Seasonality model provides the lowest overall forecast error.</t>
  </si>
  <si>
    <t xml:space="preserve">Based on comparative error analysis, the Trend × Seasonality model demonstrated the lowest forecasting error. </t>
  </si>
  <si>
    <t>It is recommended that NovaTech Store adopt this model for short-term daily sales forecasting to improve inventory planning and operational decision-making.</t>
  </si>
  <si>
    <t>Recommendation:</t>
  </si>
  <si>
    <t>Key Insights:</t>
  </si>
  <si>
    <t>Objective:</t>
  </si>
  <si>
    <t>Forecasting Methods Evaluated:</t>
  </si>
  <si>
    <t>Linear forecast (Trend Only)</t>
  </si>
  <si>
    <t>SLR × Seasonality</t>
  </si>
  <si>
    <r>
      <rPr>
        <b/>
        <sz val="22"/>
        <color theme="0"/>
        <rFont val="Calibri"/>
        <family val="2"/>
      </rPr>
      <t>NovaTech Store - Forecasting Analysis Report</t>
    </r>
    <r>
      <rPr>
        <b/>
        <sz val="22"/>
        <rFont val="Calibri"/>
        <family val="2"/>
      </rPr>
      <t xml:space="preserve">  </t>
    </r>
    <r>
      <rPr>
        <b/>
        <sz val="16"/>
        <rFont val="Calibri"/>
        <family val="2"/>
      </rPr>
      <t xml:space="preserve">    </t>
    </r>
  </si>
  <si>
    <t xml:space="preserve">To evaluate multiple forecasting techniques using NovaTech Store’s historical daily sales data and determine the most accurate method </t>
  </si>
  <si>
    <t>for predicting future Lenovo PC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</si>
</sst>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mo"/>
    </font>
    <font>
      <b/>
      <sz val="12"/>
      <color theme="1"/>
      <name val="Calibri"/>
      <family val="2"/>
    </font>
    <font>
      <sz val="10"/>
      <color rgb="FF000000"/>
      <name val="Arimo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5"/>
  </cellStyleXfs>
  <cellXfs count="6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164" fontId="5" fillId="0" borderId="0" xfId="0" applyNumberFormat="1" applyFont="1" applyAlignment="1">
      <alignment vertical="center"/>
    </xf>
    <xf numFmtId="0" fontId="6" fillId="0" borderId="0" xfId="0" applyFont="1"/>
    <xf numFmtId="9" fontId="7" fillId="0" borderId="0" xfId="0" applyNumberFormat="1" applyFont="1"/>
    <xf numFmtId="0" fontId="4" fillId="0" borderId="1" xfId="0" applyFont="1" applyBorder="1"/>
    <xf numFmtId="2" fontId="7" fillId="0" borderId="1" xfId="0" applyNumberFormat="1" applyFont="1" applyBorder="1"/>
    <xf numFmtId="2" fontId="7" fillId="0" borderId="0" xfId="0" applyNumberFormat="1" applyFont="1"/>
    <xf numFmtId="0" fontId="4" fillId="0" borderId="2" xfId="0" applyFont="1" applyBorder="1"/>
    <xf numFmtId="9" fontId="7" fillId="0" borderId="2" xfId="0" applyNumberFormat="1" applyFont="1" applyBorder="1"/>
    <xf numFmtId="0" fontId="4" fillId="0" borderId="3" xfId="0" applyFont="1" applyBorder="1"/>
    <xf numFmtId="10" fontId="7" fillId="0" borderId="3" xfId="0" applyNumberFormat="1" applyFont="1" applyBorder="1"/>
    <xf numFmtId="1" fontId="4" fillId="0" borderId="0" xfId="0" applyNumberFormat="1" applyFont="1"/>
    <xf numFmtId="2" fontId="4" fillId="0" borderId="0" xfId="0" applyNumberFormat="1" applyFont="1"/>
    <xf numFmtId="1" fontId="7" fillId="0" borderId="0" xfId="0" applyNumberFormat="1" applyFont="1"/>
    <xf numFmtId="0" fontId="4" fillId="0" borderId="4" xfId="0" applyFont="1" applyBorder="1"/>
    <xf numFmtId="9" fontId="7" fillId="0" borderId="4" xfId="0" applyNumberFormat="1" applyFont="1" applyBorder="1"/>
    <xf numFmtId="0" fontId="7" fillId="0" borderId="1" xfId="0" applyFont="1" applyBorder="1"/>
    <xf numFmtId="0" fontId="7" fillId="0" borderId="4" xfId="0" applyFont="1" applyBorder="1"/>
    <xf numFmtId="0" fontId="8" fillId="2" borderId="5" xfId="0" applyFont="1" applyFill="1" applyBorder="1"/>
    <xf numFmtId="0" fontId="7" fillId="0" borderId="0" xfId="0" applyFont="1"/>
    <xf numFmtId="1" fontId="7" fillId="0" borderId="4" xfId="0" applyNumberFormat="1" applyFont="1" applyBorder="1"/>
    <xf numFmtId="2" fontId="7" fillId="0" borderId="4" xfId="0" applyNumberFormat="1" applyFont="1" applyBorder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0" fontId="7" fillId="0" borderId="0" xfId="0" applyNumberFormat="1" applyFont="1"/>
    <xf numFmtId="0" fontId="9" fillId="0" borderId="5" xfId="1" applyFont="1" applyAlignment="1"/>
    <xf numFmtId="0" fontId="2" fillId="0" borderId="9" xfId="1" applyBorder="1"/>
    <xf numFmtId="0" fontId="2" fillId="0" borderId="5" xfId="1" applyBorder="1"/>
    <xf numFmtId="0" fontId="2" fillId="0" borderId="10" xfId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9" fillId="5" borderId="7" xfId="1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10" fillId="6" borderId="5" xfId="1" applyFont="1" applyFill="1" applyBorder="1"/>
    <xf numFmtId="0" fontId="2" fillId="0" borderId="5" xfId="0" applyFont="1" applyBorder="1"/>
    <xf numFmtId="0" fontId="2" fillId="0" borderId="10" xfId="0" applyFont="1" applyBorder="1"/>
    <xf numFmtId="0" fontId="1" fillId="0" borderId="5" xfId="1" applyFont="1" applyBorder="1"/>
    <xf numFmtId="0" fontId="9" fillId="0" borderId="5" xfId="1" applyFont="1" applyBorder="1" applyAlignment="1"/>
    <xf numFmtId="0" fontId="2" fillId="6" borderId="5" xfId="1" applyFill="1" applyBorder="1"/>
    <xf numFmtId="0" fontId="11" fillId="3" borderId="5" xfId="1" applyFont="1" applyFill="1" applyBorder="1" applyAlignment="1">
      <alignment horizontal="center"/>
    </xf>
    <xf numFmtId="9" fontId="2" fillId="0" borderId="5" xfId="1" applyNumberFormat="1" applyBorder="1"/>
    <xf numFmtId="10" fontId="2" fillId="0" borderId="5" xfId="1" applyNumberFormat="1" applyBorder="1"/>
    <xf numFmtId="0" fontId="11" fillId="4" borderId="5" xfId="1" applyFont="1" applyFill="1" applyBorder="1"/>
    <xf numFmtId="9" fontId="11" fillId="4" borderId="5" xfId="1" applyNumberFormat="1" applyFont="1" applyFill="1" applyBorder="1"/>
    <xf numFmtId="0" fontId="9" fillId="5" borderId="6" xfId="1" applyFont="1" applyFill="1" applyBorder="1" applyAlignment="1">
      <alignment horizontal="center"/>
    </xf>
    <xf numFmtId="0" fontId="9" fillId="5" borderId="8" xfId="1" applyFont="1" applyFill="1" applyBorder="1" applyAlignment="1">
      <alignment horizontal="center"/>
    </xf>
    <xf numFmtId="0" fontId="10" fillId="6" borderId="9" xfId="1" applyFont="1" applyFill="1" applyBorder="1"/>
    <xf numFmtId="0" fontId="1" fillId="0" borderId="9" xfId="1" applyFont="1" applyBorder="1"/>
    <xf numFmtId="0" fontId="1" fillId="0" borderId="9" xfId="0" applyFont="1" applyBorder="1"/>
    <xf numFmtId="0" fontId="11" fillId="3" borderId="10" xfId="1" applyFont="1" applyFill="1" applyBorder="1" applyAlignment="1">
      <alignment horizontal="center"/>
    </xf>
    <xf numFmtId="9" fontId="2" fillId="0" borderId="10" xfId="1" applyNumberFormat="1" applyBorder="1"/>
    <xf numFmtId="10" fontId="2" fillId="0" borderId="10" xfId="1" applyNumberFormat="1" applyBorder="1"/>
    <xf numFmtId="9" fontId="11" fillId="4" borderId="10" xfId="1" applyNumberFormat="1" applyFont="1" applyFill="1" applyBorder="1"/>
    <xf numFmtId="0" fontId="13" fillId="6" borderId="9" xfId="1" applyFont="1" applyFill="1" applyBorder="1"/>
    <xf numFmtId="0" fontId="2" fillId="0" borderId="9" xfId="0" applyFont="1" applyBorder="1"/>
  </cellXfs>
  <cellStyles count="2">
    <cellStyle name="Normal" xfId="0" builtinId="0"/>
    <cellStyle name="Normal 2" xfId="1" xr:uid="{E75824B3-ED5D-4630-A0EB-5E2F161E3EF4}"/>
  </cellStyles>
  <dxfs count="3">
    <dxf>
      <numFmt numFmtId="2" formatCode="0.00"/>
    </dxf>
    <dxf>
      <numFmt numFmtId="2" formatCode="0.00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 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DB-47D9-A5FA-0B1CB2A4922F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 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32.9</c:v>
                </c:pt>
                <c:pt idx="3">
                  <c:v>30.869999999999997</c:v>
                </c:pt>
                <c:pt idx="4">
                  <c:v>30.960999999999999</c:v>
                </c:pt>
                <c:pt idx="5">
                  <c:v>40.088299999999997</c:v>
                </c:pt>
                <c:pt idx="6">
                  <c:v>32.326489999999993</c:v>
                </c:pt>
                <c:pt idx="7">
                  <c:v>41.197946999999992</c:v>
                </c:pt>
                <c:pt idx="8">
                  <c:v>42.459384099999994</c:v>
                </c:pt>
                <c:pt idx="9">
                  <c:v>39.337815229999997</c:v>
                </c:pt>
                <c:pt idx="10">
                  <c:v>30.701344569</c:v>
                </c:pt>
                <c:pt idx="11">
                  <c:v>35.810403370700001</c:v>
                </c:pt>
                <c:pt idx="12">
                  <c:v>33.843121011210002</c:v>
                </c:pt>
                <c:pt idx="13">
                  <c:v>48.652936303362999</c:v>
                </c:pt>
                <c:pt idx="14">
                  <c:v>47.495880891008895</c:v>
                </c:pt>
                <c:pt idx="15">
                  <c:v>45.748764267302661</c:v>
                </c:pt>
                <c:pt idx="16">
                  <c:v>39.624629280190796</c:v>
                </c:pt>
                <c:pt idx="17">
                  <c:v>46.887388784057237</c:v>
                </c:pt>
                <c:pt idx="18">
                  <c:v>44.166216635217168</c:v>
                </c:pt>
                <c:pt idx="19">
                  <c:v>41.949864990565146</c:v>
                </c:pt>
                <c:pt idx="20">
                  <c:v>48.984959497169541</c:v>
                </c:pt>
                <c:pt idx="21">
                  <c:v>38.495487849150862</c:v>
                </c:pt>
                <c:pt idx="22">
                  <c:v>48.648646354745253</c:v>
                </c:pt>
                <c:pt idx="23">
                  <c:v>41.894593906423573</c:v>
                </c:pt>
                <c:pt idx="24">
                  <c:v>34.968378171927071</c:v>
                </c:pt>
                <c:pt idx="25">
                  <c:v>36.390513451578116</c:v>
                </c:pt>
                <c:pt idx="26">
                  <c:v>41.017154035473432</c:v>
                </c:pt>
                <c:pt idx="27">
                  <c:v>39.605146210642026</c:v>
                </c:pt>
                <c:pt idx="28">
                  <c:v>36.381543863192604</c:v>
                </c:pt>
                <c:pt idx="29">
                  <c:v>41.714463158957777</c:v>
                </c:pt>
                <c:pt idx="30">
                  <c:v>39.11433894768733</c:v>
                </c:pt>
                <c:pt idx="31">
                  <c:v>28.534301684306193</c:v>
                </c:pt>
                <c:pt idx="32">
                  <c:v>24.660290505291854</c:v>
                </c:pt>
                <c:pt idx="33">
                  <c:v>29.098087151587556</c:v>
                </c:pt>
                <c:pt idx="34">
                  <c:v>39.529426145476265</c:v>
                </c:pt>
                <c:pt idx="35">
                  <c:v>38.458827843642879</c:v>
                </c:pt>
                <c:pt idx="36">
                  <c:v>46.537648353092862</c:v>
                </c:pt>
                <c:pt idx="37">
                  <c:v>40.561294505927854</c:v>
                </c:pt>
                <c:pt idx="38">
                  <c:v>47.86838835177835</c:v>
                </c:pt>
                <c:pt idx="39">
                  <c:v>36.060516505533506</c:v>
                </c:pt>
                <c:pt idx="40">
                  <c:v>32.518154951660051</c:v>
                </c:pt>
                <c:pt idx="41">
                  <c:v>45.455446485498008</c:v>
                </c:pt>
                <c:pt idx="42">
                  <c:v>38.836633945649403</c:v>
                </c:pt>
                <c:pt idx="43">
                  <c:v>43.150990183694816</c:v>
                </c:pt>
                <c:pt idx="44">
                  <c:v>48.645297055108443</c:v>
                </c:pt>
                <c:pt idx="45">
                  <c:v>38.393589116532532</c:v>
                </c:pt>
                <c:pt idx="46">
                  <c:v>47.918076734959755</c:v>
                </c:pt>
                <c:pt idx="47">
                  <c:v>47.275423020487921</c:v>
                </c:pt>
                <c:pt idx="48">
                  <c:v>45.682626906146375</c:v>
                </c:pt>
                <c:pt idx="49">
                  <c:v>45.90478807184391</c:v>
                </c:pt>
                <c:pt idx="50">
                  <c:v>41.071436421553173</c:v>
                </c:pt>
                <c:pt idx="51">
                  <c:v>45.921430926465945</c:v>
                </c:pt>
                <c:pt idx="52">
                  <c:v>39.676429277939782</c:v>
                </c:pt>
                <c:pt idx="53">
                  <c:v>36.402928783381938</c:v>
                </c:pt>
                <c:pt idx="54">
                  <c:v>47.32087863501458</c:v>
                </c:pt>
                <c:pt idx="55">
                  <c:v>43.596263590504371</c:v>
                </c:pt>
                <c:pt idx="56">
                  <c:v>44.578879077151306</c:v>
                </c:pt>
                <c:pt idx="57">
                  <c:v>40.673663723145388</c:v>
                </c:pt>
                <c:pt idx="58">
                  <c:v>38.102099116943613</c:v>
                </c:pt>
                <c:pt idx="59">
                  <c:v>32.430629735083087</c:v>
                </c:pt>
                <c:pt idx="60">
                  <c:v>34.229188920524926</c:v>
                </c:pt>
                <c:pt idx="61">
                  <c:v>29.868756676157474</c:v>
                </c:pt>
                <c:pt idx="62">
                  <c:v>40.460627002847239</c:v>
                </c:pt>
                <c:pt idx="63">
                  <c:v>35.93818810085417</c:v>
                </c:pt>
                <c:pt idx="64">
                  <c:v>35.981456430256252</c:v>
                </c:pt>
                <c:pt idx="65">
                  <c:v>45.794436929076873</c:v>
                </c:pt>
                <c:pt idx="66">
                  <c:v>44.538331078723061</c:v>
                </c:pt>
                <c:pt idx="67">
                  <c:v>40.661499323616916</c:v>
                </c:pt>
                <c:pt idx="68">
                  <c:v>34.598449797085074</c:v>
                </c:pt>
                <c:pt idx="69">
                  <c:v>37.679534939125517</c:v>
                </c:pt>
                <c:pt idx="70">
                  <c:v>42.803860481737651</c:v>
                </c:pt>
                <c:pt idx="71">
                  <c:v>42.941158144521296</c:v>
                </c:pt>
                <c:pt idx="72">
                  <c:v>40.182347443356385</c:v>
                </c:pt>
                <c:pt idx="73">
                  <c:v>33.754704233006912</c:v>
                </c:pt>
                <c:pt idx="74">
                  <c:v>29.02641126990207</c:v>
                </c:pt>
                <c:pt idx="75">
                  <c:v>29.70792338097062</c:v>
                </c:pt>
                <c:pt idx="76">
                  <c:v>38.312377014291187</c:v>
                </c:pt>
                <c:pt idx="77">
                  <c:v>43.693713104287355</c:v>
                </c:pt>
                <c:pt idx="78">
                  <c:v>41.808113931286208</c:v>
                </c:pt>
                <c:pt idx="79">
                  <c:v>37.74243417938586</c:v>
                </c:pt>
                <c:pt idx="80">
                  <c:v>42.822730253815756</c:v>
                </c:pt>
                <c:pt idx="81">
                  <c:v>45.046819076144722</c:v>
                </c:pt>
                <c:pt idx="82">
                  <c:v>43.614045722843414</c:v>
                </c:pt>
                <c:pt idx="83">
                  <c:v>39.684213716853023</c:v>
                </c:pt>
                <c:pt idx="84">
                  <c:v>35.705264115055904</c:v>
                </c:pt>
                <c:pt idx="85">
                  <c:v>35.211579234516769</c:v>
                </c:pt>
                <c:pt idx="86">
                  <c:v>49.763473770355027</c:v>
                </c:pt>
                <c:pt idx="87">
                  <c:v>40.129042131106509</c:v>
                </c:pt>
                <c:pt idx="88">
                  <c:v>34.438712639331953</c:v>
                </c:pt>
                <c:pt idx="89">
                  <c:v>45.331613791799583</c:v>
                </c:pt>
                <c:pt idx="90">
                  <c:v>42.299484137539878</c:v>
                </c:pt>
                <c:pt idx="91">
                  <c:v>39.98984524126196</c:v>
                </c:pt>
                <c:pt idx="92">
                  <c:v>40.69695357237859</c:v>
                </c:pt>
                <c:pt idx="93">
                  <c:v>45.109086071713577</c:v>
                </c:pt>
                <c:pt idx="94">
                  <c:v>37.332725821514067</c:v>
                </c:pt>
                <c:pt idx="95">
                  <c:v>36.399817746454218</c:v>
                </c:pt>
                <c:pt idx="96">
                  <c:v>34.019945323936263</c:v>
                </c:pt>
                <c:pt idx="97">
                  <c:v>34.705983597180875</c:v>
                </c:pt>
                <c:pt idx="98">
                  <c:v>37.011795079154261</c:v>
                </c:pt>
                <c:pt idx="99">
                  <c:v>37.703538523746275</c:v>
                </c:pt>
                <c:pt idx="100">
                  <c:v>35.111061557123875</c:v>
                </c:pt>
                <c:pt idx="101">
                  <c:v>47.633318467137158</c:v>
                </c:pt>
                <c:pt idx="102">
                  <c:v>38.089995540141146</c:v>
                </c:pt>
                <c:pt idx="103">
                  <c:v>35.226998662042341</c:v>
                </c:pt>
                <c:pt idx="104">
                  <c:v>37.168099598612699</c:v>
                </c:pt>
                <c:pt idx="105">
                  <c:v>35.650429879583811</c:v>
                </c:pt>
                <c:pt idx="106">
                  <c:v>33.09512896387514</c:v>
                </c:pt>
                <c:pt idx="107">
                  <c:v>39.328538689162542</c:v>
                </c:pt>
                <c:pt idx="108">
                  <c:v>35.59856160674876</c:v>
                </c:pt>
                <c:pt idx="109">
                  <c:v>42.879568482024624</c:v>
                </c:pt>
                <c:pt idx="110">
                  <c:v>33.863870544607387</c:v>
                </c:pt>
                <c:pt idx="111">
                  <c:v>42.359161163382211</c:v>
                </c:pt>
                <c:pt idx="112">
                  <c:v>44.207748349014658</c:v>
                </c:pt>
                <c:pt idx="113">
                  <c:v>51.062324504704392</c:v>
                </c:pt>
                <c:pt idx="114">
                  <c:v>39.118697351411313</c:v>
                </c:pt>
                <c:pt idx="115">
                  <c:v>37.635609205423393</c:v>
                </c:pt>
                <c:pt idx="116">
                  <c:v>35.790682761627018</c:v>
                </c:pt>
                <c:pt idx="117">
                  <c:v>38.737204828488103</c:v>
                </c:pt>
                <c:pt idx="118">
                  <c:v>41.02116144854643</c:v>
                </c:pt>
                <c:pt idx="119">
                  <c:v>52.906348434563924</c:v>
                </c:pt>
                <c:pt idx="120">
                  <c:v>51.571904530369174</c:v>
                </c:pt>
                <c:pt idx="121">
                  <c:v>37.871571359110746</c:v>
                </c:pt>
                <c:pt idx="122">
                  <c:v>35.86147140773322</c:v>
                </c:pt>
                <c:pt idx="123">
                  <c:v>37.358441422319963</c:v>
                </c:pt>
                <c:pt idx="124">
                  <c:v>34.307532426695985</c:v>
                </c:pt>
                <c:pt idx="125">
                  <c:v>37.592259728008791</c:v>
                </c:pt>
                <c:pt idx="126">
                  <c:v>44.177677918402637</c:v>
                </c:pt>
                <c:pt idx="127">
                  <c:v>39.853303375520788</c:v>
                </c:pt>
                <c:pt idx="128">
                  <c:v>48.355991012656233</c:v>
                </c:pt>
                <c:pt idx="129">
                  <c:v>35.506797303796873</c:v>
                </c:pt>
                <c:pt idx="130">
                  <c:v>34.452039191139058</c:v>
                </c:pt>
                <c:pt idx="131">
                  <c:v>38.335611757341717</c:v>
                </c:pt>
                <c:pt idx="132">
                  <c:v>36.000683527202511</c:v>
                </c:pt>
                <c:pt idx="133">
                  <c:v>40.200205058160748</c:v>
                </c:pt>
                <c:pt idx="134">
                  <c:v>40.760061517448221</c:v>
                </c:pt>
                <c:pt idx="135">
                  <c:v>41.628018455234468</c:v>
                </c:pt>
                <c:pt idx="136">
                  <c:v>39.088405536570335</c:v>
                </c:pt>
                <c:pt idx="137">
                  <c:v>28.526521660971099</c:v>
                </c:pt>
                <c:pt idx="138">
                  <c:v>32.35795649829133</c:v>
                </c:pt>
                <c:pt idx="139">
                  <c:v>39.807386949487395</c:v>
                </c:pt>
                <c:pt idx="140">
                  <c:v>37.142216084846218</c:v>
                </c:pt>
                <c:pt idx="141">
                  <c:v>49.642664825453863</c:v>
                </c:pt>
                <c:pt idx="142">
                  <c:v>43.592799447636153</c:v>
                </c:pt>
                <c:pt idx="143">
                  <c:v>44.577839834290842</c:v>
                </c:pt>
                <c:pt idx="144">
                  <c:v>42.073351950287254</c:v>
                </c:pt>
                <c:pt idx="145">
                  <c:v>38.522005585086177</c:v>
                </c:pt>
                <c:pt idx="146">
                  <c:v>41.656601675525849</c:v>
                </c:pt>
                <c:pt idx="147">
                  <c:v>39.796980502657753</c:v>
                </c:pt>
                <c:pt idx="148">
                  <c:v>35.039094150797325</c:v>
                </c:pt>
                <c:pt idx="149">
                  <c:v>40.611728245239192</c:v>
                </c:pt>
                <c:pt idx="150">
                  <c:v>40.183518473571759</c:v>
                </c:pt>
                <c:pt idx="151">
                  <c:v>38.655055542071523</c:v>
                </c:pt>
                <c:pt idx="152">
                  <c:v>43.096516662621454</c:v>
                </c:pt>
                <c:pt idx="153">
                  <c:v>45.128954998786433</c:v>
                </c:pt>
                <c:pt idx="154">
                  <c:v>37.338686499635926</c:v>
                </c:pt>
                <c:pt idx="155">
                  <c:v>35.701605949890777</c:v>
                </c:pt>
                <c:pt idx="156">
                  <c:v>44.310481784967223</c:v>
                </c:pt>
                <c:pt idx="157">
                  <c:v>48.99314453549016</c:v>
                </c:pt>
                <c:pt idx="158">
                  <c:v>39.897943360647048</c:v>
                </c:pt>
                <c:pt idx="159">
                  <c:v>35.069383008194109</c:v>
                </c:pt>
                <c:pt idx="160">
                  <c:v>42.72081490245823</c:v>
                </c:pt>
                <c:pt idx="161">
                  <c:v>42.216244470737465</c:v>
                </c:pt>
                <c:pt idx="162">
                  <c:v>46.264873341221232</c:v>
                </c:pt>
                <c:pt idx="163">
                  <c:v>37.679462002366364</c:v>
                </c:pt>
                <c:pt idx="164">
                  <c:v>40.003838600709912</c:v>
                </c:pt>
                <c:pt idx="165">
                  <c:v>36.501151580212976</c:v>
                </c:pt>
                <c:pt idx="166">
                  <c:v>38.950345474063894</c:v>
                </c:pt>
                <c:pt idx="167">
                  <c:v>35.485103642219165</c:v>
                </c:pt>
                <c:pt idx="168">
                  <c:v>31.645531092665749</c:v>
                </c:pt>
                <c:pt idx="169">
                  <c:v>34.693659327799722</c:v>
                </c:pt>
                <c:pt idx="170">
                  <c:v>38.408097798339917</c:v>
                </c:pt>
                <c:pt idx="171">
                  <c:v>38.822429339501973</c:v>
                </c:pt>
                <c:pt idx="172">
                  <c:v>43.146728801850585</c:v>
                </c:pt>
                <c:pt idx="173">
                  <c:v>39.544018640555173</c:v>
                </c:pt>
                <c:pt idx="174">
                  <c:v>44.76320559216655</c:v>
                </c:pt>
                <c:pt idx="175">
                  <c:v>36.52896167764996</c:v>
                </c:pt>
                <c:pt idx="176">
                  <c:v>31.958688503294987</c:v>
                </c:pt>
                <c:pt idx="177">
                  <c:v>38.987606550988495</c:v>
                </c:pt>
                <c:pt idx="178">
                  <c:v>41.796281965296544</c:v>
                </c:pt>
                <c:pt idx="179">
                  <c:v>41.238884589588963</c:v>
                </c:pt>
                <c:pt idx="180">
                  <c:v>41.071665376876688</c:v>
                </c:pt>
                <c:pt idx="181">
                  <c:v>53.621499613063001</c:v>
                </c:pt>
                <c:pt idx="182">
                  <c:v>46.186449883918897</c:v>
                </c:pt>
                <c:pt idx="183">
                  <c:v>45.355934965175663</c:v>
                </c:pt>
                <c:pt idx="184">
                  <c:v>40.206780489552699</c:v>
                </c:pt>
                <c:pt idx="185">
                  <c:v>37.962034146865804</c:v>
                </c:pt>
                <c:pt idx="186">
                  <c:v>42.888610244059734</c:v>
                </c:pt>
                <c:pt idx="187">
                  <c:v>42.266583073217916</c:v>
                </c:pt>
                <c:pt idx="188">
                  <c:v>52.579974921965373</c:v>
                </c:pt>
                <c:pt idx="189">
                  <c:v>47.973992476589608</c:v>
                </c:pt>
                <c:pt idx="190">
                  <c:v>50.092197742976879</c:v>
                </c:pt>
                <c:pt idx="191">
                  <c:v>43.727659322893061</c:v>
                </c:pt>
                <c:pt idx="192">
                  <c:v>46.018297796867913</c:v>
                </c:pt>
                <c:pt idx="193">
                  <c:v>32.005489339060375</c:v>
                </c:pt>
                <c:pt idx="194">
                  <c:v>34.101646801718111</c:v>
                </c:pt>
                <c:pt idx="195">
                  <c:v>41.030494040515428</c:v>
                </c:pt>
                <c:pt idx="196">
                  <c:v>41.009148212154628</c:v>
                </c:pt>
                <c:pt idx="197">
                  <c:v>41.702744463646383</c:v>
                </c:pt>
                <c:pt idx="198">
                  <c:v>37.710823339093913</c:v>
                </c:pt>
                <c:pt idx="199">
                  <c:v>42.813247001728172</c:v>
                </c:pt>
                <c:pt idx="200">
                  <c:v>44.343974100518452</c:v>
                </c:pt>
                <c:pt idx="201">
                  <c:v>44.803192230155531</c:v>
                </c:pt>
                <c:pt idx="202">
                  <c:v>46.340957669046659</c:v>
                </c:pt>
                <c:pt idx="203">
                  <c:v>40.502287300713995</c:v>
                </c:pt>
                <c:pt idx="204">
                  <c:v>41.550686190214194</c:v>
                </c:pt>
                <c:pt idx="205">
                  <c:v>36.965205857064255</c:v>
                </c:pt>
                <c:pt idx="206">
                  <c:v>36.289561757119273</c:v>
                </c:pt>
                <c:pt idx="207">
                  <c:v>38.186868527135779</c:v>
                </c:pt>
                <c:pt idx="208">
                  <c:v>42.956060558140727</c:v>
                </c:pt>
                <c:pt idx="209">
                  <c:v>42.986818167442216</c:v>
                </c:pt>
                <c:pt idx="210">
                  <c:v>45.796045450232661</c:v>
                </c:pt>
                <c:pt idx="211">
                  <c:v>38.938813635069799</c:v>
                </c:pt>
                <c:pt idx="212">
                  <c:v>40.381644090520936</c:v>
                </c:pt>
                <c:pt idx="213">
                  <c:v>47.114493227156281</c:v>
                </c:pt>
                <c:pt idx="214">
                  <c:v>41.434347968146881</c:v>
                </c:pt>
                <c:pt idx="215">
                  <c:v>41.130304390444067</c:v>
                </c:pt>
                <c:pt idx="216">
                  <c:v>44.539091317133213</c:v>
                </c:pt>
                <c:pt idx="217">
                  <c:v>58.161727395139962</c:v>
                </c:pt>
                <c:pt idx="218">
                  <c:v>48.948518218541984</c:v>
                </c:pt>
                <c:pt idx="219">
                  <c:v>38.484555465562593</c:v>
                </c:pt>
                <c:pt idx="220">
                  <c:v>38.145366639668779</c:v>
                </c:pt>
                <c:pt idx="221">
                  <c:v>42.243609991900627</c:v>
                </c:pt>
                <c:pt idx="222">
                  <c:v>46.273082997570185</c:v>
                </c:pt>
                <c:pt idx="223">
                  <c:v>46.081924899271051</c:v>
                </c:pt>
                <c:pt idx="224">
                  <c:v>44.624577469781315</c:v>
                </c:pt>
                <c:pt idx="225">
                  <c:v>39.287373240934393</c:v>
                </c:pt>
                <c:pt idx="226">
                  <c:v>39.086211972280317</c:v>
                </c:pt>
                <c:pt idx="227">
                  <c:v>42.525863591684093</c:v>
                </c:pt>
                <c:pt idx="228">
                  <c:v>44.257759077505227</c:v>
                </c:pt>
                <c:pt idx="229">
                  <c:v>36.377327723251568</c:v>
                </c:pt>
                <c:pt idx="230">
                  <c:v>41.713198316975465</c:v>
                </c:pt>
                <c:pt idx="231">
                  <c:v>39.113959495092637</c:v>
                </c:pt>
                <c:pt idx="232">
                  <c:v>43.934187848527785</c:v>
                </c:pt>
                <c:pt idx="233">
                  <c:v>45.380256354558327</c:v>
                </c:pt>
                <c:pt idx="234">
                  <c:v>41.614076906367501</c:v>
                </c:pt>
                <c:pt idx="235">
                  <c:v>39.784223071910247</c:v>
                </c:pt>
                <c:pt idx="236">
                  <c:v>42.735266921573071</c:v>
                </c:pt>
                <c:pt idx="237">
                  <c:v>46.420580076471914</c:v>
                </c:pt>
                <c:pt idx="238">
                  <c:v>48.926174022941574</c:v>
                </c:pt>
                <c:pt idx="239">
                  <c:v>43.377852206882473</c:v>
                </c:pt>
                <c:pt idx="240">
                  <c:v>42.413355662064738</c:v>
                </c:pt>
                <c:pt idx="241">
                  <c:v>48.424006698619415</c:v>
                </c:pt>
                <c:pt idx="242">
                  <c:v>43.227202009585824</c:v>
                </c:pt>
                <c:pt idx="243">
                  <c:v>43.768160602875746</c:v>
                </c:pt>
                <c:pt idx="244">
                  <c:v>39.730448180862723</c:v>
                </c:pt>
                <c:pt idx="245">
                  <c:v>59.519134454258811</c:v>
                </c:pt>
                <c:pt idx="246">
                  <c:v>45.855740336277641</c:v>
                </c:pt>
                <c:pt idx="247">
                  <c:v>43.156722100883293</c:v>
                </c:pt>
                <c:pt idx="248">
                  <c:v>48.647016630264986</c:v>
                </c:pt>
                <c:pt idx="249">
                  <c:v>45.394104989079494</c:v>
                </c:pt>
                <c:pt idx="250">
                  <c:v>45.118231496723844</c:v>
                </c:pt>
                <c:pt idx="251">
                  <c:v>38.735469449017152</c:v>
                </c:pt>
                <c:pt idx="252">
                  <c:v>51.520640834705148</c:v>
                </c:pt>
                <c:pt idx="253">
                  <c:v>46.256192250411544</c:v>
                </c:pt>
                <c:pt idx="254">
                  <c:v>43.276857675123459</c:v>
                </c:pt>
                <c:pt idx="255">
                  <c:v>50.083057302537028</c:v>
                </c:pt>
                <c:pt idx="256">
                  <c:v>44.424917190761107</c:v>
                </c:pt>
                <c:pt idx="257">
                  <c:v>37.127475157228332</c:v>
                </c:pt>
                <c:pt idx="258">
                  <c:v>39.138242547168502</c:v>
                </c:pt>
                <c:pt idx="259">
                  <c:v>50.941472764150546</c:v>
                </c:pt>
                <c:pt idx="260">
                  <c:v>46.082441829245163</c:v>
                </c:pt>
                <c:pt idx="261">
                  <c:v>50.924732548773541</c:v>
                </c:pt>
                <c:pt idx="262">
                  <c:v>53.777419764632057</c:v>
                </c:pt>
                <c:pt idx="263">
                  <c:v>43.433225929389614</c:v>
                </c:pt>
                <c:pt idx="264">
                  <c:v>54.329967778816879</c:v>
                </c:pt>
                <c:pt idx="265">
                  <c:v>54.798990333645065</c:v>
                </c:pt>
                <c:pt idx="266">
                  <c:v>67.53969710009352</c:v>
                </c:pt>
                <c:pt idx="267">
                  <c:v>58.761909130028059</c:v>
                </c:pt>
                <c:pt idx="268">
                  <c:v>48.428572739008416</c:v>
                </c:pt>
                <c:pt idx="269">
                  <c:v>44.628571821702522</c:v>
                </c:pt>
                <c:pt idx="270">
                  <c:v>41.388571546510754</c:v>
                </c:pt>
                <c:pt idx="271">
                  <c:v>45.316571463953224</c:v>
                </c:pt>
                <c:pt idx="272">
                  <c:v>49.294971439185964</c:v>
                </c:pt>
                <c:pt idx="273">
                  <c:v>53.988491431755783</c:v>
                </c:pt>
                <c:pt idx="274">
                  <c:v>50.496547429526728</c:v>
                </c:pt>
                <c:pt idx="275">
                  <c:v>52.948964228858017</c:v>
                </c:pt>
                <c:pt idx="276">
                  <c:v>55.084689268657399</c:v>
                </c:pt>
                <c:pt idx="277">
                  <c:v>49.425406780597214</c:v>
                </c:pt>
                <c:pt idx="278">
                  <c:v>45.627622034179161</c:v>
                </c:pt>
                <c:pt idx="279">
                  <c:v>43.788286610253749</c:v>
                </c:pt>
                <c:pt idx="280">
                  <c:v>42.536485983076119</c:v>
                </c:pt>
                <c:pt idx="281">
                  <c:v>44.260945794922833</c:v>
                </c:pt>
                <c:pt idx="282">
                  <c:v>48.278283738476851</c:v>
                </c:pt>
                <c:pt idx="283">
                  <c:v>48.083485121543049</c:v>
                </c:pt>
                <c:pt idx="284">
                  <c:v>44.525045536462912</c:v>
                </c:pt>
                <c:pt idx="285">
                  <c:v>41.357513660938871</c:v>
                </c:pt>
                <c:pt idx="286">
                  <c:v>53.707254098281659</c:v>
                </c:pt>
                <c:pt idx="287">
                  <c:v>44.812176229484493</c:v>
                </c:pt>
                <c:pt idx="288">
                  <c:v>42.843652868845346</c:v>
                </c:pt>
                <c:pt idx="289">
                  <c:v>48.553095860653599</c:v>
                </c:pt>
                <c:pt idx="290">
                  <c:v>48.865928758196077</c:v>
                </c:pt>
                <c:pt idx="291">
                  <c:v>46.15977862745882</c:v>
                </c:pt>
                <c:pt idx="292">
                  <c:v>43.947933588237646</c:v>
                </c:pt>
                <c:pt idx="293">
                  <c:v>42.584380076471291</c:v>
                </c:pt>
                <c:pt idx="294">
                  <c:v>39.375314022941382</c:v>
                </c:pt>
                <c:pt idx="295">
                  <c:v>44.712594206882414</c:v>
                </c:pt>
                <c:pt idx="296">
                  <c:v>40.013778262064719</c:v>
                </c:pt>
                <c:pt idx="297">
                  <c:v>37.204133478619411</c:v>
                </c:pt>
                <c:pt idx="298">
                  <c:v>40.561240043585819</c:v>
                </c:pt>
                <c:pt idx="299">
                  <c:v>36.668372013075746</c:v>
                </c:pt>
                <c:pt idx="300">
                  <c:v>30.600511603922719</c:v>
                </c:pt>
                <c:pt idx="301">
                  <c:v>39.980153481176814</c:v>
                </c:pt>
                <c:pt idx="302">
                  <c:v>37.194046044353044</c:v>
                </c:pt>
                <c:pt idx="303">
                  <c:v>42.658213813305906</c:v>
                </c:pt>
                <c:pt idx="304">
                  <c:v>44.997464143991763</c:v>
                </c:pt>
                <c:pt idx="305">
                  <c:v>47.099239243197523</c:v>
                </c:pt>
                <c:pt idx="306">
                  <c:v>48.429771772959256</c:v>
                </c:pt>
                <c:pt idx="307">
                  <c:v>44.628931531887773</c:v>
                </c:pt>
                <c:pt idx="308">
                  <c:v>42.788679459566332</c:v>
                </c:pt>
                <c:pt idx="309">
                  <c:v>54.136603837869899</c:v>
                </c:pt>
                <c:pt idx="310">
                  <c:v>47.74098115136097</c:v>
                </c:pt>
                <c:pt idx="311">
                  <c:v>50.722294345408287</c:v>
                </c:pt>
                <c:pt idx="312">
                  <c:v>47.416688303622479</c:v>
                </c:pt>
                <c:pt idx="313">
                  <c:v>43.625006491086744</c:v>
                </c:pt>
                <c:pt idx="314">
                  <c:v>41.087501947326025</c:v>
                </c:pt>
                <c:pt idx="315">
                  <c:v>40.326250584197808</c:v>
                </c:pt>
                <c:pt idx="316">
                  <c:v>43.59787517525934</c:v>
                </c:pt>
                <c:pt idx="317">
                  <c:v>37.579362552577805</c:v>
                </c:pt>
                <c:pt idx="318">
                  <c:v>35.773808765773339</c:v>
                </c:pt>
                <c:pt idx="319">
                  <c:v>38.732142629732003</c:v>
                </c:pt>
                <c:pt idx="320">
                  <c:v>38.919642788919596</c:v>
                </c:pt>
                <c:pt idx="321">
                  <c:v>34.775892836675879</c:v>
                </c:pt>
                <c:pt idx="322">
                  <c:v>39.832767851002764</c:v>
                </c:pt>
                <c:pt idx="323">
                  <c:v>44.849830355300824</c:v>
                </c:pt>
                <c:pt idx="324">
                  <c:v>49.154949106590244</c:v>
                </c:pt>
                <c:pt idx="325">
                  <c:v>45.546484731977074</c:v>
                </c:pt>
                <c:pt idx="326">
                  <c:v>41.663945419593119</c:v>
                </c:pt>
                <c:pt idx="327">
                  <c:v>52.399183625877932</c:v>
                </c:pt>
                <c:pt idx="328">
                  <c:v>50.019755087763372</c:v>
                </c:pt>
                <c:pt idx="329">
                  <c:v>46.505926526329006</c:v>
                </c:pt>
                <c:pt idx="330">
                  <c:v>48.251777957898696</c:v>
                </c:pt>
                <c:pt idx="331">
                  <c:v>50.175533387369605</c:v>
                </c:pt>
                <c:pt idx="332">
                  <c:v>47.252660016210875</c:v>
                </c:pt>
                <c:pt idx="333">
                  <c:v>44.975798004863258</c:v>
                </c:pt>
                <c:pt idx="334">
                  <c:v>49.892739401458975</c:v>
                </c:pt>
                <c:pt idx="335">
                  <c:v>46.467821820437692</c:v>
                </c:pt>
                <c:pt idx="336">
                  <c:v>36.340346546131308</c:v>
                </c:pt>
                <c:pt idx="337">
                  <c:v>43.10210396383939</c:v>
                </c:pt>
                <c:pt idx="338">
                  <c:v>41.630631189151813</c:v>
                </c:pt>
                <c:pt idx="339">
                  <c:v>36.289189356745538</c:v>
                </c:pt>
                <c:pt idx="340">
                  <c:v>33.98675680702366</c:v>
                </c:pt>
                <c:pt idx="341">
                  <c:v>35.396027042107093</c:v>
                </c:pt>
                <c:pt idx="342">
                  <c:v>44.918808112632121</c:v>
                </c:pt>
                <c:pt idx="343">
                  <c:v>43.575642433789632</c:v>
                </c:pt>
                <c:pt idx="344">
                  <c:v>43.172692730136887</c:v>
                </c:pt>
                <c:pt idx="345">
                  <c:v>36.751807819041062</c:v>
                </c:pt>
                <c:pt idx="346">
                  <c:v>38.325542345712314</c:v>
                </c:pt>
                <c:pt idx="347">
                  <c:v>35.997662703713694</c:v>
                </c:pt>
                <c:pt idx="348">
                  <c:v>47.199298811114105</c:v>
                </c:pt>
                <c:pt idx="349">
                  <c:v>47.059789643334227</c:v>
                </c:pt>
                <c:pt idx="350">
                  <c:v>50.517936893000268</c:v>
                </c:pt>
                <c:pt idx="351">
                  <c:v>42.455381067900078</c:v>
                </c:pt>
                <c:pt idx="352">
                  <c:v>40.736614320370023</c:v>
                </c:pt>
                <c:pt idx="353">
                  <c:v>41.620984296111004</c:v>
                </c:pt>
                <c:pt idx="354">
                  <c:v>41.886295288833296</c:v>
                </c:pt>
                <c:pt idx="355">
                  <c:v>49.665888586649984</c:v>
                </c:pt>
                <c:pt idx="356">
                  <c:v>42.199766575994992</c:v>
                </c:pt>
                <c:pt idx="357">
                  <c:v>40.659929972798494</c:v>
                </c:pt>
                <c:pt idx="358">
                  <c:v>38.797978991839543</c:v>
                </c:pt>
                <c:pt idx="359">
                  <c:v>42.439393697551857</c:v>
                </c:pt>
                <c:pt idx="360">
                  <c:v>36.531818109265558</c:v>
                </c:pt>
                <c:pt idx="361">
                  <c:v>36.859545432779669</c:v>
                </c:pt>
                <c:pt idx="362">
                  <c:v>47.457863629833895</c:v>
                </c:pt>
                <c:pt idx="363">
                  <c:v>47.837359088950166</c:v>
                </c:pt>
                <c:pt idx="364">
                  <c:v>52.851207726685047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B-47D9-A5FA-0B1CB2A49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525279"/>
        <c:axId val="569522879"/>
      </c:lineChart>
      <c:catAx>
        <c:axId val="56952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569522879"/>
        <c:crosses val="autoZero"/>
        <c:auto val="1"/>
        <c:lblAlgn val="ctr"/>
        <c:lblOffset val="100"/>
        <c:noMultiLvlLbl val="0"/>
      </c:catAx>
      <c:valAx>
        <c:axId val="569522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95252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smoothing_d.2'!$B$2:$B$366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A-4406-A966-73AB30E03D17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smoothing_d.2'!$C$2:$C$366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32.6</c:v>
                </c:pt>
                <c:pt idx="3">
                  <c:v>30.52</c:v>
                </c:pt>
                <c:pt idx="4">
                  <c:v>30.904</c:v>
                </c:pt>
                <c:pt idx="5">
                  <c:v>41.380800000000001</c:v>
                </c:pt>
                <c:pt idx="6">
                  <c:v>31.476160000000004</c:v>
                </c:pt>
                <c:pt idx="7">
                  <c:v>42.295231999999999</c:v>
                </c:pt>
                <c:pt idx="8">
                  <c:v>42.859046399999997</c:v>
                </c:pt>
                <c:pt idx="9">
                  <c:v>38.971809280000002</c:v>
                </c:pt>
                <c:pt idx="10">
                  <c:v>29.394361856000003</c:v>
                </c:pt>
                <c:pt idx="11">
                  <c:v>36.278872371200002</c:v>
                </c:pt>
                <c:pt idx="12">
                  <c:v>33.655774474240005</c:v>
                </c:pt>
                <c:pt idx="13">
                  <c:v>50.731154894848004</c:v>
                </c:pt>
                <c:pt idx="14">
                  <c:v>47.746230978969606</c:v>
                </c:pt>
                <c:pt idx="15">
                  <c:v>45.54924619579392</c:v>
                </c:pt>
                <c:pt idx="16">
                  <c:v>38.709849239158785</c:v>
                </c:pt>
                <c:pt idx="17">
                  <c:v>47.741969847831754</c:v>
                </c:pt>
                <c:pt idx="18">
                  <c:v>43.948393969566354</c:v>
                </c:pt>
                <c:pt idx="19">
                  <c:v>41.589678793913279</c:v>
                </c:pt>
                <c:pt idx="20">
                  <c:v>49.917935758782662</c:v>
                </c:pt>
                <c:pt idx="21">
                  <c:v>37.183587151756534</c:v>
                </c:pt>
                <c:pt idx="22">
                  <c:v>49.836717430351314</c:v>
                </c:pt>
                <c:pt idx="23">
                  <c:v>41.167343486070266</c:v>
                </c:pt>
                <c:pt idx="24">
                  <c:v>33.833468697214059</c:v>
                </c:pt>
                <c:pt idx="25">
                  <c:v>36.366693739442816</c:v>
                </c:pt>
                <c:pt idx="26">
                  <c:v>41.673338747888565</c:v>
                </c:pt>
                <c:pt idx="27">
                  <c:v>39.534667749577714</c:v>
                </c:pt>
                <c:pt idx="28">
                  <c:v>35.906933549915543</c:v>
                </c:pt>
                <c:pt idx="29">
                  <c:v>42.381386709983111</c:v>
                </c:pt>
                <c:pt idx="30">
                  <c:v>38.876277341996627</c:v>
                </c:pt>
                <c:pt idx="31">
                  <c:v>26.975255468399329</c:v>
                </c:pt>
                <c:pt idx="32">
                  <c:v>23.795051093679866</c:v>
                </c:pt>
                <c:pt idx="33">
                  <c:v>29.559010218735974</c:v>
                </c:pt>
                <c:pt idx="34">
                  <c:v>41.111802043747197</c:v>
                </c:pt>
                <c:pt idx="35">
                  <c:v>38.622360408749444</c:v>
                </c:pt>
                <c:pt idx="36">
                  <c:v>47.724472081749887</c:v>
                </c:pt>
                <c:pt idx="37">
                  <c:v>39.944894416349982</c:v>
                </c:pt>
                <c:pt idx="38">
                  <c:v>48.788978883270005</c:v>
                </c:pt>
                <c:pt idx="39">
                  <c:v>34.557795776654004</c:v>
                </c:pt>
                <c:pt idx="40">
                  <c:v>31.711559155330804</c:v>
                </c:pt>
                <c:pt idx="41">
                  <c:v>47.142311831066166</c:v>
                </c:pt>
                <c:pt idx="42">
                  <c:v>38.228462366213236</c:v>
                </c:pt>
                <c:pt idx="43">
                  <c:v>43.645692473242647</c:v>
                </c:pt>
                <c:pt idx="44">
                  <c:v>49.529138494648535</c:v>
                </c:pt>
                <c:pt idx="45">
                  <c:v>37.105827698929708</c:v>
                </c:pt>
                <c:pt idx="46">
                  <c:v>49.02116553978594</c:v>
                </c:pt>
                <c:pt idx="47">
                  <c:v>47.404233107957189</c:v>
                </c:pt>
                <c:pt idx="48">
                  <c:v>45.480846621591439</c:v>
                </c:pt>
                <c:pt idx="49">
                  <c:v>45.896169324318294</c:v>
                </c:pt>
                <c:pt idx="50">
                  <c:v>40.379233864863664</c:v>
                </c:pt>
                <c:pt idx="51">
                  <c:v>46.475846772972737</c:v>
                </c:pt>
                <c:pt idx="52">
                  <c:v>38.89516935459455</c:v>
                </c:pt>
                <c:pt idx="53">
                  <c:v>35.779033870918909</c:v>
                </c:pt>
                <c:pt idx="54">
                  <c:v>48.755806774183782</c:v>
                </c:pt>
                <c:pt idx="55">
                  <c:v>43.351161354836762</c:v>
                </c:pt>
                <c:pt idx="56">
                  <c:v>44.670232270967354</c:v>
                </c:pt>
                <c:pt idx="57">
                  <c:v>40.134046454193474</c:v>
                </c:pt>
                <c:pt idx="58">
                  <c:v>37.626809290838693</c:v>
                </c:pt>
                <c:pt idx="59">
                  <c:v>31.525361858167738</c:v>
                </c:pt>
                <c:pt idx="60">
                  <c:v>34.30507237163355</c:v>
                </c:pt>
                <c:pt idx="61">
                  <c:v>29.261014474326714</c:v>
                </c:pt>
                <c:pt idx="62">
                  <c:v>41.852202894865343</c:v>
                </c:pt>
                <c:pt idx="63">
                  <c:v>35.57044057897307</c:v>
                </c:pt>
                <c:pt idx="64">
                  <c:v>35.914088115794613</c:v>
                </c:pt>
                <c:pt idx="65">
                  <c:v>47.182817623158925</c:v>
                </c:pt>
                <c:pt idx="66">
                  <c:v>44.636563524631789</c:v>
                </c:pt>
                <c:pt idx="67">
                  <c:v>40.127312704926361</c:v>
                </c:pt>
                <c:pt idx="68">
                  <c:v>33.625462540985275</c:v>
                </c:pt>
                <c:pt idx="69">
                  <c:v>37.925092508197061</c:v>
                </c:pt>
                <c:pt idx="70">
                  <c:v>43.585018501639411</c:v>
                </c:pt>
                <c:pt idx="71">
                  <c:v>43.117003700327885</c:v>
                </c:pt>
                <c:pt idx="72">
                  <c:v>39.82340074006558</c:v>
                </c:pt>
                <c:pt idx="73">
                  <c:v>32.764680148013113</c:v>
                </c:pt>
                <c:pt idx="74">
                  <c:v>28.152936029602625</c:v>
                </c:pt>
                <c:pt idx="75">
                  <c:v>29.630587205920527</c:v>
                </c:pt>
                <c:pt idx="76">
                  <c:v>39.526117441184105</c:v>
                </c:pt>
                <c:pt idx="77">
                  <c:v>44.705223488236825</c:v>
                </c:pt>
                <c:pt idx="78">
                  <c:v>41.741044697647368</c:v>
                </c:pt>
                <c:pt idx="79">
                  <c:v>37.148208939529475</c:v>
                </c:pt>
                <c:pt idx="80">
                  <c:v>43.429641787905894</c:v>
                </c:pt>
                <c:pt idx="81">
                  <c:v>45.485928357581187</c:v>
                </c:pt>
                <c:pt idx="82">
                  <c:v>43.497185671516235</c:v>
                </c:pt>
                <c:pt idx="83">
                  <c:v>39.099437134303251</c:v>
                </c:pt>
                <c:pt idx="84">
                  <c:v>35.019887426860656</c:v>
                </c:pt>
                <c:pt idx="85">
                  <c:v>35.003977485372133</c:v>
                </c:pt>
                <c:pt idx="86">
                  <c:v>51.800795497074432</c:v>
                </c:pt>
                <c:pt idx="87">
                  <c:v>39.160159099414884</c:v>
                </c:pt>
                <c:pt idx="88">
                  <c:v>33.43203181988298</c:v>
                </c:pt>
                <c:pt idx="89">
                  <c:v>46.686406363976594</c:v>
                </c:pt>
                <c:pt idx="90">
                  <c:v>42.13728127279532</c:v>
                </c:pt>
                <c:pt idx="91">
                  <c:v>39.627456254559064</c:v>
                </c:pt>
                <c:pt idx="92">
                  <c:v>40.725491250911816</c:v>
                </c:pt>
                <c:pt idx="93">
                  <c:v>45.745098250182366</c:v>
                </c:pt>
                <c:pt idx="94">
                  <c:v>36.349019650036475</c:v>
                </c:pt>
                <c:pt idx="95">
                  <c:v>36.069803930007296</c:v>
                </c:pt>
                <c:pt idx="96">
                  <c:v>33.613960786001464</c:v>
                </c:pt>
                <c:pt idx="97">
                  <c:v>34.722792157200296</c:v>
                </c:pt>
                <c:pt idx="98">
                  <c:v>37.344558431440063</c:v>
                </c:pt>
                <c:pt idx="99">
                  <c:v>37.868911686288016</c:v>
                </c:pt>
                <c:pt idx="100">
                  <c:v>34.773782337257607</c:v>
                </c:pt>
                <c:pt idx="101">
                  <c:v>49.35475646745153</c:v>
                </c:pt>
                <c:pt idx="102">
                  <c:v>37.07095129349031</c:v>
                </c:pt>
                <c:pt idx="103">
                  <c:v>34.614190258698066</c:v>
                </c:pt>
                <c:pt idx="104">
                  <c:v>37.322838051739616</c:v>
                </c:pt>
                <c:pt idx="105">
                  <c:v>35.464567610347927</c:v>
                </c:pt>
                <c:pt idx="106">
                  <c:v>32.692913522069588</c:v>
                </c:pt>
                <c:pt idx="107">
                  <c:v>40.138582704413921</c:v>
                </c:pt>
                <c:pt idx="108">
                  <c:v>35.227716540882788</c:v>
                </c:pt>
                <c:pt idx="109">
                  <c:v>43.845543308176559</c:v>
                </c:pt>
                <c:pt idx="110">
                  <c:v>32.769108661635315</c:v>
                </c:pt>
                <c:pt idx="111">
                  <c:v>43.35382173232707</c:v>
                </c:pt>
                <c:pt idx="112">
                  <c:v>44.670764346465418</c:v>
                </c:pt>
                <c:pt idx="113">
                  <c:v>52.134152869293089</c:v>
                </c:pt>
                <c:pt idx="114">
                  <c:v>37.626830573858619</c:v>
                </c:pt>
                <c:pt idx="115">
                  <c:v>37.125366114771722</c:v>
                </c:pt>
                <c:pt idx="116">
                  <c:v>35.425073222954346</c:v>
                </c:pt>
                <c:pt idx="117">
                  <c:v>39.085014644590871</c:v>
                </c:pt>
                <c:pt idx="118">
                  <c:v>41.41700292891818</c:v>
                </c:pt>
                <c:pt idx="119">
                  <c:v>54.683400585783644</c:v>
                </c:pt>
                <c:pt idx="120">
                  <c:v>51.736680117156737</c:v>
                </c:pt>
                <c:pt idx="121">
                  <c:v>35.947336023431347</c:v>
                </c:pt>
                <c:pt idx="122">
                  <c:v>35.189467204686267</c:v>
                </c:pt>
                <c:pt idx="123">
                  <c:v>37.437893440937259</c:v>
                </c:pt>
                <c:pt idx="124">
                  <c:v>33.887578688187453</c:v>
                </c:pt>
                <c:pt idx="125">
                  <c:v>37.977515737637496</c:v>
                </c:pt>
                <c:pt idx="126">
                  <c:v>45.195503147527504</c:v>
                </c:pt>
                <c:pt idx="127">
                  <c:v>39.439100629505504</c:v>
                </c:pt>
                <c:pt idx="128">
                  <c:v>49.487820125901102</c:v>
                </c:pt>
                <c:pt idx="129">
                  <c:v>33.897564025180223</c:v>
                </c:pt>
                <c:pt idx="130">
                  <c:v>33.979512805036052</c:v>
                </c:pt>
                <c:pt idx="131">
                  <c:v>38.79590256100721</c:v>
                </c:pt>
                <c:pt idx="132">
                  <c:v>35.759180512201439</c:v>
                </c:pt>
                <c:pt idx="133">
                  <c:v>40.751836102440294</c:v>
                </c:pt>
                <c:pt idx="134">
                  <c:v>40.950367220488062</c:v>
                </c:pt>
                <c:pt idx="135">
                  <c:v>41.790073444097615</c:v>
                </c:pt>
                <c:pt idx="136">
                  <c:v>38.758014688819529</c:v>
                </c:pt>
                <c:pt idx="137">
                  <c:v>26.951602937763909</c:v>
                </c:pt>
                <c:pt idx="138">
                  <c:v>32.590320587552782</c:v>
                </c:pt>
                <c:pt idx="139">
                  <c:v>40.918064117510554</c:v>
                </c:pt>
                <c:pt idx="140">
                  <c:v>36.983612823502114</c:v>
                </c:pt>
                <c:pt idx="141">
                  <c:v>51.396722564700426</c:v>
                </c:pt>
                <c:pt idx="142">
                  <c:v>43.079344512940089</c:v>
                </c:pt>
                <c:pt idx="143">
                  <c:v>44.615868902588019</c:v>
                </c:pt>
                <c:pt idx="144">
                  <c:v>41.723173780517612</c:v>
                </c:pt>
                <c:pt idx="145">
                  <c:v>37.944634756103525</c:v>
                </c:pt>
                <c:pt idx="146">
                  <c:v>41.988926951220705</c:v>
                </c:pt>
                <c:pt idx="147">
                  <c:v>39.597785390244141</c:v>
                </c:pt>
                <c:pt idx="148">
                  <c:v>34.319557078048831</c:v>
                </c:pt>
                <c:pt idx="149">
                  <c:v>41.263911415609769</c:v>
                </c:pt>
                <c:pt idx="150">
                  <c:v>40.252782283121952</c:v>
                </c:pt>
                <c:pt idx="151">
                  <c:v>38.45055645662439</c:v>
                </c:pt>
                <c:pt idx="152">
                  <c:v>43.690111291324882</c:v>
                </c:pt>
                <c:pt idx="153">
                  <c:v>45.538022258264981</c:v>
                </c:pt>
                <c:pt idx="154">
                  <c:v>36.307604451652999</c:v>
                </c:pt>
                <c:pt idx="155">
                  <c:v>35.261520890330601</c:v>
                </c:pt>
                <c:pt idx="156">
                  <c:v>45.452304178066129</c:v>
                </c:pt>
                <c:pt idx="157">
                  <c:v>49.890460835613233</c:v>
                </c:pt>
                <c:pt idx="158">
                  <c:v>38.778092167122651</c:v>
                </c:pt>
                <c:pt idx="159">
                  <c:v>34.155618433424536</c:v>
                </c:pt>
                <c:pt idx="160">
                  <c:v>43.631123686684916</c:v>
                </c:pt>
                <c:pt idx="161">
                  <c:v>42.326224737336986</c:v>
                </c:pt>
                <c:pt idx="162">
                  <c:v>46.865244947467403</c:v>
                </c:pt>
                <c:pt idx="163">
                  <c:v>36.573048989493486</c:v>
                </c:pt>
                <c:pt idx="164">
                  <c:v>40.114609797898702</c:v>
                </c:pt>
                <c:pt idx="165">
                  <c:v>36.02292195957974</c:v>
                </c:pt>
                <c:pt idx="166">
                  <c:v>39.204584391915951</c:v>
                </c:pt>
                <c:pt idx="167">
                  <c:v>35.040916878383193</c:v>
                </c:pt>
                <c:pt idx="168">
                  <c:v>31.008183375676637</c:v>
                </c:pt>
                <c:pt idx="169">
                  <c:v>35.00163667513533</c:v>
                </c:pt>
                <c:pt idx="170">
                  <c:v>39.000327335027066</c:v>
                </c:pt>
                <c:pt idx="171">
                  <c:v>39.000065467005413</c:v>
                </c:pt>
                <c:pt idx="172">
                  <c:v>43.800013093401084</c:v>
                </c:pt>
                <c:pt idx="173">
                  <c:v>39.160002618680217</c:v>
                </c:pt>
                <c:pt idx="174">
                  <c:v>45.432000523736043</c:v>
                </c:pt>
                <c:pt idx="175">
                  <c:v>35.486400104747212</c:v>
                </c:pt>
                <c:pt idx="176">
                  <c:v>31.097280020949441</c:v>
                </c:pt>
                <c:pt idx="177">
                  <c:v>39.819456004189888</c:v>
                </c:pt>
                <c:pt idx="178">
                  <c:v>42.363891200837976</c:v>
                </c:pt>
                <c:pt idx="179">
                  <c:v>41.272778240167597</c:v>
                </c:pt>
                <c:pt idx="180">
                  <c:v>41.054555648033528</c:v>
                </c:pt>
                <c:pt idx="181">
                  <c:v>55.41091112960671</c:v>
                </c:pt>
                <c:pt idx="182">
                  <c:v>45.482182225921342</c:v>
                </c:pt>
                <c:pt idx="183">
                  <c:v>45.096436445184267</c:v>
                </c:pt>
                <c:pt idx="184">
                  <c:v>39.419287289036859</c:v>
                </c:pt>
                <c:pt idx="185">
                  <c:v>37.483857457807375</c:v>
                </c:pt>
                <c:pt idx="186">
                  <c:v>43.496771491561475</c:v>
                </c:pt>
                <c:pt idx="187">
                  <c:v>42.299354298312295</c:v>
                </c:pt>
                <c:pt idx="188">
                  <c:v>54.05987085966246</c:v>
                </c:pt>
                <c:pt idx="189">
                  <c:v>47.611974171932495</c:v>
                </c:pt>
                <c:pt idx="190">
                  <c:v>50.3223948343865</c:v>
                </c:pt>
                <c:pt idx="191">
                  <c:v>42.864478966877307</c:v>
                </c:pt>
                <c:pt idx="192">
                  <c:v>46.17289579337546</c:v>
                </c:pt>
                <c:pt idx="193">
                  <c:v>30.034579158675093</c:v>
                </c:pt>
                <c:pt idx="194">
                  <c:v>34.006915831735022</c:v>
                </c:pt>
                <c:pt idx="195">
                  <c:v>42.001383166347011</c:v>
                </c:pt>
                <c:pt idx="196">
                  <c:v>41.200276633269411</c:v>
                </c:pt>
                <c:pt idx="197">
                  <c:v>41.840055326653882</c:v>
                </c:pt>
                <c:pt idx="198">
                  <c:v>37.168011065330774</c:v>
                </c:pt>
                <c:pt idx="199">
                  <c:v>43.433602213066152</c:v>
                </c:pt>
                <c:pt idx="200">
                  <c:v>44.686720442613229</c:v>
                </c:pt>
                <c:pt idx="201">
                  <c:v>44.93734408852265</c:v>
                </c:pt>
                <c:pt idx="202">
                  <c:v>46.587468817704533</c:v>
                </c:pt>
                <c:pt idx="203">
                  <c:v>39.717493763540908</c:v>
                </c:pt>
                <c:pt idx="204">
                  <c:v>41.543498752708182</c:v>
                </c:pt>
                <c:pt idx="205">
                  <c:v>36.308699750541635</c:v>
                </c:pt>
                <c:pt idx="206">
                  <c:v>36.061739950108326</c:v>
                </c:pt>
                <c:pt idx="207">
                  <c:v>38.412347990021672</c:v>
                </c:pt>
                <c:pt idx="208">
                  <c:v>43.682469598004332</c:v>
                </c:pt>
                <c:pt idx="209">
                  <c:v>43.136493919600866</c:v>
                </c:pt>
                <c:pt idx="210">
                  <c:v>46.227298783920176</c:v>
                </c:pt>
                <c:pt idx="211">
                  <c:v>38.045459756784034</c:v>
                </c:pt>
                <c:pt idx="212">
                  <c:v>40.409091951356814</c:v>
                </c:pt>
                <c:pt idx="213">
                  <c:v>48.081818390271366</c:v>
                </c:pt>
                <c:pt idx="214">
                  <c:v>40.816363678054273</c:v>
                </c:pt>
                <c:pt idx="215">
                  <c:v>40.963272735610857</c:v>
                </c:pt>
                <c:pt idx="216">
                  <c:v>44.992654547122179</c:v>
                </c:pt>
                <c:pt idx="217">
                  <c:v>60.198530909424441</c:v>
                </c:pt>
                <c:pt idx="218">
                  <c:v>48.039706181884888</c:v>
                </c:pt>
                <c:pt idx="219">
                  <c:v>36.807941236376983</c:v>
                </c:pt>
                <c:pt idx="220">
                  <c:v>37.761588247275398</c:v>
                </c:pt>
                <c:pt idx="221">
                  <c:v>42.75231764945508</c:v>
                </c:pt>
                <c:pt idx="222">
                  <c:v>46.950463529891024</c:v>
                </c:pt>
                <c:pt idx="223">
                  <c:v>46.190092705978209</c:v>
                </c:pt>
                <c:pt idx="224">
                  <c:v>44.438018541195646</c:v>
                </c:pt>
                <c:pt idx="225">
                  <c:v>38.487603708239135</c:v>
                </c:pt>
                <c:pt idx="226">
                  <c:v>38.897520741647831</c:v>
                </c:pt>
                <c:pt idx="227">
                  <c:v>42.979504148329568</c:v>
                </c:pt>
                <c:pt idx="228">
                  <c:v>44.595900829665915</c:v>
                </c:pt>
                <c:pt idx="229">
                  <c:v>35.319180165933183</c:v>
                </c:pt>
                <c:pt idx="230">
                  <c:v>42.263836033186642</c:v>
                </c:pt>
                <c:pt idx="231">
                  <c:v>38.852767206637331</c:v>
                </c:pt>
                <c:pt idx="232">
                  <c:v>44.570553441327469</c:v>
                </c:pt>
                <c:pt idx="233">
                  <c:v>45.7141106882655</c:v>
                </c:pt>
                <c:pt idx="234">
                  <c:v>41.142822137653098</c:v>
                </c:pt>
                <c:pt idx="235">
                  <c:v>39.428564427530624</c:v>
                </c:pt>
                <c:pt idx="236">
                  <c:v>43.085712885506126</c:v>
                </c:pt>
                <c:pt idx="237">
                  <c:v>47.017142577101232</c:v>
                </c:pt>
                <c:pt idx="238">
                  <c:v>49.403428515420245</c:v>
                </c:pt>
                <c:pt idx="239">
                  <c:v>42.680685703084052</c:v>
                </c:pt>
                <c:pt idx="240">
                  <c:v>42.13613714061681</c:v>
                </c:pt>
                <c:pt idx="241">
                  <c:v>49.227227428123371</c:v>
                </c:pt>
                <c:pt idx="242">
                  <c:v>42.645445485624677</c:v>
                </c:pt>
                <c:pt idx="243">
                  <c:v>43.729089097124941</c:v>
                </c:pt>
                <c:pt idx="244">
                  <c:v>39.145817819424991</c:v>
                </c:pt>
                <c:pt idx="245">
                  <c:v>62.229163563885002</c:v>
                </c:pt>
                <c:pt idx="246">
                  <c:v>44.445832712777005</c:v>
                </c:pt>
                <c:pt idx="247">
                  <c:v>42.489166542555402</c:v>
                </c:pt>
                <c:pt idx="248">
                  <c:v>49.297833308511088</c:v>
                </c:pt>
                <c:pt idx="249">
                  <c:v>45.05956666170222</c:v>
                </c:pt>
                <c:pt idx="250">
                  <c:v>45.011913332340441</c:v>
                </c:pt>
                <c:pt idx="251">
                  <c:v>37.802382666468091</c:v>
                </c:pt>
                <c:pt idx="252">
                  <c:v>53.160476533293618</c:v>
                </c:pt>
                <c:pt idx="253">
                  <c:v>45.832095306658729</c:v>
                </c:pt>
                <c:pt idx="254">
                  <c:v>42.766419061331746</c:v>
                </c:pt>
                <c:pt idx="255">
                  <c:v>50.953283812266356</c:v>
                </c:pt>
                <c:pt idx="256">
                  <c:v>43.790656762453274</c:v>
                </c:pt>
                <c:pt idx="257">
                  <c:v>35.958131352490661</c:v>
                </c:pt>
                <c:pt idx="258">
                  <c:v>39.191626270498134</c:v>
                </c:pt>
                <c:pt idx="259">
                  <c:v>52.638325254099634</c:v>
                </c:pt>
                <c:pt idx="260">
                  <c:v>45.72766505081993</c:v>
                </c:pt>
                <c:pt idx="261">
                  <c:v>51.545533010163993</c:v>
                </c:pt>
                <c:pt idx="262">
                  <c:v>54.309106602032799</c:v>
                </c:pt>
                <c:pt idx="263">
                  <c:v>42.061821320406565</c:v>
                </c:pt>
                <c:pt idx="264">
                  <c:v>55.612364264081315</c:v>
                </c:pt>
                <c:pt idx="265">
                  <c:v>55.122472852816266</c:v>
                </c:pt>
                <c:pt idx="266">
                  <c:v>69.424494570563255</c:v>
                </c:pt>
                <c:pt idx="267">
                  <c:v>57.884898914112654</c:v>
                </c:pt>
                <c:pt idx="268">
                  <c:v>46.776979782822536</c:v>
                </c:pt>
                <c:pt idx="269">
                  <c:v>43.755395956564506</c:v>
                </c:pt>
                <c:pt idx="270">
                  <c:v>40.751079191312904</c:v>
                </c:pt>
                <c:pt idx="271">
                  <c:v>45.750215838262584</c:v>
                </c:pt>
                <c:pt idx="272">
                  <c:v>49.950043167652524</c:v>
                </c:pt>
                <c:pt idx="273">
                  <c:v>54.790008633530512</c:v>
                </c:pt>
                <c:pt idx="274">
                  <c:v>50.158001726706104</c:v>
                </c:pt>
                <c:pt idx="275">
                  <c:v>53.231600345341221</c:v>
                </c:pt>
                <c:pt idx="276">
                  <c:v>55.44632006906825</c:v>
                </c:pt>
                <c:pt idx="277">
                  <c:v>48.689264013813656</c:v>
                </c:pt>
                <c:pt idx="278">
                  <c:v>44.937852802762734</c:v>
                </c:pt>
                <c:pt idx="279">
                  <c:v>43.387570560552547</c:v>
                </c:pt>
                <c:pt idx="280">
                  <c:v>42.277514112110509</c:v>
                </c:pt>
                <c:pt idx="281">
                  <c:v>44.455502822422105</c:v>
                </c:pt>
                <c:pt idx="282">
                  <c:v>48.891100564484418</c:v>
                </c:pt>
                <c:pt idx="283">
                  <c:v>48.178220112896888</c:v>
                </c:pt>
                <c:pt idx="284">
                  <c:v>44.035644022579376</c:v>
                </c:pt>
                <c:pt idx="285">
                  <c:v>40.807128804515877</c:v>
                </c:pt>
                <c:pt idx="286">
                  <c:v>55.361425760903181</c:v>
                </c:pt>
                <c:pt idx="287">
                  <c:v>43.872285152180638</c:v>
                </c:pt>
                <c:pt idx="288">
                  <c:v>42.374457030436133</c:v>
                </c:pt>
                <c:pt idx="289">
                  <c:v>49.274891406087235</c:v>
                </c:pt>
                <c:pt idx="290">
                  <c:v>49.054978281217451</c:v>
                </c:pt>
                <c:pt idx="291">
                  <c:v>45.810995656243492</c:v>
                </c:pt>
                <c:pt idx="292">
                  <c:v>43.562199131248697</c:v>
                </c:pt>
                <c:pt idx="293">
                  <c:v>42.312439826249744</c:v>
                </c:pt>
                <c:pt idx="294">
                  <c:v>38.862487965249954</c:v>
                </c:pt>
                <c:pt idx="295">
                  <c:v>45.372497593049992</c:v>
                </c:pt>
                <c:pt idx="296">
                  <c:v>39.474499518610003</c:v>
                </c:pt>
                <c:pt idx="297">
                  <c:v>36.694899903722003</c:v>
                </c:pt>
                <c:pt idx="298">
                  <c:v>40.938979980744406</c:v>
                </c:pt>
                <c:pt idx="299">
                  <c:v>36.187795996148878</c:v>
                </c:pt>
                <c:pt idx="300">
                  <c:v>29.637559199229777</c:v>
                </c:pt>
                <c:pt idx="301">
                  <c:v>41.127511839845958</c:v>
                </c:pt>
                <c:pt idx="302">
                  <c:v>37.025502367969196</c:v>
                </c:pt>
                <c:pt idx="303">
                  <c:v>43.405100473593841</c:v>
                </c:pt>
                <c:pt idx="304">
                  <c:v>45.481020094718772</c:v>
                </c:pt>
                <c:pt idx="305">
                  <c:v>47.496204018943757</c:v>
                </c:pt>
                <c:pt idx="306">
                  <c:v>48.699240803788754</c:v>
                </c:pt>
                <c:pt idx="307">
                  <c:v>44.139848160757751</c:v>
                </c:pt>
                <c:pt idx="308">
                  <c:v>42.427969632151552</c:v>
                </c:pt>
                <c:pt idx="309">
                  <c:v>55.685593926430315</c:v>
                </c:pt>
                <c:pt idx="310">
                  <c:v>47.137118785286063</c:v>
                </c:pt>
                <c:pt idx="311">
                  <c:v>51.027423757057214</c:v>
                </c:pt>
                <c:pt idx="312">
                  <c:v>47.005484751411444</c:v>
                </c:pt>
                <c:pt idx="313">
                  <c:v>43.001096950282289</c:v>
                </c:pt>
                <c:pt idx="314">
                  <c:v>40.600219390056459</c:v>
                </c:pt>
                <c:pt idx="315">
                  <c:v>40.120043878011295</c:v>
                </c:pt>
                <c:pt idx="316">
                  <c:v>44.024008775602262</c:v>
                </c:pt>
                <c:pt idx="317">
                  <c:v>36.804801755120451</c:v>
                </c:pt>
                <c:pt idx="318">
                  <c:v>35.36096035102409</c:v>
                </c:pt>
                <c:pt idx="319">
                  <c:v>39.072192070204821</c:v>
                </c:pt>
                <c:pt idx="320">
                  <c:v>39.014438414040967</c:v>
                </c:pt>
                <c:pt idx="321">
                  <c:v>34.202887682808196</c:v>
                </c:pt>
                <c:pt idx="322">
                  <c:v>40.440577536561641</c:v>
                </c:pt>
                <c:pt idx="323">
                  <c:v>45.688115507312332</c:v>
                </c:pt>
                <c:pt idx="324">
                  <c:v>49.937623101462471</c:v>
                </c:pt>
                <c:pt idx="325">
                  <c:v>45.1875246202925</c:v>
                </c:pt>
                <c:pt idx="326">
                  <c:v>41.037504924058503</c:v>
                </c:pt>
                <c:pt idx="327">
                  <c:v>53.807500984811703</c:v>
                </c:pt>
                <c:pt idx="328">
                  <c:v>49.961500196962348</c:v>
                </c:pt>
                <c:pt idx="329">
                  <c:v>45.992300039392468</c:v>
                </c:pt>
                <c:pt idx="330">
                  <c:v>48.398460007878498</c:v>
                </c:pt>
                <c:pt idx="331">
                  <c:v>50.479692001575707</c:v>
                </c:pt>
                <c:pt idx="332">
                  <c:v>46.895938400315146</c:v>
                </c:pt>
                <c:pt idx="333">
                  <c:v>44.579187680063029</c:v>
                </c:pt>
                <c:pt idx="334">
                  <c:v>50.515837536012612</c:v>
                </c:pt>
                <c:pt idx="335">
                  <c:v>46.103167507202521</c:v>
                </c:pt>
                <c:pt idx="336">
                  <c:v>34.820633501440504</c:v>
                </c:pt>
                <c:pt idx="337">
                  <c:v>43.764126700288102</c:v>
                </c:pt>
                <c:pt idx="338">
                  <c:v>41.552825340057623</c:v>
                </c:pt>
                <c:pt idx="339">
                  <c:v>35.51056506801153</c:v>
                </c:pt>
                <c:pt idx="340">
                  <c:v>33.502113013602312</c:v>
                </c:pt>
                <c:pt idx="341">
                  <c:v>35.500422602720462</c:v>
                </c:pt>
                <c:pt idx="342">
                  <c:v>46.300084520544097</c:v>
                </c:pt>
                <c:pt idx="343">
                  <c:v>43.660016904108815</c:v>
                </c:pt>
                <c:pt idx="344">
                  <c:v>43.132003380821764</c:v>
                </c:pt>
                <c:pt idx="345">
                  <c:v>35.826400676164354</c:v>
                </c:pt>
                <c:pt idx="346">
                  <c:v>38.365280135232872</c:v>
                </c:pt>
                <c:pt idx="347">
                  <c:v>35.673056027046577</c:v>
                </c:pt>
                <c:pt idx="348">
                  <c:v>48.734611205409315</c:v>
                </c:pt>
                <c:pt idx="349">
                  <c:v>47.346922241081863</c:v>
                </c:pt>
                <c:pt idx="350">
                  <c:v>51.069384448216375</c:v>
                </c:pt>
                <c:pt idx="351">
                  <c:v>41.413876889643277</c:v>
                </c:pt>
                <c:pt idx="352">
                  <c:v>40.282775377928658</c:v>
                </c:pt>
                <c:pt idx="353">
                  <c:v>41.656555075585736</c:v>
                </c:pt>
                <c:pt idx="354">
                  <c:v>41.931311015117146</c:v>
                </c:pt>
                <c:pt idx="355">
                  <c:v>50.786262203023433</c:v>
                </c:pt>
                <c:pt idx="356">
                  <c:v>41.35725244060469</c:v>
                </c:pt>
                <c:pt idx="357">
                  <c:v>40.271450488120941</c:v>
                </c:pt>
                <c:pt idx="358">
                  <c:v>38.454290097624188</c:v>
                </c:pt>
                <c:pt idx="359">
                  <c:v>42.890858019524842</c:v>
                </c:pt>
                <c:pt idx="360">
                  <c:v>35.778171603904973</c:v>
                </c:pt>
                <c:pt idx="361">
                  <c:v>36.755634320780999</c:v>
                </c:pt>
                <c:pt idx="362">
                  <c:v>48.951126864156201</c:v>
                </c:pt>
                <c:pt idx="363">
                  <c:v>48.19022537283125</c:v>
                </c:pt>
                <c:pt idx="364">
                  <c:v>53.63804507456625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7A-4406-A966-73AB30E03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375471"/>
        <c:axId val="569375951"/>
      </c:lineChart>
      <c:catAx>
        <c:axId val="569375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569375951"/>
        <c:crosses val="autoZero"/>
        <c:auto val="1"/>
        <c:lblAlgn val="ctr"/>
        <c:lblOffset val="100"/>
        <c:noMultiLvlLbl val="0"/>
      </c:catAx>
      <c:valAx>
        <c:axId val="569375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93754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smoothing_d.3'!$B$2:$B$366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8-4E47-B7A7-600A0D2BD46E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smoothing_d.3'!$C$2:$C$366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32.9</c:v>
                </c:pt>
                <c:pt idx="3">
                  <c:v>30.869999999999997</c:v>
                </c:pt>
                <c:pt idx="4">
                  <c:v>30.960999999999999</c:v>
                </c:pt>
                <c:pt idx="5">
                  <c:v>40.088299999999997</c:v>
                </c:pt>
                <c:pt idx="6">
                  <c:v>32.326489999999993</c:v>
                </c:pt>
                <c:pt idx="7">
                  <c:v>41.197946999999992</c:v>
                </c:pt>
                <c:pt idx="8">
                  <c:v>42.459384099999994</c:v>
                </c:pt>
                <c:pt idx="9">
                  <c:v>39.337815229999997</c:v>
                </c:pt>
                <c:pt idx="10">
                  <c:v>30.701344569</c:v>
                </c:pt>
                <c:pt idx="11">
                  <c:v>35.810403370700001</c:v>
                </c:pt>
                <c:pt idx="12">
                  <c:v>33.843121011210002</c:v>
                </c:pt>
                <c:pt idx="13">
                  <c:v>48.652936303362999</c:v>
                </c:pt>
                <c:pt idx="14">
                  <c:v>47.495880891008895</c:v>
                </c:pt>
                <c:pt idx="15">
                  <c:v>45.748764267302661</c:v>
                </c:pt>
                <c:pt idx="16">
                  <c:v>39.624629280190796</c:v>
                </c:pt>
                <c:pt idx="17">
                  <c:v>46.887388784057237</c:v>
                </c:pt>
                <c:pt idx="18">
                  <c:v>44.166216635217168</c:v>
                </c:pt>
                <c:pt idx="19">
                  <c:v>41.949864990565146</c:v>
                </c:pt>
                <c:pt idx="20">
                  <c:v>48.984959497169541</c:v>
                </c:pt>
                <c:pt idx="21">
                  <c:v>38.495487849150862</c:v>
                </c:pt>
                <c:pt idx="22">
                  <c:v>48.648646354745253</c:v>
                </c:pt>
                <c:pt idx="23">
                  <c:v>41.894593906423573</c:v>
                </c:pt>
                <c:pt idx="24">
                  <c:v>34.968378171927071</c:v>
                </c:pt>
                <c:pt idx="25">
                  <c:v>36.390513451578116</c:v>
                </c:pt>
                <c:pt idx="26">
                  <c:v>41.017154035473432</c:v>
                </c:pt>
                <c:pt idx="27">
                  <c:v>39.605146210642026</c:v>
                </c:pt>
                <c:pt idx="28">
                  <c:v>36.381543863192604</c:v>
                </c:pt>
                <c:pt idx="29">
                  <c:v>41.714463158957777</c:v>
                </c:pt>
                <c:pt idx="30">
                  <c:v>39.11433894768733</c:v>
                </c:pt>
                <c:pt idx="31">
                  <c:v>28.534301684306193</c:v>
                </c:pt>
                <c:pt idx="32">
                  <c:v>24.660290505291854</c:v>
                </c:pt>
                <c:pt idx="33">
                  <c:v>29.098087151587556</c:v>
                </c:pt>
                <c:pt idx="34">
                  <c:v>39.529426145476265</c:v>
                </c:pt>
                <c:pt idx="35">
                  <c:v>38.458827843642879</c:v>
                </c:pt>
                <c:pt idx="36">
                  <c:v>46.537648353092862</c:v>
                </c:pt>
                <c:pt idx="37">
                  <c:v>40.561294505927854</c:v>
                </c:pt>
                <c:pt idx="38">
                  <c:v>47.86838835177835</c:v>
                </c:pt>
                <c:pt idx="39">
                  <c:v>36.060516505533506</c:v>
                </c:pt>
                <c:pt idx="40">
                  <c:v>32.518154951660051</c:v>
                </c:pt>
                <c:pt idx="41">
                  <c:v>45.455446485498008</c:v>
                </c:pt>
                <c:pt idx="42">
                  <c:v>38.836633945649403</c:v>
                </c:pt>
                <c:pt idx="43">
                  <c:v>43.150990183694816</c:v>
                </c:pt>
                <c:pt idx="44">
                  <c:v>48.645297055108443</c:v>
                </c:pt>
                <c:pt idx="45">
                  <c:v>38.393589116532532</c:v>
                </c:pt>
                <c:pt idx="46">
                  <c:v>47.918076734959755</c:v>
                </c:pt>
                <c:pt idx="47">
                  <c:v>47.275423020487921</c:v>
                </c:pt>
                <c:pt idx="48">
                  <c:v>45.682626906146375</c:v>
                </c:pt>
                <c:pt idx="49">
                  <c:v>45.90478807184391</c:v>
                </c:pt>
                <c:pt idx="50">
                  <c:v>41.071436421553173</c:v>
                </c:pt>
                <c:pt idx="51">
                  <c:v>45.921430926465945</c:v>
                </c:pt>
                <c:pt idx="52">
                  <c:v>39.676429277939782</c:v>
                </c:pt>
                <c:pt idx="53">
                  <c:v>36.402928783381938</c:v>
                </c:pt>
                <c:pt idx="54">
                  <c:v>47.32087863501458</c:v>
                </c:pt>
                <c:pt idx="55">
                  <c:v>43.596263590504371</c:v>
                </c:pt>
                <c:pt idx="56">
                  <c:v>44.578879077151306</c:v>
                </c:pt>
                <c:pt idx="57">
                  <c:v>40.673663723145388</c:v>
                </c:pt>
                <c:pt idx="58">
                  <c:v>38.102099116943613</c:v>
                </c:pt>
                <c:pt idx="59">
                  <c:v>32.430629735083087</c:v>
                </c:pt>
                <c:pt idx="60">
                  <c:v>34.229188920524926</c:v>
                </c:pt>
                <c:pt idx="61">
                  <c:v>29.868756676157474</c:v>
                </c:pt>
                <c:pt idx="62">
                  <c:v>40.460627002847239</c:v>
                </c:pt>
                <c:pt idx="63">
                  <c:v>35.93818810085417</c:v>
                </c:pt>
                <c:pt idx="64">
                  <c:v>35.981456430256252</c:v>
                </c:pt>
                <c:pt idx="65">
                  <c:v>45.794436929076873</c:v>
                </c:pt>
                <c:pt idx="66">
                  <c:v>44.538331078723061</c:v>
                </c:pt>
                <c:pt idx="67">
                  <c:v>40.661499323616916</c:v>
                </c:pt>
                <c:pt idx="68">
                  <c:v>34.598449797085074</c:v>
                </c:pt>
                <c:pt idx="69">
                  <c:v>37.679534939125517</c:v>
                </c:pt>
                <c:pt idx="70">
                  <c:v>42.803860481737651</c:v>
                </c:pt>
                <c:pt idx="71">
                  <c:v>42.941158144521296</c:v>
                </c:pt>
                <c:pt idx="72">
                  <c:v>40.182347443356385</c:v>
                </c:pt>
                <c:pt idx="73">
                  <c:v>33.754704233006912</c:v>
                </c:pt>
                <c:pt idx="74">
                  <c:v>29.02641126990207</c:v>
                </c:pt>
                <c:pt idx="75">
                  <c:v>29.70792338097062</c:v>
                </c:pt>
                <c:pt idx="76">
                  <c:v>38.312377014291187</c:v>
                </c:pt>
                <c:pt idx="77">
                  <c:v>43.693713104287355</c:v>
                </c:pt>
                <c:pt idx="78">
                  <c:v>41.808113931286208</c:v>
                </c:pt>
                <c:pt idx="79">
                  <c:v>37.74243417938586</c:v>
                </c:pt>
                <c:pt idx="80">
                  <c:v>42.822730253815756</c:v>
                </c:pt>
                <c:pt idx="81">
                  <c:v>45.046819076144722</c:v>
                </c:pt>
                <c:pt idx="82">
                  <c:v>43.614045722843414</c:v>
                </c:pt>
                <c:pt idx="83">
                  <c:v>39.684213716853023</c:v>
                </c:pt>
                <c:pt idx="84">
                  <c:v>35.705264115055904</c:v>
                </c:pt>
                <c:pt idx="85">
                  <c:v>35.211579234516769</c:v>
                </c:pt>
                <c:pt idx="86">
                  <c:v>49.763473770355027</c:v>
                </c:pt>
                <c:pt idx="87">
                  <c:v>40.129042131106509</c:v>
                </c:pt>
                <c:pt idx="88">
                  <c:v>34.438712639331953</c:v>
                </c:pt>
                <c:pt idx="89">
                  <c:v>45.331613791799583</c:v>
                </c:pt>
                <c:pt idx="90">
                  <c:v>42.299484137539878</c:v>
                </c:pt>
                <c:pt idx="91">
                  <c:v>39.98984524126196</c:v>
                </c:pt>
                <c:pt idx="92">
                  <c:v>40.69695357237859</c:v>
                </c:pt>
                <c:pt idx="93">
                  <c:v>45.109086071713577</c:v>
                </c:pt>
                <c:pt idx="94">
                  <c:v>37.332725821514067</c:v>
                </c:pt>
                <c:pt idx="95">
                  <c:v>36.399817746454218</c:v>
                </c:pt>
                <c:pt idx="96">
                  <c:v>34.019945323936263</c:v>
                </c:pt>
                <c:pt idx="97">
                  <c:v>34.705983597180875</c:v>
                </c:pt>
                <c:pt idx="98">
                  <c:v>37.011795079154261</c:v>
                </c:pt>
                <c:pt idx="99">
                  <c:v>37.703538523746275</c:v>
                </c:pt>
                <c:pt idx="100">
                  <c:v>35.111061557123875</c:v>
                </c:pt>
                <c:pt idx="101">
                  <c:v>47.633318467137158</c:v>
                </c:pt>
                <c:pt idx="102">
                  <c:v>38.089995540141146</c:v>
                </c:pt>
                <c:pt idx="103">
                  <c:v>35.226998662042341</c:v>
                </c:pt>
                <c:pt idx="104">
                  <c:v>37.168099598612699</c:v>
                </c:pt>
                <c:pt idx="105">
                  <c:v>35.650429879583811</c:v>
                </c:pt>
                <c:pt idx="106">
                  <c:v>33.09512896387514</c:v>
                </c:pt>
                <c:pt idx="107">
                  <c:v>39.328538689162542</c:v>
                </c:pt>
                <c:pt idx="108">
                  <c:v>35.59856160674876</c:v>
                </c:pt>
                <c:pt idx="109">
                  <c:v>42.879568482024624</c:v>
                </c:pt>
                <c:pt idx="110">
                  <c:v>33.863870544607387</c:v>
                </c:pt>
                <c:pt idx="111">
                  <c:v>42.359161163382211</c:v>
                </c:pt>
                <c:pt idx="112">
                  <c:v>44.207748349014658</c:v>
                </c:pt>
                <c:pt idx="113">
                  <c:v>51.062324504704392</c:v>
                </c:pt>
                <c:pt idx="114">
                  <c:v>39.118697351411313</c:v>
                </c:pt>
                <c:pt idx="115">
                  <c:v>37.635609205423393</c:v>
                </c:pt>
                <c:pt idx="116">
                  <c:v>35.790682761627018</c:v>
                </c:pt>
                <c:pt idx="117">
                  <c:v>38.737204828488103</c:v>
                </c:pt>
                <c:pt idx="118">
                  <c:v>41.02116144854643</c:v>
                </c:pt>
                <c:pt idx="119">
                  <c:v>52.906348434563924</c:v>
                </c:pt>
                <c:pt idx="120">
                  <c:v>51.571904530369174</c:v>
                </c:pt>
                <c:pt idx="121">
                  <c:v>37.871571359110746</c:v>
                </c:pt>
                <c:pt idx="122">
                  <c:v>35.86147140773322</c:v>
                </c:pt>
                <c:pt idx="123">
                  <c:v>37.358441422319963</c:v>
                </c:pt>
                <c:pt idx="124">
                  <c:v>34.307532426695985</c:v>
                </c:pt>
                <c:pt idx="125">
                  <c:v>37.592259728008791</c:v>
                </c:pt>
                <c:pt idx="126">
                  <c:v>44.177677918402637</c:v>
                </c:pt>
                <c:pt idx="127">
                  <c:v>39.853303375520788</c:v>
                </c:pt>
                <c:pt idx="128">
                  <c:v>48.355991012656233</c:v>
                </c:pt>
                <c:pt idx="129">
                  <c:v>35.506797303796873</c:v>
                </c:pt>
                <c:pt idx="130">
                  <c:v>34.452039191139058</c:v>
                </c:pt>
                <c:pt idx="131">
                  <c:v>38.335611757341717</c:v>
                </c:pt>
                <c:pt idx="132">
                  <c:v>36.000683527202511</c:v>
                </c:pt>
                <c:pt idx="133">
                  <c:v>40.200205058160748</c:v>
                </c:pt>
                <c:pt idx="134">
                  <c:v>40.760061517448221</c:v>
                </c:pt>
                <c:pt idx="135">
                  <c:v>41.628018455234468</c:v>
                </c:pt>
                <c:pt idx="136">
                  <c:v>39.088405536570335</c:v>
                </c:pt>
                <c:pt idx="137">
                  <c:v>28.526521660971099</c:v>
                </c:pt>
                <c:pt idx="138">
                  <c:v>32.35795649829133</c:v>
                </c:pt>
                <c:pt idx="139">
                  <c:v>39.807386949487395</c:v>
                </c:pt>
                <c:pt idx="140">
                  <c:v>37.142216084846218</c:v>
                </c:pt>
                <c:pt idx="141">
                  <c:v>49.642664825453863</c:v>
                </c:pt>
                <c:pt idx="142">
                  <c:v>43.592799447636153</c:v>
                </c:pt>
                <c:pt idx="143">
                  <c:v>44.577839834290842</c:v>
                </c:pt>
                <c:pt idx="144">
                  <c:v>42.073351950287254</c:v>
                </c:pt>
                <c:pt idx="145">
                  <c:v>38.522005585086177</c:v>
                </c:pt>
                <c:pt idx="146">
                  <c:v>41.656601675525849</c:v>
                </c:pt>
                <c:pt idx="147">
                  <c:v>39.796980502657753</c:v>
                </c:pt>
                <c:pt idx="148">
                  <c:v>35.039094150797325</c:v>
                </c:pt>
                <c:pt idx="149">
                  <c:v>40.611728245239192</c:v>
                </c:pt>
                <c:pt idx="150">
                  <c:v>40.183518473571759</c:v>
                </c:pt>
                <c:pt idx="151">
                  <c:v>38.655055542071523</c:v>
                </c:pt>
                <c:pt idx="152">
                  <c:v>43.096516662621454</c:v>
                </c:pt>
                <c:pt idx="153">
                  <c:v>45.128954998786433</c:v>
                </c:pt>
                <c:pt idx="154">
                  <c:v>37.338686499635926</c:v>
                </c:pt>
                <c:pt idx="155">
                  <c:v>35.701605949890777</c:v>
                </c:pt>
                <c:pt idx="156">
                  <c:v>44.310481784967223</c:v>
                </c:pt>
                <c:pt idx="157">
                  <c:v>48.99314453549016</c:v>
                </c:pt>
                <c:pt idx="158">
                  <c:v>39.897943360647048</c:v>
                </c:pt>
                <c:pt idx="159">
                  <c:v>35.069383008194109</c:v>
                </c:pt>
                <c:pt idx="160">
                  <c:v>42.72081490245823</c:v>
                </c:pt>
                <c:pt idx="161">
                  <c:v>42.216244470737465</c:v>
                </c:pt>
                <c:pt idx="162">
                  <c:v>46.264873341221232</c:v>
                </c:pt>
                <c:pt idx="163">
                  <c:v>37.679462002366364</c:v>
                </c:pt>
                <c:pt idx="164">
                  <c:v>40.003838600709912</c:v>
                </c:pt>
                <c:pt idx="165">
                  <c:v>36.501151580212976</c:v>
                </c:pt>
                <c:pt idx="166">
                  <c:v>38.950345474063894</c:v>
                </c:pt>
                <c:pt idx="167">
                  <c:v>35.485103642219165</c:v>
                </c:pt>
                <c:pt idx="168">
                  <c:v>31.645531092665749</c:v>
                </c:pt>
                <c:pt idx="169">
                  <c:v>34.693659327799722</c:v>
                </c:pt>
                <c:pt idx="170">
                  <c:v>38.408097798339917</c:v>
                </c:pt>
                <c:pt idx="171">
                  <c:v>38.822429339501973</c:v>
                </c:pt>
                <c:pt idx="172">
                  <c:v>43.146728801850585</c:v>
                </c:pt>
                <c:pt idx="173">
                  <c:v>39.544018640555173</c:v>
                </c:pt>
                <c:pt idx="174">
                  <c:v>44.76320559216655</c:v>
                </c:pt>
                <c:pt idx="175">
                  <c:v>36.52896167764996</c:v>
                </c:pt>
                <c:pt idx="176">
                  <c:v>31.958688503294987</c:v>
                </c:pt>
                <c:pt idx="177">
                  <c:v>38.987606550988495</c:v>
                </c:pt>
                <c:pt idx="178">
                  <c:v>41.796281965296544</c:v>
                </c:pt>
                <c:pt idx="179">
                  <c:v>41.238884589588963</c:v>
                </c:pt>
                <c:pt idx="180">
                  <c:v>41.071665376876688</c:v>
                </c:pt>
                <c:pt idx="181">
                  <c:v>53.621499613063001</c:v>
                </c:pt>
                <c:pt idx="182">
                  <c:v>46.186449883918897</c:v>
                </c:pt>
                <c:pt idx="183">
                  <c:v>45.355934965175663</c:v>
                </c:pt>
                <c:pt idx="184">
                  <c:v>40.206780489552699</c:v>
                </c:pt>
                <c:pt idx="185">
                  <c:v>37.962034146865804</c:v>
                </c:pt>
                <c:pt idx="186">
                  <c:v>42.888610244059734</c:v>
                </c:pt>
                <c:pt idx="187">
                  <c:v>42.266583073217916</c:v>
                </c:pt>
                <c:pt idx="188">
                  <c:v>52.579974921965373</c:v>
                </c:pt>
                <c:pt idx="189">
                  <c:v>47.973992476589608</c:v>
                </c:pt>
                <c:pt idx="190">
                  <c:v>50.092197742976879</c:v>
                </c:pt>
                <c:pt idx="191">
                  <c:v>43.727659322893061</c:v>
                </c:pt>
                <c:pt idx="192">
                  <c:v>46.018297796867913</c:v>
                </c:pt>
                <c:pt idx="193">
                  <c:v>32.005489339060375</c:v>
                </c:pt>
                <c:pt idx="194">
                  <c:v>34.101646801718111</c:v>
                </c:pt>
                <c:pt idx="195">
                  <c:v>41.030494040515428</c:v>
                </c:pt>
                <c:pt idx="196">
                  <c:v>41.009148212154628</c:v>
                </c:pt>
                <c:pt idx="197">
                  <c:v>41.702744463646383</c:v>
                </c:pt>
                <c:pt idx="198">
                  <c:v>37.710823339093913</c:v>
                </c:pt>
                <c:pt idx="199">
                  <c:v>42.813247001728172</c:v>
                </c:pt>
                <c:pt idx="200">
                  <c:v>44.343974100518452</c:v>
                </c:pt>
                <c:pt idx="201">
                  <c:v>44.803192230155531</c:v>
                </c:pt>
                <c:pt idx="202">
                  <c:v>46.340957669046659</c:v>
                </c:pt>
                <c:pt idx="203">
                  <c:v>40.502287300713995</c:v>
                </c:pt>
                <c:pt idx="204">
                  <c:v>41.550686190214194</c:v>
                </c:pt>
                <c:pt idx="205">
                  <c:v>36.965205857064255</c:v>
                </c:pt>
                <c:pt idx="206">
                  <c:v>36.289561757119273</c:v>
                </c:pt>
                <c:pt idx="207">
                  <c:v>38.186868527135779</c:v>
                </c:pt>
                <c:pt idx="208">
                  <c:v>42.956060558140727</c:v>
                </c:pt>
                <c:pt idx="209">
                  <c:v>42.986818167442216</c:v>
                </c:pt>
                <c:pt idx="210">
                  <c:v>45.796045450232661</c:v>
                </c:pt>
                <c:pt idx="211">
                  <c:v>38.938813635069799</c:v>
                </c:pt>
                <c:pt idx="212">
                  <c:v>40.381644090520936</c:v>
                </c:pt>
                <c:pt idx="213">
                  <c:v>47.114493227156281</c:v>
                </c:pt>
                <c:pt idx="214">
                  <c:v>41.434347968146881</c:v>
                </c:pt>
                <c:pt idx="215">
                  <c:v>41.130304390444067</c:v>
                </c:pt>
                <c:pt idx="216">
                  <c:v>44.539091317133213</c:v>
                </c:pt>
                <c:pt idx="217">
                  <c:v>58.161727395139962</c:v>
                </c:pt>
                <c:pt idx="218">
                  <c:v>48.948518218541984</c:v>
                </c:pt>
                <c:pt idx="219">
                  <c:v>38.484555465562593</c:v>
                </c:pt>
                <c:pt idx="220">
                  <c:v>38.145366639668779</c:v>
                </c:pt>
                <c:pt idx="221">
                  <c:v>42.243609991900627</c:v>
                </c:pt>
                <c:pt idx="222">
                  <c:v>46.273082997570185</c:v>
                </c:pt>
                <c:pt idx="223">
                  <c:v>46.081924899271051</c:v>
                </c:pt>
                <c:pt idx="224">
                  <c:v>44.624577469781315</c:v>
                </c:pt>
                <c:pt idx="225">
                  <c:v>39.287373240934393</c:v>
                </c:pt>
                <c:pt idx="226">
                  <c:v>39.086211972280317</c:v>
                </c:pt>
                <c:pt idx="227">
                  <c:v>42.525863591684093</c:v>
                </c:pt>
                <c:pt idx="228">
                  <c:v>44.257759077505227</c:v>
                </c:pt>
                <c:pt idx="229">
                  <c:v>36.377327723251568</c:v>
                </c:pt>
                <c:pt idx="230">
                  <c:v>41.713198316975465</c:v>
                </c:pt>
                <c:pt idx="231">
                  <c:v>39.113959495092637</c:v>
                </c:pt>
                <c:pt idx="232">
                  <c:v>43.934187848527785</c:v>
                </c:pt>
                <c:pt idx="233">
                  <c:v>45.380256354558327</c:v>
                </c:pt>
                <c:pt idx="234">
                  <c:v>41.614076906367501</c:v>
                </c:pt>
                <c:pt idx="235">
                  <c:v>39.784223071910247</c:v>
                </c:pt>
                <c:pt idx="236">
                  <c:v>42.735266921573071</c:v>
                </c:pt>
                <c:pt idx="237">
                  <c:v>46.420580076471914</c:v>
                </c:pt>
                <c:pt idx="238">
                  <c:v>48.926174022941574</c:v>
                </c:pt>
                <c:pt idx="239">
                  <c:v>43.377852206882473</c:v>
                </c:pt>
                <c:pt idx="240">
                  <c:v>42.413355662064738</c:v>
                </c:pt>
                <c:pt idx="241">
                  <c:v>48.424006698619415</c:v>
                </c:pt>
                <c:pt idx="242">
                  <c:v>43.227202009585824</c:v>
                </c:pt>
                <c:pt idx="243">
                  <c:v>43.768160602875746</c:v>
                </c:pt>
                <c:pt idx="244">
                  <c:v>39.730448180862723</c:v>
                </c:pt>
                <c:pt idx="245">
                  <c:v>59.519134454258811</c:v>
                </c:pt>
                <c:pt idx="246">
                  <c:v>45.855740336277641</c:v>
                </c:pt>
                <c:pt idx="247">
                  <c:v>43.156722100883293</c:v>
                </c:pt>
                <c:pt idx="248">
                  <c:v>48.647016630264986</c:v>
                </c:pt>
                <c:pt idx="249">
                  <c:v>45.394104989079494</c:v>
                </c:pt>
                <c:pt idx="250">
                  <c:v>45.118231496723844</c:v>
                </c:pt>
                <c:pt idx="251">
                  <c:v>38.735469449017152</c:v>
                </c:pt>
                <c:pt idx="252">
                  <c:v>51.520640834705148</c:v>
                </c:pt>
                <c:pt idx="253">
                  <c:v>46.256192250411544</c:v>
                </c:pt>
                <c:pt idx="254">
                  <c:v>43.276857675123459</c:v>
                </c:pt>
                <c:pt idx="255">
                  <c:v>50.083057302537028</c:v>
                </c:pt>
                <c:pt idx="256">
                  <c:v>44.424917190761107</c:v>
                </c:pt>
                <c:pt idx="257">
                  <c:v>37.127475157228332</c:v>
                </c:pt>
                <c:pt idx="258">
                  <c:v>39.138242547168502</c:v>
                </c:pt>
                <c:pt idx="259">
                  <c:v>50.941472764150546</c:v>
                </c:pt>
                <c:pt idx="260">
                  <c:v>46.082441829245163</c:v>
                </c:pt>
                <c:pt idx="261">
                  <c:v>50.924732548773541</c:v>
                </c:pt>
                <c:pt idx="262">
                  <c:v>53.777419764632057</c:v>
                </c:pt>
                <c:pt idx="263">
                  <c:v>43.433225929389614</c:v>
                </c:pt>
                <c:pt idx="264">
                  <c:v>54.329967778816879</c:v>
                </c:pt>
                <c:pt idx="265">
                  <c:v>54.798990333645065</c:v>
                </c:pt>
                <c:pt idx="266">
                  <c:v>67.53969710009352</c:v>
                </c:pt>
                <c:pt idx="267">
                  <c:v>58.761909130028059</c:v>
                </c:pt>
                <c:pt idx="268">
                  <c:v>48.428572739008416</c:v>
                </c:pt>
                <c:pt idx="269">
                  <c:v>44.628571821702522</c:v>
                </c:pt>
                <c:pt idx="270">
                  <c:v>41.388571546510754</c:v>
                </c:pt>
                <c:pt idx="271">
                  <c:v>45.316571463953224</c:v>
                </c:pt>
                <c:pt idx="272">
                  <c:v>49.294971439185964</c:v>
                </c:pt>
                <c:pt idx="273">
                  <c:v>53.988491431755783</c:v>
                </c:pt>
                <c:pt idx="274">
                  <c:v>50.496547429526728</c:v>
                </c:pt>
                <c:pt idx="275">
                  <c:v>52.948964228858017</c:v>
                </c:pt>
                <c:pt idx="276">
                  <c:v>55.084689268657399</c:v>
                </c:pt>
                <c:pt idx="277">
                  <c:v>49.425406780597214</c:v>
                </c:pt>
                <c:pt idx="278">
                  <c:v>45.627622034179161</c:v>
                </c:pt>
                <c:pt idx="279">
                  <c:v>43.788286610253749</c:v>
                </c:pt>
                <c:pt idx="280">
                  <c:v>42.536485983076119</c:v>
                </c:pt>
                <c:pt idx="281">
                  <c:v>44.260945794922833</c:v>
                </c:pt>
                <c:pt idx="282">
                  <c:v>48.278283738476851</c:v>
                </c:pt>
                <c:pt idx="283">
                  <c:v>48.083485121543049</c:v>
                </c:pt>
                <c:pt idx="284">
                  <c:v>44.525045536462912</c:v>
                </c:pt>
                <c:pt idx="285">
                  <c:v>41.357513660938871</c:v>
                </c:pt>
                <c:pt idx="286">
                  <c:v>53.707254098281659</c:v>
                </c:pt>
                <c:pt idx="287">
                  <c:v>44.812176229484493</c:v>
                </c:pt>
                <c:pt idx="288">
                  <c:v>42.843652868845346</c:v>
                </c:pt>
                <c:pt idx="289">
                  <c:v>48.553095860653599</c:v>
                </c:pt>
                <c:pt idx="290">
                  <c:v>48.865928758196077</c:v>
                </c:pt>
                <c:pt idx="291">
                  <c:v>46.15977862745882</c:v>
                </c:pt>
                <c:pt idx="292">
                  <c:v>43.947933588237646</c:v>
                </c:pt>
                <c:pt idx="293">
                  <c:v>42.584380076471291</c:v>
                </c:pt>
                <c:pt idx="294">
                  <c:v>39.375314022941382</c:v>
                </c:pt>
                <c:pt idx="295">
                  <c:v>44.712594206882414</c:v>
                </c:pt>
                <c:pt idx="296">
                  <c:v>40.013778262064719</c:v>
                </c:pt>
                <c:pt idx="297">
                  <c:v>37.204133478619411</c:v>
                </c:pt>
                <c:pt idx="298">
                  <c:v>40.561240043585819</c:v>
                </c:pt>
                <c:pt idx="299">
                  <c:v>36.668372013075746</c:v>
                </c:pt>
                <c:pt idx="300">
                  <c:v>30.600511603922719</c:v>
                </c:pt>
                <c:pt idx="301">
                  <c:v>39.980153481176814</c:v>
                </c:pt>
                <c:pt idx="302">
                  <c:v>37.194046044353044</c:v>
                </c:pt>
                <c:pt idx="303">
                  <c:v>42.658213813305906</c:v>
                </c:pt>
                <c:pt idx="304">
                  <c:v>44.997464143991763</c:v>
                </c:pt>
                <c:pt idx="305">
                  <c:v>47.099239243197523</c:v>
                </c:pt>
                <c:pt idx="306">
                  <c:v>48.429771772959256</c:v>
                </c:pt>
                <c:pt idx="307">
                  <c:v>44.628931531887773</c:v>
                </c:pt>
                <c:pt idx="308">
                  <c:v>42.788679459566332</c:v>
                </c:pt>
                <c:pt idx="309">
                  <c:v>54.136603837869899</c:v>
                </c:pt>
                <c:pt idx="310">
                  <c:v>47.74098115136097</c:v>
                </c:pt>
                <c:pt idx="311">
                  <c:v>50.722294345408287</c:v>
                </c:pt>
                <c:pt idx="312">
                  <c:v>47.416688303622479</c:v>
                </c:pt>
                <c:pt idx="313">
                  <c:v>43.625006491086744</c:v>
                </c:pt>
                <c:pt idx="314">
                  <c:v>41.087501947326025</c:v>
                </c:pt>
                <c:pt idx="315">
                  <c:v>40.326250584197808</c:v>
                </c:pt>
                <c:pt idx="316">
                  <c:v>43.59787517525934</c:v>
                </c:pt>
                <c:pt idx="317">
                  <c:v>37.579362552577805</c:v>
                </c:pt>
                <c:pt idx="318">
                  <c:v>35.773808765773339</c:v>
                </c:pt>
                <c:pt idx="319">
                  <c:v>38.732142629732003</c:v>
                </c:pt>
                <c:pt idx="320">
                  <c:v>38.919642788919596</c:v>
                </c:pt>
                <c:pt idx="321">
                  <c:v>34.775892836675879</c:v>
                </c:pt>
                <c:pt idx="322">
                  <c:v>39.832767851002764</c:v>
                </c:pt>
                <c:pt idx="323">
                  <c:v>44.849830355300824</c:v>
                </c:pt>
                <c:pt idx="324">
                  <c:v>49.154949106590244</c:v>
                </c:pt>
                <c:pt idx="325">
                  <c:v>45.546484731977074</c:v>
                </c:pt>
                <c:pt idx="326">
                  <c:v>41.663945419593119</c:v>
                </c:pt>
                <c:pt idx="327">
                  <c:v>52.399183625877932</c:v>
                </c:pt>
                <c:pt idx="328">
                  <c:v>50.019755087763372</c:v>
                </c:pt>
                <c:pt idx="329">
                  <c:v>46.505926526329006</c:v>
                </c:pt>
                <c:pt idx="330">
                  <c:v>48.251777957898696</c:v>
                </c:pt>
                <c:pt idx="331">
                  <c:v>50.175533387369605</c:v>
                </c:pt>
                <c:pt idx="332">
                  <c:v>47.252660016210875</c:v>
                </c:pt>
                <c:pt idx="333">
                  <c:v>44.975798004863258</c:v>
                </c:pt>
                <c:pt idx="334">
                  <c:v>49.892739401458975</c:v>
                </c:pt>
                <c:pt idx="335">
                  <c:v>46.467821820437692</c:v>
                </c:pt>
                <c:pt idx="336">
                  <c:v>36.340346546131308</c:v>
                </c:pt>
                <c:pt idx="337">
                  <c:v>43.10210396383939</c:v>
                </c:pt>
                <c:pt idx="338">
                  <c:v>41.630631189151813</c:v>
                </c:pt>
                <c:pt idx="339">
                  <c:v>36.289189356745538</c:v>
                </c:pt>
                <c:pt idx="340">
                  <c:v>33.98675680702366</c:v>
                </c:pt>
                <c:pt idx="341">
                  <c:v>35.396027042107093</c:v>
                </c:pt>
                <c:pt idx="342">
                  <c:v>44.918808112632121</c:v>
                </c:pt>
                <c:pt idx="343">
                  <c:v>43.575642433789632</c:v>
                </c:pt>
                <c:pt idx="344">
                  <c:v>43.172692730136887</c:v>
                </c:pt>
                <c:pt idx="345">
                  <c:v>36.751807819041062</c:v>
                </c:pt>
                <c:pt idx="346">
                  <c:v>38.325542345712314</c:v>
                </c:pt>
                <c:pt idx="347">
                  <c:v>35.997662703713694</c:v>
                </c:pt>
                <c:pt idx="348">
                  <c:v>47.199298811114105</c:v>
                </c:pt>
                <c:pt idx="349">
                  <c:v>47.059789643334227</c:v>
                </c:pt>
                <c:pt idx="350">
                  <c:v>50.517936893000268</c:v>
                </c:pt>
                <c:pt idx="351">
                  <c:v>42.455381067900078</c:v>
                </c:pt>
                <c:pt idx="352">
                  <c:v>40.736614320370023</c:v>
                </c:pt>
                <c:pt idx="353">
                  <c:v>41.620984296111004</c:v>
                </c:pt>
                <c:pt idx="354">
                  <c:v>41.886295288833296</c:v>
                </c:pt>
                <c:pt idx="355">
                  <c:v>49.665888586649984</c:v>
                </c:pt>
                <c:pt idx="356">
                  <c:v>42.199766575994992</c:v>
                </c:pt>
                <c:pt idx="357">
                  <c:v>40.659929972798494</c:v>
                </c:pt>
                <c:pt idx="358">
                  <c:v>38.797978991839543</c:v>
                </c:pt>
                <c:pt idx="359">
                  <c:v>42.439393697551857</c:v>
                </c:pt>
                <c:pt idx="360">
                  <c:v>36.531818109265558</c:v>
                </c:pt>
                <c:pt idx="361">
                  <c:v>36.859545432779669</c:v>
                </c:pt>
                <c:pt idx="362">
                  <c:v>47.457863629833895</c:v>
                </c:pt>
                <c:pt idx="363">
                  <c:v>47.837359088950166</c:v>
                </c:pt>
                <c:pt idx="364">
                  <c:v>52.851207726685047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8-4E47-B7A7-600A0D2BD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052783"/>
        <c:axId val="402052303"/>
      </c:lineChart>
      <c:catAx>
        <c:axId val="40205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402052303"/>
        <c:crosses val="autoZero"/>
        <c:auto val="1"/>
        <c:lblAlgn val="ctr"/>
        <c:lblOffset val="100"/>
        <c:noMultiLvlLbl val="0"/>
      </c:catAx>
      <c:valAx>
        <c:axId val="402052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20527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smoothing_d.7'!$B$2:$B$366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7-4D4A-92E7-1604A83D96FB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smoothing_d.7'!$C$2:$C$366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34.1</c:v>
                </c:pt>
                <c:pt idx="3">
                  <c:v>32.870000000000005</c:v>
                </c:pt>
                <c:pt idx="4">
                  <c:v>32.308999999999997</c:v>
                </c:pt>
                <c:pt idx="5">
                  <c:v>35.816299999999998</c:v>
                </c:pt>
                <c:pt idx="6">
                  <c:v>33.771409999999996</c:v>
                </c:pt>
                <c:pt idx="7">
                  <c:v>37.139986999999991</c:v>
                </c:pt>
                <c:pt idx="8">
                  <c:v>38.897990899999989</c:v>
                </c:pt>
                <c:pt idx="9">
                  <c:v>38.62859362999999</c:v>
                </c:pt>
                <c:pt idx="10">
                  <c:v>35.14001554099999</c:v>
                </c:pt>
                <c:pt idx="11">
                  <c:v>35.998010878699993</c:v>
                </c:pt>
                <c:pt idx="12">
                  <c:v>35.098607615089996</c:v>
                </c:pt>
                <c:pt idx="13">
                  <c:v>41.069025330562994</c:v>
                </c:pt>
                <c:pt idx="14">
                  <c:v>42.84831773139409</c:v>
                </c:pt>
                <c:pt idx="15">
                  <c:v>43.493822411975856</c:v>
                </c:pt>
                <c:pt idx="16">
                  <c:v>41.545675688383099</c:v>
                </c:pt>
                <c:pt idx="17">
                  <c:v>44.081972981868162</c:v>
                </c:pt>
                <c:pt idx="18">
                  <c:v>43.757381087307714</c:v>
                </c:pt>
                <c:pt idx="19">
                  <c:v>42.930166761115395</c:v>
                </c:pt>
                <c:pt idx="20">
                  <c:v>45.651116732780771</c:v>
                </c:pt>
                <c:pt idx="21">
                  <c:v>42.155781712946535</c:v>
                </c:pt>
                <c:pt idx="22">
                  <c:v>45.40904719906257</c:v>
                </c:pt>
                <c:pt idx="23">
                  <c:v>43.486333039343798</c:v>
                </c:pt>
                <c:pt idx="24">
                  <c:v>40.040433127540659</c:v>
                </c:pt>
                <c:pt idx="25">
                  <c:v>39.128303189278462</c:v>
                </c:pt>
                <c:pt idx="26">
                  <c:v>40.289812232494924</c:v>
                </c:pt>
                <c:pt idx="27">
                  <c:v>39.902868562746448</c:v>
                </c:pt>
                <c:pt idx="28">
                  <c:v>38.432007993922511</c:v>
                </c:pt>
                <c:pt idx="29">
                  <c:v>40.102405595745751</c:v>
                </c:pt>
                <c:pt idx="30">
                  <c:v>39.471683917022027</c:v>
                </c:pt>
                <c:pt idx="31">
                  <c:v>34.830178741915418</c:v>
                </c:pt>
                <c:pt idx="32">
                  <c:v>31.281125119340789</c:v>
                </c:pt>
                <c:pt idx="33">
                  <c:v>31.196787583538551</c:v>
                </c:pt>
                <c:pt idx="34">
                  <c:v>35.037751308476984</c:v>
                </c:pt>
                <c:pt idx="35">
                  <c:v>35.926425915933891</c:v>
                </c:pt>
                <c:pt idx="36">
                  <c:v>40.148498141153723</c:v>
                </c:pt>
                <c:pt idx="37">
                  <c:v>39.503948698807605</c:v>
                </c:pt>
                <c:pt idx="38">
                  <c:v>42.952764089165321</c:v>
                </c:pt>
                <c:pt idx="39">
                  <c:v>39.366934862415718</c:v>
                </c:pt>
                <c:pt idx="40">
                  <c:v>36.856854403691003</c:v>
                </c:pt>
                <c:pt idx="41">
                  <c:v>41.099798082583696</c:v>
                </c:pt>
                <c:pt idx="42">
                  <c:v>39.569858657808581</c:v>
                </c:pt>
                <c:pt idx="43">
                  <c:v>41.198901060466007</c:v>
                </c:pt>
                <c:pt idx="44">
                  <c:v>44.139230742326198</c:v>
                </c:pt>
                <c:pt idx="45">
                  <c:v>41.097461519628339</c:v>
                </c:pt>
                <c:pt idx="46">
                  <c:v>44.368223063739833</c:v>
                </c:pt>
                <c:pt idx="47">
                  <c:v>45.157756144617878</c:v>
                </c:pt>
                <c:pt idx="48">
                  <c:v>45.110429301232514</c:v>
                </c:pt>
                <c:pt idx="49">
                  <c:v>45.37730051086276</c:v>
                </c:pt>
                <c:pt idx="50">
                  <c:v>43.464110357603928</c:v>
                </c:pt>
                <c:pt idx="51">
                  <c:v>44.824877250322743</c:v>
                </c:pt>
                <c:pt idx="52">
                  <c:v>42.477414075225916</c:v>
                </c:pt>
                <c:pt idx="53">
                  <c:v>40.23418985265814</c:v>
                </c:pt>
                <c:pt idx="54">
                  <c:v>43.763932896860695</c:v>
                </c:pt>
                <c:pt idx="55">
                  <c:v>43.234753027802483</c:v>
                </c:pt>
                <c:pt idx="56">
                  <c:v>43.76432711946174</c:v>
                </c:pt>
                <c:pt idx="57">
                  <c:v>42.335028983623218</c:v>
                </c:pt>
                <c:pt idx="58">
                  <c:v>40.734520288536253</c:v>
                </c:pt>
                <c:pt idx="59">
                  <c:v>37.514164201975376</c:v>
                </c:pt>
                <c:pt idx="60">
                  <c:v>36.75991494138276</c:v>
                </c:pt>
                <c:pt idx="61">
                  <c:v>34.131940458967932</c:v>
                </c:pt>
                <c:pt idx="62">
                  <c:v>37.392358321277555</c:v>
                </c:pt>
                <c:pt idx="63">
                  <c:v>36.374650824894289</c:v>
                </c:pt>
                <c:pt idx="64">
                  <c:v>36.262255577425996</c:v>
                </c:pt>
                <c:pt idx="65">
                  <c:v>40.383578904198195</c:v>
                </c:pt>
                <c:pt idx="66">
                  <c:v>41.468505232938739</c:v>
                </c:pt>
                <c:pt idx="67">
                  <c:v>40.727953663057114</c:v>
                </c:pt>
                <c:pt idx="68">
                  <c:v>38.109567564139979</c:v>
                </c:pt>
                <c:pt idx="69">
                  <c:v>38.37669729489798</c:v>
                </c:pt>
                <c:pt idx="70">
                  <c:v>40.363688106428583</c:v>
                </c:pt>
                <c:pt idx="71">
                  <c:v>41.154581674500008</c:v>
                </c:pt>
                <c:pt idx="72">
                  <c:v>40.508207172150001</c:v>
                </c:pt>
                <c:pt idx="73">
                  <c:v>37.655745020504995</c:v>
                </c:pt>
                <c:pt idx="74">
                  <c:v>34.459021514353495</c:v>
                </c:pt>
                <c:pt idx="75">
                  <c:v>33.121315060047444</c:v>
                </c:pt>
                <c:pt idx="76">
                  <c:v>35.784920542033205</c:v>
                </c:pt>
                <c:pt idx="77">
                  <c:v>38.84944437942324</c:v>
                </c:pt>
                <c:pt idx="78">
                  <c:v>39.494611065596267</c:v>
                </c:pt>
                <c:pt idx="79">
                  <c:v>38.446227745917383</c:v>
                </c:pt>
                <c:pt idx="80">
                  <c:v>40.412359422142167</c:v>
                </c:pt>
                <c:pt idx="81">
                  <c:v>42.088651595499513</c:v>
                </c:pt>
                <c:pt idx="82">
                  <c:v>42.362056116849658</c:v>
                </c:pt>
                <c:pt idx="83">
                  <c:v>41.053439281794759</c:v>
                </c:pt>
                <c:pt idx="84">
                  <c:v>38.937407497256331</c:v>
                </c:pt>
                <c:pt idx="85">
                  <c:v>37.756185248079433</c:v>
                </c:pt>
                <c:pt idx="86">
                  <c:v>43.229329673655599</c:v>
                </c:pt>
                <c:pt idx="87">
                  <c:v>41.060530771558916</c:v>
                </c:pt>
                <c:pt idx="88">
                  <c:v>38.342371540091236</c:v>
                </c:pt>
                <c:pt idx="89">
                  <c:v>41.839660078063865</c:v>
                </c:pt>
                <c:pt idx="90">
                  <c:v>41.587762054644699</c:v>
                </c:pt>
                <c:pt idx="91">
                  <c:v>40.811433438251285</c:v>
                </c:pt>
                <c:pt idx="92">
                  <c:v>40.868003406775898</c:v>
                </c:pt>
                <c:pt idx="93">
                  <c:v>42.707602384743126</c:v>
                </c:pt>
                <c:pt idx="94">
                  <c:v>40.095321669320185</c:v>
                </c:pt>
                <c:pt idx="95">
                  <c:v>38.866725168524127</c:v>
                </c:pt>
                <c:pt idx="96">
                  <c:v>37.10670761796689</c:v>
                </c:pt>
                <c:pt idx="97">
                  <c:v>36.474695332576822</c:v>
                </c:pt>
                <c:pt idx="98">
                  <c:v>36.932286732803774</c:v>
                </c:pt>
                <c:pt idx="99">
                  <c:v>37.252600712962639</c:v>
                </c:pt>
                <c:pt idx="100">
                  <c:v>36.27682049907385</c:v>
                </c:pt>
                <c:pt idx="101">
                  <c:v>41.293774349351693</c:v>
                </c:pt>
                <c:pt idx="102">
                  <c:v>39.105642044546187</c:v>
                </c:pt>
                <c:pt idx="103">
                  <c:v>37.573949431182328</c:v>
                </c:pt>
                <c:pt idx="104">
                  <c:v>37.701764601827627</c:v>
                </c:pt>
                <c:pt idx="105">
                  <c:v>36.891235221279338</c:v>
                </c:pt>
                <c:pt idx="106">
                  <c:v>35.423864654895532</c:v>
                </c:pt>
                <c:pt idx="107">
                  <c:v>37.39670525842687</c:v>
                </c:pt>
                <c:pt idx="108">
                  <c:v>36.377693680898808</c:v>
                </c:pt>
                <c:pt idx="109">
                  <c:v>39.264385576629167</c:v>
                </c:pt>
                <c:pt idx="110">
                  <c:v>36.485069903640415</c:v>
                </c:pt>
                <c:pt idx="111">
                  <c:v>39.33954893254829</c:v>
                </c:pt>
                <c:pt idx="112">
                  <c:v>41.037684252783805</c:v>
                </c:pt>
                <c:pt idx="113">
                  <c:v>44.926378976948662</c:v>
                </c:pt>
                <c:pt idx="114">
                  <c:v>41.648465283864056</c:v>
                </c:pt>
                <c:pt idx="115">
                  <c:v>40.253925698704833</c:v>
                </c:pt>
                <c:pt idx="116">
                  <c:v>38.677747989093376</c:v>
                </c:pt>
                <c:pt idx="117">
                  <c:v>39.074423592365363</c:v>
                </c:pt>
                <c:pt idx="118">
                  <c:v>39.95209651465575</c:v>
                </c:pt>
                <c:pt idx="119">
                  <c:v>45.366467560259025</c:v>
                </c:pt>
                <c:pt idx="120">
                  <c:v>47.056527292181315</c:v>
                </c:pt>
                <c:pt idx="121">
                  <c:v>42.539569104526919</c:v>
                </c:pt>
                <c:pt idx="122">
                  <c:v>40.277698373168846</c:v>
                </c:pt>
                <c:pt idx="123">
                  <c:v>39.594388861218192</c:v>
                </c:pt>
                <c:pt idx="124">
                  <c:v>37.616072202852735</c:v>
                </c:pt>
                <c:pt idx="125">
                  <c:v>38.031250541996911</c:v>
                </c:pt>
                <c:pt idx="126">
                  <c:v>40.721875379397837</c:v>
                </c:pt>
                <c:pt idx="127">
                  <c:v>39.905312765578486</c:v>
                </c:pt>
                <c:pt idx="128">
                  <c:v>43.533718935904936</c:v>
                </c:pt>
                <c:pt idx="129">
                  <c:v>39.473603255133455</c:v>
                </c:pt>
                <c:pt idx="130">
                  <c:v>37.831522278593411</c:v>
                </c:pt>
                <c:pt idx="131">
                  <c:v>38.482065595015385</c:v>
                </c:pt>
                <c:pt idx="132">
                  <c:v>37.437445916510768</c:v>
                </c:pt>
                <c:pt idx="133">
                  <c:v>38.806212141557538</c:v>
                </c:pt>
                <c:pt idx="134">
                  <c:v>39.464348499090271</c:v>
                </c:pt>
                <c:pt idx="135">
                  <c:v>40.22504394936319</c:v>
                </c:pt>
                <c:pt idx="136">
                  <c:v>39.55753076455423</c:v>
                </c:pt>
                <c:pt idx="137">
                  <c:v>34.890271535187964</c:v>
                </c:pt>
                <c:pt idx="138">
                  <c:v>34.623190074631573</c:v>
                </c:pt>
                <c:pt idx="139">
                  <c:v>37.136233052242098</c:v>
                </c:pt>
                <c:pt idx="140">
                  <c:v>36.795363136569463</c:v>
                </c:pt>
                <c:pt idx="141">
                  <c:v>42.256754195598624</c:v>
                </c:pt>
                <c:pt idx="142">
                  <c:v>41.879727936919032</c:v>
                </c:pt>
                <c:pt idx="143">
                  <c:v>42.815809555843316</c:v>
                </c:pt>
                <c:pt idx="144">
                  <c:v>42.271066689090318</c:v>
                </c:pt>
                <c:pt idx="145">
                  <c:v>40.689746682363221</c:v>
                </c:pt>
                <c:pt idx="146">
                  <c:v>41.382822677654254</c:v>
                </c:pt>
                <c:pt idx="147">
                  <c:v>40.667975874357978</c:v>
                </c:pt>
                <c:pt idx="148">
                  <c:v>38.367583112050582</c:v>
                </c:pt>
                <c:pt idx="149">
                  <c:v>39.757308178435409</c:v>
                </c:pt>
                <c:pt idx="150">
                  <c:v>39.830115724904786</c:v>
                </c:pt>
                <c:pt idx="151">
                  <c:v>39.28108100743335</c:v>
                </c:pt>
                <c:pt idx="152">
                  <c:v>40.996756705203339</c:v>
                </c:pt>
                <c:pt idx="153">
                  <c:v>42.497729693642334</c:v>
                </c:pt>
                <c:pt idx="154">
                  <c:v>39.948410785549626</c:v>
                </c:pt>
                <c:pt idx="155">
                  <c:v>38.463887549884738</c:v>
                </c:pt>
                <c:pt idx="156">
                  <c:v>41.324721284919313</c:v>
                </c:pt>
                <c:pt idx="157">
                  <c:v>44.227304899443517</c:v>
                </c:pt>
                <c:pt idx="158">
                  <c:v>41.759113429610458</c:v>
                </c:pt>
                <c:pt idx="159">
                  <c:v>39.131379400727319</c:v>
                </c:pt>
                <c:pt idx="160">
                  <c:v>41.19196558050912</c:v>
                </c:pt>
                <c:pt idx="161">
                  <c:v>41.434375906356379</c:v>
                </c:pt>
                <c:pt idx="162">
                  <c:v>43.404063134449459</c:v>
                </c:pt>
                <c:pt idx="163">
                  <c:v>40.582844194114614</c:v>
                </c:pt>
                <c:pt idx="164">
                  <c:v>40.707990935880225</c:v>
                </c:pt>
                <c:pt idx="165">
                  <c:v>38.995593655116153</c:v>
                </c:pt>
                <c:pt idx="166">
                  <c:v>39.296915558581304</c:v>
                </c:pt>
                <c:pt idx="167">
                  <c:v>37.70784089100691</c:v>
                </c:pt>
                <c:pt idx="168">
                  <c:v>35.395488623704836</c:v>
                </c:pt>
                <c:pt idx="169">
                  <c:v>35.576842036593384</c:v>
                </c:pt>
                <c:pt idx="170">
                  <c:v>36.903789425615372</c:v>
                </c:pt>
                <c:pt idx="171">
                  <c:v>37.532652597930763</c:v>
                </c:pt>
                <c:pt idx="172">
                  <c:v>39.772856818551531</c:v>
                </c:pt>
                <c:pt idx="173">
                  <c:v>39.240999772986072</c:v>
                </c:pt>
                <c:pt idx="174">
                  <c:v>41.56869984109025</c:v>
                </c:pt>
                <c:pt idx="175">
                  <c:v>38.998089888763175</c:v>
                </c:pt>
                <c:pt idx="176">
                  <c:v>36.29866292213422</c:v>
                </c:pt>
                <c:pt idx="177">
                  <c:v>38.00906404549395</c:v>
                </c:pt>
                <c:pt idx="178">
                  <c:v>39.506344831845766</c:v>
                </c:pt>
                <c:pt idx="179">
                  <c:v>39.954441382292032</c:v>
                </c:pt>
                <c:pt idx="180">
                  <c:v>40.268108967604419</c:v>
                </c:pt>
                <c:pt idx="181">
                  <c:v>45.887676277323095</c:v>
                </c:pt>
                <c:pt idx="182">
                  <c:v>45.021373394126165</c:v>
                </c:pt>
                <c:pt idx="183">
                  <c:v>45.014961375888312</c:v>
                </c:pt>
                <c:pt idx="184">
                  <c:v>42.910472963121819</c:v>
                </c:pt>
                <c:pt idx="185">
                  <c:v>41.137331074185269</c:v>
                </c:pt>
                <c:pt idx="186">
                  <c:v>42.296131751929686</c:v>
                </c:pt>
                <c:pt idx="187">
                  <c:v>42.207292226350781</c:v>
                </c:pt>
                <c:pt idx="188">
                  <c:v>46.645104558445539</c:v>
                </c:pt>
                <c:pt idx="189">
                  <c:v>46.451573190911873</c:v>
                </c:pt>
                <c:pt idx="190">
                  <c:v>47.816101233638307</c:v>
                </c:pt>
                <c:pt idx="191">
                  <c:v>45.77127086354681</c:v>
                </c:pt>
                <c:pt idx="192">
                  <c:v>46.139889604482768</c:v>
                </c:pt>
                <c:pt idx="193">
                  <c:v>40.097922723137934</c:v>
                </c:pt>
                <c:pt idx="194">
                  <c:v>38.568545906196547</c:v>
                </c:pt>
                <c:pt idx="195">
                  <c:v>40.197982134337579</c:v>
                </c:pt>
                <c:pt idx="196">
                  <c:v>40.438587494036305</c:v>
                </c:pt>
                <c:pt idx="197">
                  <c:v>40.907011245825409</c:v>
                </c:pt>
                <c:pt idx="198">
                  <c:v>39.43490787207778</c:v>
                </c:pt>
                <c:pt idx="199">
                  <c:v>41.104435510454444</c:v>
                </c:pt>
                <c:pt idx="200">
                  <c:v>42.27310485731811</c:v>
                </c:pt>
                <c:pt idx="201">
                  <c:v>43.091173400122671</c:v>
                </c:pt>
                <c:pt idx="202">
                  <c:v>44.263821380085865</c:v>
                </c:pt>
                <c:pt idx="203">
                  <c:v>42.384674966060103</c:v>
                </c:pt>
                <c:pt idx="204">
                  <c:v>42.269272476242072</c:v>
                </c:pt>
                <c:pt idx="205">
                  <c:v>40.088490733369447</c:v>
                </c:pt>
                <c:pt idx="206">
                  <c:v>38.861943513358611</c:v>
                </c:pt>
                <c:pt idx="207">
                  <c:v>38.90336045935102</c:v>
                </c:pt>
                <c:pt idx="208">
                  <c:v>40.732352321545712</c:v>
                </c:pt>
                <c:pt idx="209">
                  <c:v>41.412646625081997</c:v>
                </c:pt>
                <c:pt idx="210">
                  <c:v>43.088852637557395</c:v>
                </c:pt>
                <c:pt idx="211">
                  <c:v>40.962196846290176</c:v>
                </c:pt>
                <c:pt idx="212">
                  <c:v>40.973537792403121</c:v>
                </c:pt>
                <c:pt idx="213">
                  <c:v>43.681476454682183</c:v>
                </c:pt>
                <c:pt idx="214">
                  <c:v>42.277033518277527</c:v>
                </c:pt>
                <c:pt idx="215">
                  <c:v>41.893923462794262</c:v>
                </c:pt>
                <c:pt idx="216">
                  <c:v>43.125746423955981</c:v>
                </c:pt>
                <c:pt idx="217">
                  <c:v>49.388022496769182</c:v>
                </c:pt>
                <c:pt idx="218">
                  <c:v>48.071615747738427</c:v>
                </c:pt>
                <c:pt idx="219">
                  <c:v>43.850131023416893</c:v>
                </c:pt>
                <c:pt idx="220">
                  <c:v>42.095091716391821</c:v>
                </c:pt>
                <c:pt idx="221">
                  <c:v>42.666564201474273</c:v>
                </c:pt>
                <c:pt idx="222">
                  <c:v>44.266594941031983</c:v>
                </c:pt>
                <c:pt idx="223">
                  <c:v>44.786616458722385</c:v>
                </c:pt>
                <c:pt idx="224">
                  <c:v>44.550631521105672</c:v>
                </c:pt>
                <c:pt idx="225">
                  <c:v>42.285442064773967</c:v>
                </c:pt>
                <c:pt idx="226">
                  <c:v>41.299809445341779</c:v>
                </c:pt>
                <c:pt idx="227">
                  <c:v>42.109866611739243</c:v>
                </c:pt>
                <c:pt idx="228">
                  <c:v>42.976906628217463</c:v>
                </c:pt>
                <c:pt idx="229">
                  <c:v>39.983834639752224</c:v>
                </c:pt>
                <c:pt idx="230">
                  <c:v>41.188684247826558</c:v>
                </c:pt>
                <c:pt idx="231">
                  <c:v>40.232078973478586</c:v>
                </c:pt>
                <c:pt idx="232">
                  <c:v>41.962455281435005</c:v>
                </c:pt>
                <c:pt idx="233">
                  <c:v>43.173718697004503</c:v>
                </c:pt>
                <c:pt idx="234">
                  <c:v>42.221603087903148</c:v>
                </c:pt>
                <c:pt idx="235">
                  <c:v>41.255122161532199</c:v>
                </c:pt>
                <c:pt idx="236">
                  <c:v>42.078585513072539</c:v>
                </c:pt>
                <c:pt idx="237">
                  <c:v>43.855009859150769</c:v>
                </c:pt>
                <c:pt idx="238">
                  <c:v>45.698506901405537</c:v>
                </c:pt>
                <c:pt idx="239">
                  <c:v>44.288954830983876</c:v>
                </c:pt>
                <c:pt idx="240">
                  <c:v>43.60226838168871</c:v>
                </c:pt>
                <c:pt idx="241">
                  <c:v>45.821587867182096</c:v>
                </c:pt>
                <c:pt idx="242">
                  <c:v>44.375111507027462</c:v>
                </c:pt>
                <c:pt idx="243">
                  <c:v>44.262578054919217</c:v>
                </c:pt>
                <c:pt idx="244">
                  <c:v>42.383804638443451</c:v>
                </c:pt>
                <c:pt idx="245">
                  <c:v>50.068663246910411</c:v>
                </c:pt>
                <c:pt idx="246">
                  <c:v>47.048064272837287</c:v>
                </c:pt>
                <c:pt idx="247">
                  <c:v>45.533644990986097</c:v>
                </c:pt>
                <c:pt idx="248">
                  <c:v>47.173551493690262</c:v>
                </c:pt>
                <c:pt idx="249">
                  <c:v>46.221486045583177</c:v>
                </c:pt>
                <c:pt idx="250">
                  <c:v>45.85504023190822</c:v>
                </c:pt>
                <c:pt idx="251">
                  <c:v>42.898528162335751</c:v>
                </c:pt>
                <c:pt idx="252">
                  <c:v>47.128969713635023</c:v>
                </c:pt>
                <c:pt idx="253">
                  <c:v>46.190278799544515</c:v>
                </c:pt>
                <c:pt idx="254">
                  <c:v>44.933195159681162</c:v>
                </c:pt>
                <c:pt idx="255">
                  <c:v>47.353236611776808</c:v>
                </c:pt>
                <c:pt idx="256">
                  <c:v>45.747265628243767</c:v>
                </c:pt>
                <c:pt idx="257">
                  <c:v>42.223085939770641</c:v>
                </c:pt>
                <c:pt idx="258">
                  <c:v>41.556160157839443</c:v>
                </c:pt>
                <c:pt idx="259">
                  <c:v>45.889312110487609</c:v>
                </c:pt>
                <c:pt idx="260">
                  <c:v>45.322518477341319</c:v>
                </c:pt>
                <c:pt idx="261">
                  <c:v>47.625762934138919</c:v>
                </c:pt>
                <c:pt idx="262">
                  <c:v>49.838034053897239</c:v>
                </c:pt>
                <c:pt idx="263">
                  <c:v>46.586623837728069</c:v>
                </c:pt>
                <c:pt idx="264">
                  <c:v>50.310636686409651</c:v>
                </c:pt>
                <c:pt idx="265">
                  <c:v>51.717445680486755</c:v>
                </c:pt>
                <c:pt idx="266">
                  <c:v>58.102211976340726</c:v>
                </c:pt>
                <c:pt idx="267">
                  <c:v>57.171548383438505</c:v>
                </c:pt>
                <c:pt idx="268">
                  <c:v>53.220083868406945</c:v>
                </c:pt>
                <c:pt idx="269">
                  <c:v>50.154058707884857</c:v>
                </c:pt>
                <c:pt idx="270">
                  <c:v>47.107841095519397</c:v>
                </c:pt>
                <c:pt idx="271">
                  <c:v>47.075488766863579</c:v>
                </c:pt>
                <c:pt idx="272">
                  <c:v>48.252842136804503</c:v>
                </c:pt>
                <c:pt idx="273">
                  <c:v>50.576989495763144</c:v>
                </c:pt>
                <c:pt idx="274">
                  <c:v>50.103892647034201</c:v>
                </c:pt>
                <c:pt idx="275">
                  <c:v>51.272724852923943</c:v>
                </c:pt>
                <c:pt idx="276">
                  <c:v>52.690907397046757</c:v>
                </c:pt>
                <c:pt idx="277">
                  <c:v>50.983635177932726</c:v>
                </c:pt>
                <c:pt idx="278">
                  <c:v>48.888544624552907</c:v>
                </c:pt>
                <c:pt idx="279">
                  <c:v>47.121981237187029</c:v>
                </c:pt>
                <c:pt idx="280">
                  <c:v>45.585386866030923</c:v>
                </c:pt>
                <c:pt idx="281">
                  <c:v>45.409770806221644</c:v>
                </c:pt>
                <c:pt idx="282">
                  <c:v>46.786839564355148</c:v>
                </c:pt>
                <c:pt idx="283">
                  <c:v>47.150787695048599</c:v>
                </c:pt>
                <c:pt idx="284">
                  <c:v>45.905551386534015</c:v>
                </c:pt>
                <c:pt idx="285">
                  <c:v>44.133885970573807</c:v>
                </c:pt>
                <c:pt idx="286">
                  <c:v>48.593720179401657</c:v>
                </c:pt>
                <c:pt idx="287">
                  <c:v>46.315604125581153</c:v>
                </c:pt>
                <c:pt idx="288">
                  <c:v>45.020922887906806</c:v>
                </c:pt>
                <c:pt idx="289">
                  <c:v>46.814646021534763</c:v>
                </c:pt>
                <c:pt idx="290">
                  <c:v>47.470252215074325</c:v>
                </c:pt>
                <c:pt idx="291">
                  <c:v>46.729176550552026</c:v>
                </c:pt>
                <c:pt idx="292">
                  <c:v>45.610423585386414</c:v>
                </c:pt>
                <c:pt idx="293">
                  <c:v>44.527296509770487</c:v>
                </c:pt>
                <c:pt idx="294">
                  <c:v>42.569107556839342</c:v>
                </c:pt>
                <c:pt idx="295">
                  <c:v>43.898375289787538</c:v>
                </c:pt>
                <c:pt idx="296">
                  <c:v>42.128862702851272</c:v>
                </c:pt>
                <c:pt idx="297">
                  <c:v>40.290203891995887</c:v>
                </c:pt>
                <c:pt idx="298">
                  <c:v>40.803142724397119</c:v>
                </c:pt>
                <c:pt idx="299">
                  <c:v>39.062199907077982</c:v>
                </c:pt>
                <c:pt idx="300">
                  <c:v>35.743539934954583</c:v>
                </c:pt>
                <c:pt idx="301">
                  <c:v>38.220477954468208</c:v>
                </c:pt>
                <c:pt idx="302">
                  <c:v>37.554334568127743</c:v>
                </c:pt>
                <c:pt idx="303">
                  <c:v>39.78803419768942</c:v>
                </c:pt>
                <c:pt idx="304">
                  <c:v>41.651623938382592</c:v>
                </c:pt>
                <c:pt idx="305">
                  <c:v>43.556136756867815</c:v>
                </c:pt>
                <c:pt idx="306">
                  <c:v>45.189295729807469</c:v>
                </c:pt>
                <c:pt idx="307">
                  <c:v>44.532507010865224</c:v>
                </c:pt>
                <c:pt idx="308">
                  <c:v>43.772754907605652</c:v>
                </c:pt>
                <c:pt idx="309">
                  <c:v>48.340928435323953</c:v>
                </c:pt>
                <c:pt idx="310">
                  <c:v>47.338649904726765</c:v>
                </c:pt>
                <c:pt idx="311">
                  <c:v>48.737054933308734</c:v>
                </c:pt>
                <c:pt idx="312">
                  <c:v>47.915938453316109</c:v>
                </c:pt>
                <c:pt idx="313">
                  <c:v>46.141156917321275</c:v>
                </c:pt>
                <c:pt idx="314">
                  <c:v>44.298809842124889</c:v>
                </c:pt>
                <c:pt idx="315">
                  <c:v>43.009166889487418</c:v>
                </c:pt>
                <c:pt idx="316">
                  <c:v>43.606416822641194</c:v>
                </c:pt>
                <c:pt idx="317">
                  <c:v>41.02449177584883</c:v>
                </c:pt>
                <c:pt idx="318">
                  <c:v>39.217144243094182</c:v>
                </c:pt>
                <c:pt idx="319">
                  <c:v>39.452000970165926</c:v>
                </c:pt>
                <c:pt idx="320">
                  <c:v>39.316400679116143</c:v>
                </c:pt>
                <c:pt idx="321">
                  <c:v>37.421480475381301</c:v>
                </c:pt>
                <c:pt idx="322">
                  <c:v>38.795036332766912</c:v>
                </c:pt>
                <c:pt idx="323">
                  <c:v>41.25652543293684</c:v>
                </c:pt>
                <c:pt idx="324">
                  <c:v>44.179567803055782</c:v>
                </c:pt>
                <c:pt idx="325">
                  <c:v>44.125697462139044</c:v>
                </c:pt>
                <c:pt idx="326">
                  <c:v>42.887988223497331</c:v>
                </c:pt>
                <c:pt idx="327">
                  <c:v>47.121591756448126</c:v>
                </c:pt>
                <c:pt idx="328">
                  <c:v>47.685114229513687</c:v>
                </c:pt>
                <c:pt idx="329">
                  <c:v>46.879579960659576</c:v>
                </c:pt>
                <c:pt idx="330">
                  <c:v>47.515705972461703</c:v>
                </c:pt>
                <c:pt idx="331">
                  <c:v>48.560994180723185</c:v>
                </c:pt>
                <c:pt idx="332">
                  <c:v>47.792695926506227</c:v>
                </c:pt>
                <c:pt idx="333">
                  <c:v>46.654887148554351</c:v>
                </c:pt>
                <c:pt idx="334">
                  <c:v>48.258421003988047</c:v>
                </c:pt>
                <c:pt idx="335">
                  <c:v>47.280894702791628</c:v>
                </c:pt>
                <c:pt idx="336">
                  <c:v>42.696626291954139</c:v>
                </c:pt>
                <c:pt idx="337">
                  <c:v>43.687638404367895</c:v>
                </c:pt>
                <c:pt idx="338">
                  <c:v>42.881346883057525</c:v>
                </c:pt>
                <c:pt idx="339">
                  <c:v>40.216942818140268</c:v>
                </c:pt>
                <c:pt idx="340">
                  <c:v>38.051859972698189</c:v>
                </c:pt>
                <c:pt idx="341">
                  <c:v>37.436301980888729</c:v>
                </c:pt>
                <c:pt idx="342">
                  <c:v>40.905411386622106</c:v>
                </c:pt>
                <c:pt idx="343">
                  <c:v>41.533787970635473</c:v>
                </c:pt>
                <c:pt idx="344">
                  <c:v>41.973651579444827</c:v>
                </c:pt>
                <c:pt idx="345">
                  <c:v>39.581556105611376</c:v>
                </c:pt>
                <c:pt idx="346">
                  <c:v>39.407089273927966</c:v>
                </c:pt>
                <c:pt idx="347">
                  <c:v>38.084962491749579</c:v>
                </c:pt>
                <c:pt idx="348">
                  <c:v>42.259473744224707</c:v>
                </c:pt>
                <c:pt idx="349">
                  <c:v>43.68163162095729</c:v>
                </c:pt>
                <c:pt idx="350">
                  <c:v>46.177142134670099</c:v>
                </c:pt>
                <c:pt idx="351">
                  <c:v>44.023999494269063</c:v>
                </c:pt>
                <c:pt idx="352">
                  <c:v>42.81679964598834</c:v>
                </c:pt>
                <c:pt idx="353">
                  <c:v>42.571759752191838</c:v>
                </c:pt>
                <c:pt idx="354">
                  <c:v>42.400231826534281</c:v>
                </c:pt>
                <c:pt idx="355">
                  <c:v>45.580162278573994</c:v>
                </c:pt>
                <c:pt idx="356">
                  <c:v>43.606113595001794</c:v>
                </c:pt>
                <c:pt idx="357">
                  <c:v>42.524279516501252</c:v>
                </c:pt>
                <c:pt idx="358">
                  <c:v>41.166995661550878</c:v>
                </c:pt>
                <c:pt idx="359">
                  <c:v>42.016896963085614</c:v>
                </c:pt>
                <c:pt idx="360">
                  <c:v>39.611827874159928</c:v>
                </c:pt>
                <c:pt idx="361">
                  <c:v>38.828279511911951</c:v>
                </c:pt>
                <c:pt idx="362">
                  <c:v>42.779795658338365</c:v>
                </c:pt>
                <c:pt idx="363">
                  <c:v>44.345856960836855</c:v>
                </c:pt>
                <c:pt idx="364">
                  <c:v>47.542099872585794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7-4D4A-92E7-1604A83D9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217359"/>
        <c:axId val="222217839"/>
      </c:lineChart>
      <c:catAx>
        <c:axId val="22221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22217839"/>
        <c:crosses val="autoZero"/>
        <c:auto val="1"/>
        <c:lblAlgn val="ctr"/>
        <c:lblOffset val="100"/>
        <c:noMultiLvlLbl val="0"/>
      </c:catAx>
      <c:valAx>
        <c:axId val="222217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22173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smoothing_d.8'!$B$2:$B$366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3-4507-AB6B-85E4E0FB35E8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smoothing_d.8'!$C$2:$C$366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34.4</c:v>
                </c:pt>
                <c:pt idx="3">
                  <c:v>33.519999999999996</c:v>
                </c:pt>
                <c:pt idx="4">
                  <c:v>33.015999999999998</c:v>
                </c:pt>
                <c:pt idx="5">
                  <c:v>35.212800000000001</c:v>
                </c:pt>
                <c:pt idx="6">
                  <c:v>33.970240000000004</c:v>
                </c:pt>
                <c:pt idx="7">
                  <c:v>36.176192</c:v>
                </c:pt>
                <c:pt idx="8">
                  <c:v>37.540953600000002</c:v>
                </c:pt>
                <c:pt idx="9">
                  <c:v>37.632762880000001</c:v>
                </c:pt>
                <c:pt idx="10">
                  <c:v>35.506210304</c:v>
                </c:pt>
                <c:pt idx="11">
                  <c:v>36.004968243200004</c:v>
                </c:pt>
                <c:pt idx="12">
                  <c:v>35.403974594560005</c:v>
                </c:pt>
                <c:pt idx="13">
                  <c:v>39.323179675648007</c:v>
                </c:pt>
                <c:pt idx="14">
                  <c:v>40.858543740518407</c:v>
                </c:pt>
                <c:pt idx="15">
                  <c:v>41.686834992414724</c:v>
                </c:pt>
                <c:pt idx="16">
                  <c:v>40.749467993931781</c:v>
                </c:pt>
                <c:pt idx="17">
                  <c:v>42.599574395145424</c:v>
                </c:pt>
                <c:pt idx="18">
                  <c:v>42.679659516116345</c:v>
                </c:pt>
                <c:pt idx="19">
                  <c:v>42.343727612893083</c:v>
                </c:pt>
                <c:pt idx="20">
                  <c:v>44.274982090314467</c:v>
                </c:pt>
                <c:pt idx="21">
                  <c:v>42.219985672251582</c:v>
                </c:pt>
                <c:pt idx="22">
                  <c:v>44.37598853780127</c:v>
                </c:pt>
                <c:pt idx="23">
                  <c:v>43.300790830241013</c:v>
                </c:pt>
                <c:pt idx="24">
                  <c:v>41.040632664192813</c:v>
                </c:pt>
                <c:pt idx="25">
                  <c:v>40.232506131354249</c:v>
                </c:pt>
                <c:pt idx="26">
                  <c:v>40.786004905083402</c:v>
                </c:pt>
                <c:pt idx="27">
                  <c:v>40.428803924066727</c:v>
                </c:pt>
                <c:pt idx="28">
                  <c:v>39.343043139253382</c:v>
                </c:pt>
                <c:pt idx="29">
                  <c:v>40.274434511402703</c:v>
                </c:pt>
                <c:pt idx="30">
                  <c:v>39.819547609122168</c:v>
                </c:pt>
                <c:pt idx="31">
                  <c:v>36.655638087297731</c:v>
                </c:pt>
                <c:pt idx="32">
                  <c:v>33.924510469838189</c:v>
                </c:pt>
                <c:pt idx="33">
                  <c:v>33.339608375870554</c:v>
                </c:pt>
                <c:pt idx="34">
                  <c:v>35.471686700696445</c:v>
                </c:pt>
                <c:pt idx="35">
                  <c:v>35.977349360557156</c:v>
                </c:pt>
                <c:pt idx="36">
                  <c:v>38.781879488445725</c:v>
                </c:pt>
                <c:pt idx="37">
                  <c:v>38.62550359075658</c:v>
                </c:pt>
                <c:pt idx="38">
                  <c:v>41.100402872605265</c:v>
                </c:pt>
                <c:pt idx="39">
                  <c:v>39.080322298084219</c:v>
                </c:pt>
                <c:pt idx="40">
                  <c:v>37.464257838467375</c:v>
                </c:pt>
                <c:pt idx="41">
                  <c:v>40.1714062707739</c:v>
                </c:pt>
                <c:pt idx="42">
                  <c:v>39.337125016619126</c:v>
                </c:pt>
                <c:pt idx="43">
                  <c:v>40.469700013295302</c:v>
                </c:pt>
                <c:pt idx="44">
                  <c:v>42.575760010636245</c:v>
                </c:pt>
                <c:pt idx="45">
                  <c:v>40.860608008509004</c:v>
                </c:pt>
                <c:pt idx="46">
                  <c:v>43.088486406807206</c:v>
                </c:pt>
                <c:pt idx="47">
                  <c:v>43.870789125445768</c:v>
                </c:pt>
                <c:pt idx="48">
                  <c:v>44.096631300356613</c:v>
                </c:pt>
                <c:pt idx="49">
                  <c:v>44.477305040285295</c:v>
                </c:pt>
                <c:pt idx="50">
                  <c:v>43.381844032228244</c:v>
                </c:pt>
                <c:pt idx="51">
                  <c:v>44.305475225782601</c:v>
                </c:pt>
                <c:pt idx="52">
                  <c:v>42.844380180626082</c:v>
                </c:pt>
                <c:pt idx="53">
                  <c:v>41.275504144500864</c:v>
                </c:pt>
                <c:pt idx="54">
                  <c:v>43.420403315600694</c:v>
                </c:pt>
                <c:pt idx="55">
                  <c:v>43.136322652480558</c:v>
                </c:pt>
                <c:pt idx="56">
                  <c:v>43.509058121984445</c:v>
                </c:pt>
                <c:pt idx="57">
                  <c:v>42.607246497587553</c:v>
                </c:pt>
                <c:pt idx="58">
                  <c:v>41.485797198070046</c:v>
                </c:pt>
                <c:pt idx="59">
                  <c:v>39.188637758456039</c:v>
                </c:pt>
                <c:pt idx="60">
                  <c:v>38.350910206764837</c:v>
                </c:pt>
                <c:pt idx="61">
                  <c:v>36.280728165411873</c:v>
                </c:pt>
                <c:pt idx="62">
                  <c:v>38.024582532329504</c:v>
                </c:pt>
                <c:pt idx="63">
                  <c:v>37.219666025863603</c:v>
                </c:pt>
                <c:pt idx="64">
                  <c:v>36.975732820690887</c:v>
                </c:pt>
                <c:pt idx="65">
                  <c:v>39.580586256552706</c:v>
                </c:pt>
                <c:pt idx="66">
                  <c:v>40.464469005242165</c:v>
                </c:pt>
                <c:pt idx="67">
                  <c:v>40.171575204193729</c:v>
                </c:pt>
                <c:pt idx="68">
                  <c:v>38.537260163354986</c:v>
                </c:pt>
                <c:pt idx="69">
                  <c:v>38.62980813068399</c:v>
                </c:pt>
                <c:pt idx="70">
                  <c:v>39.90384650454719</c:v>
                </c:pt>
                <c:pt idx="71">
                  <c:v>40.523077203637754</c:v>
                </c:pt>
                <c:pt idx="72">
                  <c:v>40.218461762910209</c:v>
                </c:pt>
                <c:pt idx="73">
                  <c:v>38.37476941032817</c:v>
                </c:pt>
                <c:pt idx="74">
                  <c:v>36.099815528262539</c:v>
                </c:pt>
                <c:pt idx="75">
                  <c:v>34.879852422610028</c:v>
                </c:pt>
                <c:pt idx="76">
                  <c:v>36.303881938088026</c:v>
                </c:pt>
                <c:pt idx="77">
                  <c:v>38.243105550470425</c:v>
                </c:pt>
                <c:pt idx="78">
                  <c:v>38.794484440376344</c:v>
                </c:pt>
                <c:pt idx="79">
                  <c:v>38.235587552301077</c:v>
                </c:pt>
                <c:pt idx="80">
                  <c:v>39.588470041840864</c:v>
                </c:pt>
                <c:pt idx="81">
                  <c:v>40.870776033472694</c:v>
                </c:pt>
                <c:pt idx="82">
                  <c:v>41.29662082677816</c:v>
                </c:pt>
                <c:pt idx="83">
                  <c:v>40.637296661422532</c:v>
                </c:pt>
                <c:pt idx="84">
                  <c:v>39.309837329138034</c:v>
                </c:pt>
                <c:pt idx="85">
                  <c:v>38.44786986331043</c:v>
                </c:pt>
                <c:pt idx="86">
                  <c:v>41.958295890648344</c:v>
                </c:pt>
                <c:pt idx="87">
                  <c:v>40.766636712518682</c:v>
                </c:pt>
                <c:pt idx="88">
                  <c:v>39.013309370014944</c:v>
                </c:pt>
                <c:pt idx="89">
                  <c:v>41.210647496011958</c:v>
                </c:pt>
                <c:pt idx="90">
                  <c:v>41.16851799680957</c:v>
                </c:pt>
                <c:pt idx="91">
                  <c:v>40.734814397447664</c:v>
                </c:pt>
                <c:pt idx="92">
                  <c:v>40.787851517958138</c:v>
                </c:pt>
                <c:pt idx="93">
                  <c:v>42.030281214366511</c:v>
                </c:pt>
                <c:pt idx="94">
                  <c:v>40.424224971493217</c:v>
                </c:pt>
                <c:pt idx="95">
                  <c:v>39.539379977194578</c:v>
                </c:pt>
                <c:pt idx="96">
                  <c:v>38.231503981755665</c:v>
                </c:pt>
                <c:pt idx="97">
                  <c:v>37.585203185404538</c:v>
                </c:pt>
                <c:pt idx="98">
                  <c:v>37.668162548323629</c:v>
                </c:pt>
                <c:pt idx="99">
                  <c:v>37.734530038658903</c:v>
                </c:pt>
                <c:pt idx="100">
                  <c:v>36.987624030927122</c:v>
                </c:pt>
                <c:pt idx="101">
                  <c:v>40.190099224741701</c:v>
                </c:pt>
                <c:pt idx="102">
                  <c:v>38.952079379793361</c:v>
                </c:pt>
                <c:pt idx="103">
                  <c:v>37.961663503834686</c:v>
                </c:pt>
                <c:pt idx="104">
                  <c:v>37.969330803067749</c:v>
                </c:pt>
                <c:pt idx="105">
                  <c:v>37.375464642454205</c:v>
                </c:pt>
                <c:pt idx="106">
                  <c:v>36.300371713963365</c:v>
                </c:pt>
                <c:pt idx="107">
                  <c:v>37.440297371170693</c:v>
                </c:pt>
                <c:pt idx="108">
                  <c:v>36.752237896936556</c:v>
                </c:pt>
                <c:pt idx="109">
                  <c:v>38.601790317549245</c:v>
                </c:pt>
                <c:pt idx="110">
                  <c:v>36.881432254039396</c:v>
                </c:pt>
                <c:pt idx="111">
                  <c:v>38.705145803231517</c:v>
                </c:pt>
                <c:pt idx="112">
                  <c:v>39.964116642585211</c:v>
                </c:pt>
                <c:pt idx="113">
                  <c:v>42.771293314068174</c:v>
                </c:pt>
                <c:pt idx="114">
                  <c:v>41.017034651254548</c:v>
                </c:pt>
                <c:pt idx="115">
                  <c:v>40.21362772100364</c:v>
                </c:pt>
                <c:pt idx="116">
                  <c:v>39.170902176802912</c:v>
                </c:pt>
                <c:pt idx="117">
                  <c:v>39.336721741442332</c:v>
                </c:pt>
                <c:pt idx="118">
                  <c:v>39.869377393153869</c:v>
                </c:pt>
                <c:pt idx="119">
                  <c:v>43.495501914523096</c:v>
                </c:pt>
                <c:pt idx="120">
                  <c:v>44.996401531618481</c:v>
                </c:pt>
                <c:pt idx="121">
                  <c:v>42.397121225294782</c:v>
                </c:pt>
                <c:pt idx="122">
                  <c:v>40.917696980235824</c:v>
                </c:pt>
                <c:pt idx="123">
                  <c:v>40.334157584188659</c:v>
                </c:pt>
                <c:pt idx="124">
                  <c:v>38.86732606735093</c:v>
                </c:pt>
                <c:pt idx="125">
                  <c:v>38.893860853880746</c:v>
                </c:pt>
                <c:pt idx="126">
                  <c:v>40.515088683104601</c:v>
                </c:pt>
                <c:pt idx="127">
                  <c:v>40.012070946483682</c:v>
                </c:pt>
                <c:pt idx="128">
                  <c:v>42.409656757186944</c:v>
                </c:pt>
                <c:pt idx="129">
                  <c:v>39.927725405749555</c:v>
                </c:pt>
                <c:pt idx="130">
                  <c:v>38.742180324599644</c:v>
                </c:pt>
                <c:pt idx="131">
                  <c:v>38.993744259679715</c:v>
                </c:pt>
                <c:pt idx="132">
                  <c:v>38.194995407743775</c:v>
                </c:pt>
                <c:pt idx="133">
                  <c:v>38.95599632619502</c:v>
                </c:pt>
                <c:pt idx="134">
                  <c:v>39.364797060956022</c:v>
                </c:pt>
                <c:pt idx="135">
                  <c:v>39.89183764876482</c:v>
                </c:pt>
                <c:pt idx="136">
                  <c:v>39.513470119011856</c:v>
                </c:pt>
                <c:pt idx="137">
                  <c:v>36.410776095209485</c:v>
                </c:pt>
                <c:pt idx="138">
                  <c:v>35.928620876167585</c:v>
                </c:pt>
                <c:pt idx="139">
                  <c:v>37.34289670093407</c:v>
                </c:pt>
                <c:pt idx="140">
                  <c:v>37.074317360747258</c:v>
                </c:pt>
                <c:pt idx="141">
                  <c:v>40.65945388859781</c:v>
                </c:pt>
                <c:pt idx="142">
                  <c:v>40.727563110878251</c:v>
                </c:pt>
                <c:pt idx="143">
                  <c:v>41.582050488702599</c:v>
                </c:pt>
                <c:pt idx="144">
                  <c:v>41.465640390962086</c:v>
                </c:pt>
                <c:pt idx="145">
                  <c:v>40.572512312769668</c:v>
                </c:pt>
                <c:pt idx="146">
                  <c:v>41.05800985021574</c:v>
                </c:pt>
                <c:pt idx="147">
                  <c:v>40.646407880172589</c:v>
                </c:pt>
                <c:pt idx="148">
                  <c:v>39.117126304138075</c:v>
                </c:pt>
                <c:pt idx="149">
                  <c:v>39.893701043310465</c:v>
                </c:pt>
                <c:pt idx="150">
                  <c:v>39.914960834648369</c:v>
                </c:pt>
                <c:pt idx="151">
                  <c:v>39.531968667718694</c:v>
                </c:pt>
                <c:pt idx="152">
                  <c:v>40.625574934174956</c:v>
                </c:pt>
                <c:pt idx="153">
                  <c:v>41.700459947339972</c:v>
                </c:pt>
                <c:pt idx="154">
                  <c:v>40.160367957871983</c:v>
                </c:pt>
                <c:pt idx="155">
                  <c:v>39.128294366297588</c:v>
                </c:pt>
                <c:pt idx="156">
                  <c:v>40.902635493038076</c:v>
                </c:pt>
                <c:pt idx="157">
                  <c:v>42.922108394430467</c:v>
                </c:pt>
                <c:pt idx="158">
                  <c:v>41.537686715544375</c:v>
                </c:pt>
                <c:pt idx="159">
                  <c:v>39.8301493724355</c:v>
                </c:pt>
                <c:pt idx="160">
                  <c:v>41.064119497948404</c:v>
                </c:pt>
                <c:pt idx="161">
                  <c:v>41.251295598358723</c:v>
                </c:pt>
                <c:pt idx="162">
                  <c:v>42.601036478686979</c:v>
                </c:pt>
                <c:pt idx="163">
                  <c:v>40.880829182949583</c:v>
                </c:pt>
                <c:pt idx="164">
                  <c:v>40.904663346359669</c:v>
                </c:pt>
                <c:pt idx="165">
                  <c:v>39.723730677087737</c:v>
                </c:pt>
                <c:pt idx="166">
                  <c:v>39.778984541670191</c:v>
                </c:pt>
                <c:pt idx="167">
                  <c:v>38.623187633336158</c:v>
                </c:pt>
                <c:pt idx="168">
                  <c:v>36.898550106668928</c:v>
                </c:pt>
                <c:pt idx="169">
                  <c:v>36.718840085335145</c:v>
                </c:pt>
                <c:pt idx="170">
                  <c:v>37.375072068268118</c:v>
                </c:pt>
                <c:pt idx="171">
                  <c:v>37.700057654614497</c:v>
                </c:pt>
                <c:pt idx="172">
                  <c:v>39.1600461236916</c:v>
                </c:pt>
                <c:pt idx="173">
                  <c:v>38.92803689895328</c:v>
                </c:pt>
                <c:pt idx="174">
                  <c:v>40.542429519162624</c:v>
                </c:pt>
                <c:pt idx="175">
                  <c:v>39.033943615330102</c:v>
                </c:pt>
                <c:pt idx="176">
                  <c:v>37.227154892264082</c:v>
                </c:pt>
                <c:pt idx="177">
                  <c:v>38.181723913811268</c:v>
                </c:pt>
                <c:pt idx="178">
                  <c:v>39.145379131049019</c:v>
                </c:pt>
                <c:pt idx="179">
                  <c:v>39.516303304839219</c:v>
                </c:pt>
                <c:pt idx="180">
                  <c:v>39.813042643871377</c:v>
                </c:pt>
                <c:pt idx="181">
                  <c:v>43.650434115097099</c:v>
                </c:pt>
                <c:pt idx="182">
                  <c:v>43.52034729207768</c:v>
                </c:pt>
                <c:pt idx="183">
                  <c:v>43.816277833662149</c:v>
                </c:pt>
                <c:pt idx="184">
                  <c:v>42.653022266929725</c:v>
                </c:pt>
                <c:pt idx="185">
                  <c:v>41.522417813543782</c:v>
                </c:pt>
                <c:pt idx="186">
                  <c:v>42.217934250835029</c:v>
                </c:pt>
                <c:pt idx="187">
                  <c:v>42.174347400668026</c:v>
                </c:pt>
                <c:pt idx="188">
                  <c:v>45.139477920534418</c:v>
                </c:pt>
                <c:pt idx="189">
                  <c:v>45.311582336427541</c:v>
                </c:pt>
                <c:pt idx="190">
                  <c:v>46.449265869142039</c:v>
                </c:pt>
                <c:pt idx="191">
                  <c:v>45.359412695313637</c:v>
                </c:pt>
                <c:pt idx="192">
                  <c:v>45.687530156250908</c:v>
                </c:pt>
                <c:pt idx="193">
                  <c:v>41.750024125000728</c:v>
                </c:pt>
                <c:pt idx="194">
                  <c:v>40.400019300000586</c:v>
                </c:pt>
                <c:pt idx="195">
                  <c:v>41.120015440000472</c:v>
                </c:pt>
                <c:pt idx="196">
                  <c:v>41.096012352000379</c:v>
                </c:pt>
                <c:pt idx="197">
                  <c:v>41.2768098816003</c:v>
                </c:pt>
                <c:pt idx="198">
                  <c:v>40.221447905280243</c:v>
                </c:pt>
                <c:pt idx="199">
                  <c:v>41.177158324224195</c:v>
                </c:pt>
                <c:pt idx="200">
                  <c:v>41.941726659379356</c:v>
                </c:pt>
                <c:pt idx="201">
                  <c:v>42.553381327503487</c:v>
                </c:pt>
                <c:pt idx="202">
                  <c:v>43.442705062002787</c:v>
                </c:pt>
                <c:pt idx="203">
                  <c:v>42.354164049602232</c:v>
                </c:pt>
                <c:pt idx="204">
                  <c:v>42.283331239681786</c:v>
                </c:pt>
                <c:pt idx="205">
                  <c:v>40.826664991745432</c:v>
                </c:pt>
                <c:pt idx="206">
                  <c:v>39.861331993396348</c:v>
                </c:pt>
                <c:pt idx="207">
                  <c:v>39.689065594717079</c:v>
                </c:pt>
                <c:pt idx="208">
                  <c:v>40.751252475773668</c:v>
                </c:pt>
                <c:pt idx="209">
                  <c:v>41.20100198061894</c:v>
                </c:pt>
                <c:pt idx="210">
                  <c:v>42.36080158449515</c:v>
                </c:pt>
                <c:pt idx="211">
                  <c:v>41.088641267596124</c:v>
                </c:pt>
                <c:pt idx="212">
                  <c:v>41.070913014076901</c:v>
                </c:pt>
                <c:pt idx="213">
                  <c:v>42.856730411261523</c:v>
                </c:pt>
                <c:pt idx="214">
                  <c:v>42.085384329009216</c:v>
                </c:pt>
                <c:pt idx="215">
                  <c:v>41.86830746320738</c:v>
                </c:pt>
                <c:pt idx="216">
                  <c:v>42.694645970565908</c:v>
                </c:pt>
                <c:pt idx="217">
                  <c:v>46.955716776452732</c:v>
                </c:pt>
                <c:pt idx="218">
                  <c:v>46.564573421162187</c:v>
                </c:pt>
                <c:pt idx="219">
                  <c:v>44.051658736929753</c:v>
                </c:pt>
                <c:pt idx="220">
                  <c:v>42.841326989543802</c:v>
                </c:pt>
                <c:pt idx="221">
                  <c:v>43.073061591635039</c:v>
                </c:pt>
                <c:pt idx="222">
                  <c:v>44.058449273308035</c:v>
                </c:pt>
                <c:pt idx="223">
                  <c:v>44.44675941864643</c:v>
                </c:pt>
                <c:pt idx="224">
                  <c:v>44.357407534917144</c:v>
                </c:pt>
                <c:pt idx="225">
                  <c:v>42.885926027933714</c:v>
                </c:pt>
                <c:pt idx="226">
                  <c:v>42.108740822346974</c:v>
                </c:pt>
                <c:pt idx="227">
                  <c:v>42.486992657877579</c:v>
                </c:pt>
                <c:pt idx="228">
                  <c:v>42.989594126302066</c:v>
                </c:pt>
                <c:pt idx="229">
                  <c:v>40.991675301041653</c:v>
                </c:pt>
                <c:pt idx="230">
                  <c:v>41.593340240833328</c:v>
                </c:pt>
                <c:pt idx="231">
                  <c:v>40.874672192666665</c:v>
                </c:pt>
                <c:pt idx="232">
                  <c:v>41.899737754133334</c:v>
                </c:pt>
                <c:pt idx="233">
                  <c:v>42.719790203306673</c:v>
                </c:pt>
                <c:pt idx="234">
                  <c:v>42.175832162645342</c:v>
                </c:pt>
                <c:pt idx="235">
                  <c:v>41.540665730116274</c:v>
                </c:pt>
                <c:pt idx="236">
                  <c:v>42.032532584093019</c:v>
                </c:pt>
                <c:pt idx="237">
                  <c:v>43.226026067274418</c:v>
                </c:pt>
                <c:pt idx="238">
                  <c:v>44.580820853819539</c:v>
                </c:pt>
                <c:pt idx="239">
                  <c:v>43.864656683055635</c:v>
                </c:pt>
                <c:pt idx="240">
                  <c:v>43.491725346444511</c:v>
                </c:pt>
                <c:pt idx="241">
                  <c:v>44.993380277155616</c:v>
                </c:pt>
                <c:pt idx="242">
                  <c:v>44.1947042217245</c:v>
                </c:pt>
                <c:pt idx="243">
                  <c:v>44.1557633773796</c:v>
                </c:pt>
                <c:pt idx="244">
                  <c:v>42.924610701903681</c:v>
                </c:pt>
                <c:pt idx="245">
                  <c:v>47.939688561522949</c:v>
                </c:pt>
                <c:pt idx="246">
                  <c:v>46.351750849218362</c:v>
                </c:pt>
                <c:pt idx="247">
                  <c:v>45.481400679374687</c:v>
                </c:pt>
                <c:pt idx="248">
                  <c:v>46.585120543499755</c:v>
                </c:pt>
                <c:pt idx="249">
                  <c:v>46.068096434799813</c:v>
                </c:pt>
                <c:pt idx="250">
                  <c:v>45.854477147839852</c:v>
                </c:pt>
                <c:pt idx="251">
                  <c:v>43.883581718271884</c:v>
                </c:pt>
                <c:pt idx="252">
                  <c:v>46.506865374617504</c:v>
                </c:pt>
                <c:pt idx="253">
                  <c:v>46.005492299694012</c:v>
                </c:pt>
                <c:pt idx="254">
                  <c:v>45.204393839755213</c:v>
                </c:pt>
                <c:pt idx="255">
                  <c:v>46.763515071804171</c:v>
                </c:pt>
                <c:pt idx="256">
                  <c:v>45.810812057443336</c:v>
                </c:pt>
                <c:pt idx="257">
                  <c:v>43.448649645954674</c:v>
                </c:pt>
                <c:pt idx="258">
                  <c:v>42.758919716763742</c:v>
                </c:pt>
                <c:pt idx="259">
                  <c:v>45.407135773410999</c:v>
                </c:pt>
                <c:pt idx="260">
                  <c:v>45.125708618728808</c:v>
                </c:pt>
                <c:pt idx="261">
                  <c:v>46.700566894983048</c:v>
                </c:pt>
                <c:pt idx="262">
                  <c:v>48.360453515986443</c:v>
                </c:pt>
                <c:pt idx="263">
                  <c:v>46.488362812789163</c:v>
                </c:pt>
                <c:pt idx="264">
                  <c:v>48.990690250231339</c:v>
                </c:pt>
                <c:pt idx="265">
                  <c:v>50.192552200185077</c:v>
                </c:pt>
                <c:pt idx="266">
                  <c:v>54.754041760148063</c:v>
                </c:pt>
                <c:pt idx="267">
                  <c:v>54.803233408118452</c:v>
                </c:pt>
                <c:pt idx="268">
                  <c:v>52.64258672649477</c:v>
                </c:pt>
                <c:pt idx="269">
                  <c:v>50.71406938119582</c:v>
                </c:pt>
                <c:pt idx="270">
                  <c:v>48.57125550495666</c:v>
                </c:pt>
                <c:pt idx="271">
                  <c:v>48.257004403965333</c:v>
                </c:pt>
                <c:pt idx="272">
                  <c:v>48.805603523172273</c:v>
                </c:pt>
                <c:pt idx="273">
                  <c:v>50.244482818537826</c:v>
                </c:pt>
                <c:pt idx="274">
                  <c:v>49.995586254830258</c:v>
                </c:pt>
                <c:pt idx="275">
                  <c:v>50.796469003864203</c:v>
                </c:pt>
                <c:pt idx="276">
                  <c:v>51.83717520309137</c:v>
                </c:pt>
                <c:pt idx="277">
                  <c:v>50.8697401624731</c:v>
                </c:pt>
                <c:pt idx="278">
                  <c:v>49.495792129978483</c:v>
                </c:pt>
                <c:pt idx="279">
                  <c:v>48.196633703982791</c:v>
                </c:pt>
                <c:pt idx="280">
                  <c:v>46.957306963186234</c:v>
                </c:pt>
                <c:pt idx="281">
                  <c:v>46.565845570548987</c:v>
                </c:pt>
                <c:pt idx="282">
                  <c:v>47.25267645643919</c:v>
                </c:pt>
                <c:pt idx="283">
                  <c:v>47.402141165151356</c:v>
                </c:pt>
                <c:pt idx="284">
                  <c:v>46.52171293212109</c:v>
                </c:pt>
                <c:pt idx="285">
                  <c:v>45.217370345696871</c:v>
                </c:pt>
                <c:pt idx="286">
                  <c:v>47.973896276557497</c:v>
                </c:pt>
                <c:pt idx="287">
                  <c:v>46.579117021246006</c:v>
                </c:pt>
                <c:pt idx="288">
                  <c:v>45.663293616996803</c:v>
                </c:pt>
                <c:pt idx="289">
                  <c:v>46.730634893597447</c:v>
                </c:pt>
                <c:pt idx="290">
                  <c:v>47.184507914877955</c:v>
                </c:pt>
                <c:pt idx="291">
                  <c:v>46.747606331902368</c:v>
                </c:pt>
                <c:pt idx="292">
                  <c:v>45.998085065521899</c:v>
                </c:pt>
                <c:pt idx="293">
                  <c:v>45.198468052417518</c:v>
                </c:pt>
                <c:pt idx="294">
                  <c:v>43.758774441934015</c:v>
                </c:pt>
                <c:pt idx="295">
                  <c:v>44.407019553547215</c:v>
                </c:pt>
                <c:pt idx="296">
                  <c:v>43.125615642837772</c:v>
                </c:pt>
                <c:pt idx="297">
                  <c:v>41.700492514270223</c:v>
                </c:pt>
                <c:pt idx="298">
                  <c:v>41.760394011416182</c:v>
                </c:pt>
                <c:pt idx="299">
                  <c:v>40.408315209132944</c:v>
                </c:pt>
                <c:pt idx="300">
                  <c:v>37.926652167306358</c:v>
                </c:pt>
                <c:pt idx="301">
                  <c:v>39.141321733845089</c:v>
                </c:pt>
                <c:pt idx="302">
                  <c:v>38.513057387076074</c:v>
                </c:pt>
                <c:pt idx="303">
                  <c:v>39.810445909660857</c:v>
                </c:pt>
                <c:pt idx="304">
                  <c:v>41.048356727728688</c:v>
                </c:pt>
                <c:pt idx="305">
                  <c:v>42.438685382182953</c:v>
                </c:pt>
                <c:pt idx="306">
                  <c:v>43.750948305746363</c:v>
                </c:pt>
                <c:pt idx="307">
                  <c:v>43.600758644597093</c:v>
                </c:pt>
                <c:pt idx="308">
                  <c:v>43.280606915677673</c:v>
                </c:pt>
                <c:pt idx="309">
                  <c:v>46.424485532542136</c:v>
                </c:pt>
                <c:pt idx="310">
                  <c:v>46.139588426033711</c:v>
                </c:pt>
                <c:pt idx="311">
                  <c:v>47.311670740826969</c:v>
                </c:pt>
                <c:pt idx="312">
                  <c:v>47.049336592661582</c:v>
                </c:pt>
                <c:pt idx="313">
                  <c:v>46.039469274129267</c:v>
                </c:pt>
                <c:pt idx="314">
                  <c:v>44.831575419303412</c:v>
                </c:pt>
                <c:pt idx="315">
                  <c:v>43.865260335442734</c:v>
                </c:pt>
                <c:pt idx="316">
                  <c:v>44.092208268354192</c:v>
                </c:pt>
                <c:pt idx="317">
                  <c:v>42.273766614683353</c:v>
                </c:pt>
                <c:pt idx="318">
                  <c:v>40.819013291746685</c:v>
                </c:pt>
                <c:pt idx="319">
                  <c:v>40.655210633397353</c:v>
                </c:pt>
                <c:pt idx="320">
                  <c:v>40.324168506717882</c:v>
                </c:pt>
                <c:pt idx="321">
                  <c:v>38.85933480537431</c:v>
                </c:pt>
                <c:pt idx="322">
                  <c:v>39.487467844299452</c:v>
                </c:pt>
                <c:pt idx="323">
                  <c:v>40.989974275439565</c:v>
                </c:pt>
                <c:pt idx="324">
                  <c:v>42.991979420351655</c:v>
                </c:pt>
                <c:pt idx="325">
                  <c:v>43.193583536281324</c:v>
                </c:pt>
                <c:pt idx="326">
                  <c:v>42.554866829025059</c:v>
                </c:pt>
                <c:pt idx="327">
                  <c:v>45.44389346322005</c:v>
                </c:pt>
                <c:pt idx="328">
                  <c:v>46.155114770576048</c:v>
                </c:pt>
                <c:pt idx="329">
                  <c:v>45.924091816460837</c:v>
                </c:pt>
                <c:pt idx="330">
                  <c:v>46.539273453168676</c:v>
                </c:pt>
                <c:pt idx="331">
                  <c:v>47.431418762534946</c:v>
                </c:pt>
                <c:pt idx="332">
                  <c:v>47.145135010027964</c:v>
                </c:pt>
                <c:pt idx="333">
                  <c:v>46.516108008022371</c:v>
                </c:pt>
                <c:pt idx="334">
                  <c:v>47.6128864064179</c:v>
                </c:pt>
                <c:pt idx="335">
                  <c:v>47.090309125134318</c:v>
                </c:pt>
                <c:pt idx="336">
                  <c:v>44.072247300107456</c:v>
                </c:pt>
                <c:pt idx="337">
                  <c:v>44.457797840085966</c:v>
                </c:pt>
                <c:pt idx="338">
                  <c:v>43.766238272068776</c:v>
                </c:pt>
                <c:pt idx="339">
                  <c:v>41.812990617655018</c:v>
                </c:pt>
                <c:pt idx="340">
                  <c:v>40.050392494124019</c:v>
                </c:pt>
                <c:pt idx="341">
                  <c:v>39.240313995299218</c:v>
                </c:pt>
                <c:pt idx="342">
                  <c:v>41.192251196239376</c:v>
                </c:pt>
                <c:pt idx="343">
                  <c:v>41.553800956991502</c:v>
                </c:pt>
                <c:pt idx="344">
                  <c:v>41.843040765593202</c:v>
                </c:pt>
                <c:pt idx="345">
                  <c:v>40.27443261247457</c:v>
                </c:pt>
                <c:pt idx="346">
                  <c:v>40.019546089979656</c:v>
                </c:pt>
                <c:pt idx="347">
                  <c:v>39.015636871983723</c:v>
                </c:pt>
                <c:pt idx="348">
                  <c:v>41.612509497586977</c:v>
                </c:pt>
                <c:pt idx="349">
                  <c:v>42.690007598069585</c:v>
                </c:pt>
                <c:pt idx="350">
                  <c:v>44.552006078455669</c:v>
                </c:pt>
                <c:pt idx="351">
                  <c:v>43.441604862764535</c:v>
                </c:pt>
                <c:pt idx="352">
                  <c:v>42.753283890211627</c:v>
                </c:pt>
                <c:pt idx="353">
                  <c:v>42.602627112169301</c:v>
                </c:pt>
                <c:pt idx="354">
                  <c:v>42.482101689735444</c:v>
                </c:pt>
                <c:pt idx="355">
                  <c:v>44.585681351788359</c:v>
                </c:pt>
                <c:pt idx="356">
                  <c:v>43.46854508143069</c:v>
                </c:pt>
                <c:pt idx="357">
                  <c:v>42.774836065144555</c:v>
                </c:pt>
                <c:pt idx="358">
                  <c:v>41.819868852115647</c:v>
                </c:pt>
                <c:pt idx="359">
                  <c:v>42.255895081692515</c:v>
                </c:pt>
                <c:pt idx="360">
                  <c:v>40.604716065354012</c:v>
                </c:pt>
                <c:pt idx="361">
                  <c:v>39.883772852283208</c:v>
                </c:pt>
                <c:pt idx="362">
                  <c:v>42.307018281826565</c:v>
                </c:pt>
                <c:pt idx="363">
                  <c:v>43.445614625461253</c:v>
                </c:pt>
                <c:pt idx="364">
                  <c:v>45.756491700369004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93-4507-AB6B-85E4E0FB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423423"/>
        <c:axId val="628421023"/>
      </c:lineChart>
      <c:catAx>
        <c:axId val="62842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628421023"/>
        <c:crosses val="autoZero"/>
        <c:auto val="1"/>
        <c:lblAlgn val="ctr"/>
        <c:lblOffset val="100"/>
        <c:noMultiLvlLbl val="0"/>
      </c:catAx>
      <c:valAx>
        <c:axId val="628421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84234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SLR!$D$1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SLR!$A$2:$A$366</c:f>
              <c:strCache>
                <c:ptCount val="365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Jan</c:v>
                </c:pt>
                <c:pt idx="23">
                  <c:v>Jan</c:v>
                </c:pt>
                <c:pt idx="24">
                  <c:v>Jan</c:v>
                </c:pt>
                <c:pt idx="25">
                  <c:v>Jan</c:v>
                </c:pt>
                <c:pt idx="26">
                  <c:v>Jan</c:v>
                </c:pt>
                <c:pt idx="27">
                  <c:v>Jan</c:v>
                </c:pt>
                <c:pt idx="28">
                  <c:v>Jan</c:v>
                </c:pt>
                <c:pt idx="29">
                  <c:v>Jan</c:v>
                </c:pt>
                <c:pt idx="30">
                  <c:v>Jan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Feb</c:v>
                </c:pt>
                <c:pt idx="43">
                  <c:v>Feb</c:v>
                </c:pt>
                <c:pt idx="44">
                  <c:v>Feb</c:v>
                </c:pt>
                <c:pt idx="45">
                  <c:v>Feb</c:v>
                </c:pt>
                <c:pt idx="46">
                  <c:v>Feb</c:v>
                </c:pt>
                <c:pt idx="47">
                  <c:v>Feb</c:v>
                </c:pt>
                <c:pt idx="48">
                  <c:v>Feb</c:v>
                </c:pt>
                <c:pt idx="49">
                  <c:v>Feb</c:v>
                </c:pt>
                <c:pt idx="50">
                  <c:v>Feb</c:v>
                </c:pt>
                <c:pt idx="51">
                  <c:v>Feb</c:v>
                </c:pt>
                <c:pt idx="52">
                  <c:v>Feb</c:v>
                </c:pt>
                <c:pt idx="53">
                  <c:v>Feb</c:v>
                </c:pt>
                <c:pt idx="54">
                  <c:v>Feb</c:v>
                </c:pt>
                <c:pt idx="55">
                  <c:v>Feb</c:v>
                </c:pt>
                <c:pt idx="56">
                  <c:v>Feb</c:v>
                </c:pt>
                <c:pt idx="57">
                  <c:v>Feb</c:v>
                </c:pt>
                <c:pt idx="58">
                  <c:v>Feb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Mar</c:v>
                </c:pt>
                <c:pt idx="66">
                  <c:v>Mar</c:v>
                </c:pt>
                <c:pt idx="67">
                  <c:v>Mar</c:v>
                </c:pt>
                <c:pt idx="68">
                  <c:v>Mar</c:v>
                </c:pt>
                <c:pt idx="69">
                  <c:v>Mar</c:v>
                </c:pt>
                <c:pt idx="70">
                  <c:v>Mar</c:v>
                </c:pt>
                <c:pt idx="71">
                  <c:v>Mar</c:v>
                </c:pt>
                <c:pt idx="72">
                  <c:v>Mar</c:v>
                </c:pt>
                <c:pt idx="73">
                  <c:v>Mar</c:v>
                </c:pt>
                <c:pt idx="74">
                  <c:v>Mar</c:v>
                </c:pt>
                <c:pt idx="75">
                  <c:v>Mar</c:v>
                </c:pt>
                <c:pt idx="76">
                  <c:v>Mar</c:v>
                </c:pt>
                <c:pt idx="77">
                  <c:v>Mar</c:v>
                </c:pt>
                <c:pt idx="78">
                  <c:v>Mar</c:v>
                </c:pt>
                <c:pt idx="79">
                  <c:v>Mar</c:v>
                </c:pt>
                <c:pt idx="80">
                  <c:v>Mar</c:v>
                </c:pt>
                <c:pt idx="81">
                  <c:v>Mar</c:v>
                </c:pt>
                <c:pt idx="82">
                  <c:v>Mar</c:v>
                </c:pt>
                <c:pt idx="83">
                  <c:v>Mar</c:v>
                </c:pt>
                <c:pt idx="84">
                  <c:v>Mar</c:v>
                </c:pt>
                <c:pt idx="85">
                  <c:v>Mar</c:v>
                </c:pt>
                <c:pt idx="86">
                  <c:v>Mar</c:v>
                </c:pt>
                <c:pt idx="87">
                  <c:v>Mar</c:v>
                </c:pt>
                <c:pt idx="88">
                  <c:v>Mar</c:v>
                </c:pt>
                <c:pt idx="89">
                  <c:v>Mar</c:v>
                </c:pt>
                <c:pt idx="90">
                  <c:v>Apr</c:v>
                </c:pt>
                <c:pt idx="91">
                  <c:v>Apr</c:v>
                </c:pt>
                <c:pt idx="92">
                  <c:v>Apr</c:v>
                </c:pt>
                <c:pt idx="93">
                  <c:v>Apr</c:v>
                </c:pt>
                <c:pt idx="94">
                  <c:v>Apr</c:v>
                </c:pt>
                <c:pt idx="95">
                  <c:v>Apr</c:v>
                </c:pt>
                <c:pt idx="96">
                  <c:v>Apr</c:v>
                </c:pt>
                <c:pt idx="97">
                  <c:v>Apr</c:v>
                </c:pt>
                <c:pt idx="98">
                  <c:v>Apr</c:v>
                </c:pt>
                <c:pt idx="99">
                  <c:v>Apr</c:v>
                </c:pt>
                <c:pt idx="100">
                  <c:v>Apr</c:v>
                </c:pt>
                <c:pt idx="101">
                  <c:v>Apr</c:v>
                </c:pt>
                <c:pt idx="102">
                  <c:v>Apr</c:v>
                </c:pt>
                <c:pt idx="103">
                  <c:v>Apr</c:v>
                </c:pt>
                <c:pt idx="104">
                  <c:v>Apr</c:v>
                </c:pt>
                <c:pt idx="105">
                  <c:v>Apr</c:v>
                </c:pt>
                <c:pt idx="106">
                  <c:v>Apr</c:v>
                </c:pt>
                <c:pt idx="107">
                  <c:v>Apr</c:v>
                </c:pt>
                <c:pt idx="108">
                  <c:v>Apr</c:v>
                </c:pt>
                <c:pt idx="109">
                  <c:v>Apr</c:v>
                </c:pt>
                <c:pt idx="110">
                  <c:v>Apr</c:v>
                </c:pt>
                <c:pt idx="111">
                  <c:v>Apr</c:v>
                </c:pt>
                <c:pt idx="112">
                  <c:v>Apr</c:v>
                </c:pt>
                <c:pt idx="113">
                  <c:v>Apr</c:v>
                </c:pt>
                <c:pt idx="114">
                  <c:v>Apr</c:v>
                </c:pt>
                <c:pt idx="115">
                  <c:v>Apr</c:v>
                </c:pt>
                <c:pt idx="116">
                  <c:v>Apr</c:v>
                </c:pt>
                <c:pt idx="117">
                  <c:v>Apr</c:v>
                </c:pt>
                <c:pt idx="118">
                  <c:v>Apr</c:v>
                </c:pt>
                <c:pt idx="119">
                  <c:v>Apr</c:v>
                </c:pt>
                <c:pt idx="120">
                  <c:v>May</c:v>
                </c:pt>
                <c:pt idx="121">
                  <c:v>May</c:v>
                </c:pt>
                <c:pt idx="122">
                  <c:v>May</c:v>
                </c:pt>
                <c:pt idx="123">
                  <c:v>May</c:v>
                </c:pt>
                <c:pt idx="124">
                  <c:v>May</c:v>
                </c:pt>
                <c:pt idx="125">
                  <c:v>May</c:v>
                </c:pt>
                <c:pt idx="126">
                  <c:v>May</c:v>
                </c:pt>
                <c:pt idx="127">
                  <c:v>May</c:v>
                </c:pt>
                <c:pt idx="128">
                  <c:v>May</c:v>
                </c:pt>
                <c:pt idx="129">
                  <c:v>May</c:v>
                </c:pt>
                <c:pt idx="130">
                  <c:v>May</c:v>
                </c:pt>
                <c:pt idx="131">
                  <c:v>May</c:v>
                </c:pt>
                <c:pt idx="132">
                  <c:v>May</c:v>
                </c:pt>
                <c:pt idx="133">
                  <c:v>May</c:v>
                </c:pt>
                <c:pt idx="134">
                  <c:v>May</c:v>
                </c:pt>
                <c:pt idx="135">
                  <c:v>May</c:v>
                </c:pt>
                <c:pt idx="136">
                  <c:v>May</c:v>
                </c:pt>
                <c:pt idx="137">
                  <c:v>May</c:v>
                </c:pt>
                <c:pt idx="138">
                  <c:v>May</c:v>
                </c:pt>
                <c:pt idx="139">
                  <c:v>May</c:v>
                </c:pt>
                <c:pt idx="140">
                  <c:v>May</c:v>
                </c:pt>
                <c:pt idx="141">
                  <c:v>May</c:v>
                </c:pt>
                <c:pt idx="142">
                  <c:v>May</c:v>
                </c:pt>
                <c:pt idx="143">
                  <c:v>May</c:v>
                </c:pt>
                <c:pt idx="144">
                  <c:v>May</c:v>
                </c:pt>
                <c:pt idx="145">
                  <c:v>May</c:v>
                </c:pt>
                <c:pt idx="146">
                  <c:v>May</c:v>
                </c:pt>
                <c:pt idx="147">
                  <c:v>May</c:v>
                </c:pt>
                <c:pt idx="148">
                  <c:v>May</c:v>
                </c:pt>
                <c:pt idx="149">
                  <c:v>May</c:v>
                </c:pt>
                <c:pt idx="150">
                  <c:v>May</c:v>
                </c:pt>
                <c:pt idx="151">
                  <c:v>Jun</c:v>
                </c:pt>
                <c:pt idx="152">
                  <c:v>Jun</c:v>
                </c:pt>
                <c:pt idx="153">
                  <c:v>Jun</c:v>
                </c:pt>
                <c:pt idx="154">
                  <c:v>Jun</c:v>
                </c:pt>
                <c:pt idx="155">
                  <c:v>Jun</c:v>
                </c:pt>
                <c:pt idx="156">
                  <c:v>Jun</c:v>
                </c:pt>
                <c:pt idx="157">
                  <c:v>Jun</c:v>
                </c:pt>
                <c:pt idx="158">
                  <c:v>Jun</c:v>
                </c:pt>
                <c:pt idx="159">
                  <c:v>Jun</c:v>
                </c:pt>
                <c:pt idx="160">
                  <c:v>Jun</c:v>
                </c:pt>
                <c:pt idx="161">
                  <c:v>Jun</c:v>
                </c:pt>
                <c:pt idx="162">
                  <c:v>Jun</c:v>
                </c:pt>
                <c:pt idx="163">
                  <c:v>Jun</c:v>
                </c:pt>
                <c:pt idx="164">
                  <c:v>Jun</c:v>
                </c:pt>
                <c:pt idx="165">
                  <c:v>Jun</c:v>
                </c:pt>
                <c:pt idx="166">
                  <c:v>Jun</c:v>
                </c:pt>
                <c:pt idx="167">
                  <c:v>Jun</c:v>
                </c:pt>
                <c:pt idx="168">
                  <c:v>Jun</c:v>
                </c:pt>
                <c:pt idx="169">
                  <c:v>Jun</c:v>
                </c:pt>
                <c:pt idx="170">
                  <c:v>Jun</c:v>
                </c:pt>
                <c:pt idx="171">
                  <c:v>Jun</c:v>
                </c:pt>
                <c:pt idx="172">
                  <c:v>Jun</c:v>
                </c:pt>
                <c:pt idx="173">
                  <c:v>Jun</c:v>
                </c:pt>
                <c:pt idx="174">
                  <c:v>Jun</c:v>
                </c:pt>
                <c:pt idx="175">
                  <c:v>Jun</c:v>
                </c:pt>
                <c:pt idx="176">
                  <c:v>Jun</c:v>
                </c:pt>
                <c:pt idx="177">
                  <c:v>Jun</c:v>
                </c:pt>
                <c:pt idx="178">
                  <c:v>Jun</c:v>
                </c:pt>
                <c:pt idx="179">
                  <c:v>Jun</c:v>
                </c:pt>
                <c:pt idx="180">
                  <c:v>Jun</c:v>
                </c:pt>
                <c:pt idx="181">
                  <c:v>Jul</c:v>
                </c:pt>
                <c:pt idx="182">
                  <c:v>Jul</c:v>
                </c:pt>
                <c:pt idx="183">
                  <c:v>Jul</c:v>
                </c:pt>
                <c:pt idx="184">
                  <c:v>Jul</c:v>
                </c:pt>
                <c:pt idx="185">
                  <c:v>Jul</c:v>
                </c:pt>
                <c:pt idx="186">
                  <c:v>Jul</c:v>
                </c:pt>
                <c:pt idx="187">
                  <c:v>Jul</c:v>
                </c:pt>
                <c:pt idx="188">
                  <c:v>Jul</c:v>
                </c:pt>
                <c:pt idx="189">
                  <c:v>Jul</c:v>
                </c:pt>
                <c:pt idx="190">
                  <c:v>Jul</c:v>
                </c:pt>
                <c:pt idx="191">
                  <c:v>Jul</c:v>
                </c:pt>
                <c:pt idx="192">
                  <c:v>Jul</c:v>
                </c:pt>
                <c:pt idx="193">
                  <c:v>Jul</c:v>
                </c:pt>
                <c:pt idx="194">
                  <c:v>Jul</c:v>
                </c:pt>
                <c:pt idx="195">
                  <c:v>Jul</c:v>
                </c:pt>
                <c:pt idx="196">
                  <c:v>Jul</c:v>
                </c:pt>
                <c:pt idx="197">
                  <c:v>Jul</c:v>
                </c:pt>
                <c:pt idx="198">
                  <c:v>Jul</c:v>
                </c:pt>
                <c:pt idx="199">
                  <c:v>Jul</c:v>
                </c:pt>
                <c:pt idx="200">
                  <c:v>Jul</c:v>
                </c:pt>
                <c:pt idx="201">
                  <c:v>Jul</c:v>
                </c:pt>
                <c:pt idx="202">
                  <c:v>Jul</c:v>
                </c:pt>
                <c:pt idx="203">
                  <c:v>Jul</c:v>
                </c:pt>
                <c:pt idx="204">
                  <c:v>Jul</c:v>
                </c:pt>
                <c:pt idx="205">
                  <c:v>Jul</c:v>
                </c:pt>
                <c:pt idx="206">
                  <c:v>Jul</c:v>
                </c:pt>
                <c:pt idx="207">
                  <c:v>Jul</c:v>
                </c:pt>
                <c:pt idx="208">
                  <c:v>Jul</c:v>
                </c:pt>
                <c:pt idx="209">
                  <c:v>Jul</c:v>
                </c:pt>
                <c:pt idx="210">
                  <c:v>Jul</c:v>
                </c:pt>
                <c:pt idx="211">
                  <c:v>Jul</c:v>
                </c:pt>
                <c:pt idx="212">
                  <c:v>Aug</c:v>
                </c:pt>
                <c:pt idx="213">
                  <c:v>Aug</c:v>
                </c:pt>
                <c:pt idx="214">
                  <c:v>Aug</c:v>
                </c:pt>
                <c:pt idx="215">
                  <c:v>Aug</c:v>
                </c:pt>
                <c:pt idx="216">
                  <c:v>Aug</c:v>
                </c:pt>
                <c:pt idx="217">
                  <c:v>Aug</c:v>
                </c:pt>
                <c:pt idx="218">
                  <c:v>Aug</c:v>
                </c:pt>
                <c:pt idx="219">
                  <c:v>Aug</c:v>
                </c:pt>
                <c:pt idx="220">
                  <c:v>Aug</c:v>
                </c:pt>
                <c:pt idx="221">
                  <c:v>Aug</c:v>
                </c:pt>
                <c:pt idx="222">
                  <c:v>Aug</c:v>
                </c:pt>
                <c:pt idx="223">
                  <c:v>Aug</c:v>
                </c:pt>
                <c:pt idx="224">
                  <c:v>Aug</c:v>
                </c:pt>
                <c:pt idx="225">
                  <c:v>Aug</c:v>
                </c:pt>
                <c:pt idx="226">
                  <c:v>Aug</c:v>
                </c:pt>
                <c:pt idx="227">
                  <c:v>Aug</c:v>
                </c:pt>
                <c:pt idx="228">
                  <c:v>Aug</c:v>
                </c:pt>
                <c:pt idx="229">
                  <c:v>Aug</c:v>
                </c:pt>
                <c:pt idx="230">
                  <c:v>Aug</c:v>
                </c:pt>
                <c:pt idx="231">
                  <c:v>Aug</c:v>
                </c:pt>
                <c:pt idx="232">
                  <c:v>Aug</c:v>
                </c:pt>
                <c:pt idx="233">
                  <c:v>Aug</c:v>
                </c:pt>
                <c:pt idx="234">
                  <c:v>Aug</c:v>
                </c:pt>
                <c:pt idx="235">
                  <c:v>Aug</c:v>
                </c:pt>
                <c:pt idx="236">
                  <c:v>Aug</c:v>
                </c:pt>
                <c:pt idx="237">
                  <c:v>Aug</c:v>
                </c:pt>
                <c:pt idx="238">
                  <c:v>Aug</c:v>
                </c:pt>
                <c:pt idx="239">
                  <c:v>Aug</c:v>
                </c:pt>
                <c:pt idx="240">
                  <c:v>Aug</c:v>
                </c:pt>
                <c:pt idx="241">
                  <c:v>Aug</c:v>
                </c:pt>
                <c:pt idx="242">
                  <c:v>Aug</c:v>
                </c:pt>
                <c:pt idx="243">
                  <c:v>Sep</c:v>
                </c:pt>
                <c:pt idx="244">
                  <c:v>Sep</c:v>
                </c:pt>
                <c:pt idx="245">
                  <c:v>Sep</c:v>
                </c:pt>
                <c:pt idx="246">
                  <c:v>Sep</c:v>
                </c:pt>
                <c:pt idx="247">
                  <c:v>Sep</c:v>
                </c:pt>
                <c:pt idx="248">
                  <c:v>Sep</c:v>
                </c:pt>
                <c:pt idx="249">
                  <c:v>Sep</c:v>
                </c:pt>
                <c:pt idx="250">
                  <c:v>Sep</c:v>
                </c:pt>
                <c:pt idx="251">
                  <c:v>Sep</c:v>
                </c:pt>
                <c:pt idx="252">
                  <c:v>Sep</c:v>
                </c:pt>
                <c:pt idx="253">
                  <c:v>Sep</c:v>
                </c:pt>
                <c:pt idx="254">
                  <c:v>Sep</c:v>
                </c:pt>
                <c:pt idx="255">
                  <c:v>Sep</c:v>
                </c:pt>
                <c:pt idx="256">
                  <c:v>Sep</c:v>
                </c:pt>
                <c:pt idx="257">
                  <c:v>Sep</c:v>
                </c:pt>
                <c:pt idx="258">
                  <c:v>Sep</c:v>
                </c:pt>
                <c:pt idx="259">
                  <c:v>Sep</c:v>
                </c:pt>
                <c:pt idx="260">
                  <c:v>Sep</c:v>
                </c:pt>
                <c:pt idx="261">
                  <c:v>Sep</c:v>
                </c:pt>
                <c:pt idx="262">
                  <c:v>Sep</c:v>
                </c:pt>
                <c:pt idx="263">
                  <c:v>Sep</c:v>
                </c:pt>
                <c:pt idx="264">
                  <c:v>Sep</c:v>
                </c:pt>
                <c:pt idx="265">
                  <c:v>Sep</c:v>
                </c:pt>
                <c:pt idx="266">
                  <c:v>Sep</c:v>
                </c:pt>
                <c:pt idx="267">
                  <c:v>Sep</c:v>
                </c:pt>
                <c:pt idx="268">
                  <c:v>Sep</c:v>
                </c:pt>
                <c:pt idx="269">
                  <c:v>Sep</c:v>
                </c:pt>
                <c:pt idx="270">
                  <c:v>Sep</c:v>
                </c:pt>
                <c:pt idx="271">
                  <c:v>Sep</c:v>
                </c:pt>
                <c:pt idx="272">
                  <c:v>Sep</c:v>
                </c:pt>
                <c:pt idx="273">
                  <c:v>Oct</c:v>
                </c:pt>
                <c:pt idx="274">
                  <c:v>Oct</c:v>
                </c:pt>
                <c:pt idx="275">
                  <c:v>Oct</c:v>
                </c:pt>
                <c:pt idx="276">
                  <c:v>Oct</c:v>
                </c:pt>
                <c:pt idx="277">
                  <c:v>Oct</c:v>
                </c:pt>
                <c:pt idx="278">
                  <c:v>Oct</c:v>
                </c:pt>
                <c:pt idx="279">
                  <c:v>Oct</c:v>
                </c:pt>
                <c:pt idx="280">
                  <c:v>Oct</c:v>
                </c:pt>
                <c:pt idx="281">
                  <c:v>Oct</c:v>
                </c:pt>
                <c:pt idx="282">
                  <c:v>Oct</c:v>
                </c:pt>
                <c:pt idx="283">
                  <c:v>Oct</c:v>
                </c:pt>
                <c:pt idx="284">
                  <c:v>Oct</c:v>
                </c:pt>
                <c:pt idx="285">
                  <c:v>Oct</c:v>
                </c:pt>
                <c:pt idx="286">
                  <c:v>Oct</c:v>
                </c:pt>
                <c:pt idx="287">
                  <c:v>Oct</c:v>
                </c:pt>
                <c:pt idx="288">
                  <c:v>Oct</c:v>
                </c:pt>
                <c:pt idx="289">
                  <c:v>Oct</c:v>
                </c:pt>
                <c:pt idx="290">
                  <c:v>Oct</c:v>
                </c:pt>
                <c:pt idx="291">
                  <c:v>Oct</c:v>
                </c:pt>
                <c:pt idx="292">
                  <c:v>Oct</c:v>
                </c:pt>
                <c:pt idx="293">
                  <c:v>Oct</c:v>
                </c:pt>
                <c:pt idx="294">
                  <c:v>Oct</c:v>
                </c:pt>
                <c:pt idx="295">
                  <c:v>Oct</c:v>
                </c:pt>
                <c:pt idx="296">
                  <c:v>Oct</c:v>
                </c:pt>
                <c:pt idx="297">
                  <c:v>Oct</c:v>
                </c:pt>
                <c:pt idx="298">
                  <c:v>Oct</c:v>
                </c:pt>
                <c:pt idx="299">
                  <c:v>Oct</c:v>
                </c:pt>
                <c:pt idx="300">
                  <c:v>Oct</c:v>
                </c:pt>
                <c:pt idx="301">
                  <c:v>Oct</c:v>
                </c:pt>
                <c:pt idx="302">
                  <c:v>Oct</c:v>
                </c:pt>
                <c:pt idx="303">
                  <c:v>Oct</c:v>
                </c:pt>
                <c:pt idx="304">
                  <c:v>Nov</c:v>
                </c:pt>
                <c:pt idx="305">
                  <c:v>Nov</c:v>
                </c:pt>
                <c:pt idx="306">
                  <c:v>Nov</c:v>
                </c:pt>
                <c:pt idx="307">
                  <c:v>Nov</c:v>
                </c:pt>
                <c:pt idx="308">
                  <c:v>Nov</c:v>
                </c:pt>
                <c:pt idx="309">
                  <c:v>Nov</c:v>
                </c:pt>
                <c:pt idx="310">
                  <c:v>Nov</c:v>
                </c:pt>
                <c:pt idx="311">
                  <c:v>Nov</c:v>
                </c:pt>
                <c:pt idx="312">
                  <c:v>Nov</c:v>
                </c:pt>
                <c:pt idx="313">
                  <c:v>Nov</c:v>
                </c:pt>
                <c:pt idx="314">
                  <c:v>Nov</c:v>
                </c:pt>
                <c:pt idx="315">
                  <c:v>Nov</c:v>
                </c:pt>
                <c:pt idx="316">
                  <c:v>Nov</c:v>
                </c:pt>
                <c:pt idx="317">
                  <c:v>Nov</c:v>
                </c:pt>
                <c:pt idx="318">
                  <c:v>Nov</c:v>
                </c:pt>
                <c:pt idx="319">
                  <c:v>Nov</c:v>
                </c:pt>
                <c:pt idx="320">
                  <c:v>Nov</c:v>
                </c:pt>
                <c:pt idx="321">
                  <c:v>Nov</c:v>
                </c:pt>
                <c:pt idx="322">
                  <c:v>Nov</c:v>
                </c:pt>
                <c:pt idx="323">
                  <c:v>Nov</c:v>
                </c:pt>
                <c:pt idx="324">
                  <c:v>Nov</c:v>
                </c:pt>
                <c:pt idx="325">
                  <c:v>Nov</c:v>
                </c:pt>
                <c:pt idx="326">
                  <c:v>Nov</c:v>
                </c:pt>
                <c:pt idx="327">
                  <c:v>Nov</c:v>
                </c:pt>
                <c:pt idx="328">
                  <c:v>Nov</c:v>
                </c:pt>
                <c:pt idx="329">
                  <c:v>Nov</c:v>
                </c:pt>
                <c:pt idx="330">
                  <c:v>Nov</c:v>
                </c:pt>
                <c:pt idx="331">
                  <c:v>Nov</c:v>
                </c:pt>
                <c:pt idx="332">
                  <c:v>Nov</c:v>
                </c:pt>
                <c:pt idx="333">
                  <c:v>Nov</c:v>
                </c:pt>
                <c:pt idx="334">
                  <c:v>Dec</c:v>
                </c:pt>
                <c:pt idx="335">
                  <c:v>Dec</c:v>
                </c:pt>
                <c:pt idx="336">
                  <c:v>Dec</c:v>
                </c:pt>
                <c:pt idx="337">
                  <c:v>Dec</c:v>
                </c:pt>
                <c:pt idx="338">
                  <c:v>Dec</c:v>
                </c:pt>
                <c:pt idx="339">
                  <c:v>Dec</c:v>
                </c:pt>
                <c:pt idx="340">
                  <c:v>Dec</c:v>
                </c:pt>
                <c:pt idx="341">
                  <c:v>Dec</c:v>
                </c:pt>
                <c:pt idx="342">
                  <c:v>Dec</c:v>
                </c:pt>
                <c:pt idx="343">
                  <c:v>Dec</c:v>
                </c:pt>
                <c:pt idx="344">
                  <c:v>Dec</c:v>
                </c:pt>
                <c:pt idx="345">
                  <c:v>Dec</c:v>
                </c:pt>
                <c:pt idx="346">
                  <c:v>Dec</c:v>
                </c:pt>
                <c:pt idx="347">
                  <c:v>Dec</c:v>
                </c:pt>
                <c:pt idx="348">
                  <c:v>Dec</c:v>
                </c:pt>
                <c:pt idx="349">
                  <c:v>Dec</c:v>
                </c:pt>
                <c:pt idx="350">
                  <c:v>Dec</c:v>
                </c:pt>
                <c:pt idx="351">
                  <c:v>Dec</c:v>
                </c:pt>
                <c:pt idx="352">
                  <c:v>Dec</c:v>
                </c:pt>
                <c:pt idx="353">
                  <c:v>Dec</c:v>
                </c:pt>
                <c:pt idx="354">
                  <c:v>Dec</c:v>
                </c:pt>
                <c:pt idx="355">
                  <c:v>Dec</c:v>
                </c:pt>
                <c:pt idx="356">
                  <c:v>Dec</c:v>
                </c:pt>
                <c:pt idx="357">
                  <c:v>Dec</c:v>
                </c:pt>
                <c:pt idx="358">
                  <c:v>Dec</c:v>
                </c:pt>
                <c:pt idx="359">
                  <c:v>Dec</c:v>
                </c:pt>
                <c:pt idx="360">
                  <c:v>Dec</c:v>
                </c:pt>
                <c:pt idx="361">
                  <c:v>Dec</c:v>
                </c:pt>
                <c:pt idx="362">
                  <c:v>Dec</c:v>
                </c:pt>
                <c:pt idx="363">
                  <c:v>Dec</c:v>
                </c:pt>
                <c:pt idx="364">
                  <c:v>Dec</c:v>
                </c:pt>
              </c:strCache>
            </c:strRef>
          </c:cat>
          <c:val>
            <c:numRef>
              <c:f>SLR!$D$2:$D$366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9-4237-9B97-0BA9495BA910}"/>
            </c:ext>
          </c:extLst>
        </c:ser>
        <c:ser>
          <c:idx val="1"/>
          <c:order val="1"/>
          <c:tx>
            <c:strRef>
              <c:f>SLR!$E$1</c:f>
              <c:strCache>
                <c:ptCount val="1"/>
                <c:pt idx="0">
                  <c:v>SLR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SLR!$A$2:$A$366</c:f>
              <c:strCache>
                <c:ptCount val="365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Jan</c:v>
                </c:pt>
                <c:pt idx="23">
                  <c:v>Jan</c:v>
                </c:pt>
                <c:pt idx="24">
                  <c:v>Jan</c:v>
                </c:pt>
                <c:pt idx="25">
                  <c:v>Jan</c:v>
                </c:pt>
                <c:pt idx="26">
                  <c:v>Jan</c:v>
                </c:pt>
                <c:pt idx="27">
                  <c:v>Jan</c:v>
                </c:pt>
                <c:pt idx="28">
                  <c:v>Jan</c:v>
                </c:pt>
                <c:pt idx="29">
                  <c:v>Jan</c:v>
                </c:pt>
                <c:pt idx="30">
                  <c:v>Jan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Feb</c:v>
                </c:pt>
                <c:pt idx="43">
                  <c:v>Feb</c:v>
                </c:pt>
                <c:pt idx="44">
                  <c:v>Feb</c:v>
                </c:pt>
                <c:pt idx="45">
                  <c:v>Feb</c:v>
                </c:pt>
                <c:pt idx="46">
                  <c:v>Feb</c:v>
                </c:pt>
                <c:pt idx="47">
                  <c:v>Feb</c:v>
                </c:pt>
                <c:pt idx="48">
                  <c:v>Feb</c:v>
                </c:pt>
                <c:pt idx="49">
                  <c:v>Feb</c:v>
                </c:pt>
                <c:pt idx="50">
                  <c:v>Feb</c:v>
                </c:pt>
                <c:pt idx="51">
                  <c:v>Feb</c:v>
                </c:pt>
                <c:pt idx="52">
                  <c:v>Feb</c:v>
                </c:pt>
                <c:pt idx="53">
                  <c:v>Feb</c:v>
                </c:pt>
                <c:pt idx="54">
                  <c:v>Feb</c:v>
                </c:pt>
                <c:pt idx="55">
                  <c:v>Feb</c:v>
                </c:pt>
                <c:pt idx="56">
                  <c:v>Feb</c:v>
                </c:pt>
                <c:pt idx="57">
                  <c:v>Feb</c:v>
                </c:pt>
                <c:pt idx="58">
                  <c:v>Feb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Mar</c:v>
                </c:pt>
                <c:pt idx="66">
                  <c:v>Mar</c:v>
                </c:pt>
                <c:pt idx="67">
                  <c:v>Mar</c:v>
                </c:pt>
                <c:pt idx="68">
                  <c:v>Mar</c:v>
                </c:pt>
                <c:pt idx="69">
                  <c:v>Mar</c:v>
                </c:pt>
                <c:pt idx="70">
                  <c:v>Mar</c:v>
                </c:pt>
                <c:pt idx="71">
                  <c:v>Mar</c:v>
                </c:pt>
                <c:pt idx="72">
                  <c:v>Mar</c:v>
                </c:pt>
                <c:pt idx="73">
                  <c:v>Mar</c:v>
                </c:pt>
                <c:pt idx="74">
                  <c:v>Mar</c:v>
                </c:pt>
                <c:pt idx="75">
                  <c:v>Mar</c:v>
                </c:pt>
                <c:pt idx="76">
                  <c:v>Mar</c:v>
                </c:pt>
                <c:pt idx="77">
                  <c:v>Mar</c:v>
                </c:pt>
                <c:pt idx="78">
                  <c:v>Mar</c:v>
                </c:pt>
                <c:pt idx="79">
                  <c:v>Mar</c:v>
                </c:pt>
                <c:pt idx="80">
                  <c:v>Mar</c:v>
                </c:pt>
                <c:pt idx="81">
                  <c:v>Mar</c:v>
                </c:pt>
                <c:pt idx="82">
                  <c:v>Mar</c:v>
                </c:pt>
                <c:pt idx="83">
                  <c:v>Mar</c:v>
                </c:pt>
                <c:pt idx="84">
                  <c:v>Mar</c:v>
                </c:pt>
                <c:pt idx="85">
                  <c:v>Mar</c:v>
                </c:pt>
                <c:pt idx="86">
                  <c:v>Mar</c:v>
                </c:pt>
                <c:pt idx="87">
                  <c:v>Mar</c:v>
                </c:pt>
                <c:pt idx="88">
                  <c:v>Mar</c:v>
                </c:pt>
                <c:pt idx="89">
                  <c:v>Mar</c:v>
                </c:pt>
                <c:pt idx="90">
                  <c:v>Apr</c:v>
                </c:pt>
                <c:pt idx="91">
                  <c:v>Apr</c:v>
                </c:pt>
                <c:pt idx="92">
                  <c:v>Apr</c:v>
                </c:pt>
                <c:pt idx="93">
                  <c:v>Apr</c:v>
                </c:pt>
                <c:pt idx="94">
                  <c:v>Apr</c:v>
                </c:pt>
                <c:pt idx="95">
                  <c:v>Apr</c:v>
                </c:pt>
                <c:pt idx="96">
                  <c:v>Apr</c:v>
                </c:pt>
                <c:pt idx="97">
                  <c:v>Apr</c:v>
                </c:pt>
                <c:pt idx="98">
                  <c:v>Apr</c:v>
                </c:pt>
                <c:pt idx="99">
                  <c:v>Apr</c:v>
                </c:pt>
                <c:pt idx="100">
                  <c:v>Apr</c:v>
                </c:pt>
                <c:pt idx="101">
                  <c:v>Apr</c:v>
                </c:pt>
                <c:pt idx="102">
                  <c:v>Apr</c:v>
                </c:pt>
                <c:pt idx="103">
                  <c:v>Apr</c:v>
                </c:pt>
                <c:pt idx="104">
                  <c:v>Apr</c:v>
                </c:pt>
                <c:pt idx="105">
                  <c:v>Apr</c:v>
                </c:pt>
                <c:pt idx="106">
                  <c:v>Apr</c:v>
                </c:pt>
                <c:pt idx="107">
                  <c:v>Apr</c:v>
                </c:pt>
                <c:pt idx="108">
                  <c:v>Apr</c:v>
                </c:pt>
                <c:pt idx="109">
                  <c:v>Apr</c:v>
                </c:pt>
                <c:pt idx="110">
                  <c:v>Apr</c:v>
                </c:pt>
                <c:pt idx="111">
                  <c:v>Apr</c:v>
                </c:pt>
                <c:pt idx="112">
                  <c:v>Apr</c:v>
                </c:pt>
                <c:pt idx="113">
                  <c:v>Apr</c:v>
                </c:pt>
                <c:pt idx="114">
                  <c:v>Apr</c:v>
                </c:pt>
                <c:pt idx="115">
                  <c:v>Apr</c:v>
                </c:pt>
                <c:pt idx="116">
                  <c:v>Apr</c:v>
                </c:pt>
                <c:pt idx="117">
                  <c:v>Apr</c:v>
                </c:pt>
                <c:pt idx="118">
                  <c:v>Apr</c:v>
                </c:pt>
                <c:pt idx="119">
                  <c:v>Apr</c:v>
                </c:pt>
                <c:pt idx="120">
                  <c:v>May</c:v>
                </c:pt>
                <c:pt idx="121">
                  <c:v>May</c:v>
                </c:pt>
                <c:pt idx="122">
                  <c:v>May</c:v>
                </c:pt>
                <c:pt idx="123">
                  <c:v>May</c:v>
                </c:pt>
                <c:pt idx="124">
                  <c:v>May</c:v>
                </c:pt>
                <c:pt idx="125">
                  <c:v>May</c:v>
                </c:pt>
                <c:pt idx="126">
                  <c:v>May</c:v>
                </c:pt>
                <c:pt idx="127">
                  <c:v>May</c:v>
                </c:pt>
                <c:pt idx="128">
                  <c:v>May</c:v>
                </c:pt>
                <c:pt idx="129">
                  <c:v>May</c:v>
                </c:pt>
                <c:pt idx="130">
                  <c:v>May</c:v>
                </c:pt>
                <c:pt idx="131">
                  <c:v>May</c:v>
                </c:pt>
                <c:pt idx="132">
                  <c:v>May</c:v>
                </c:pt>
                <c:pt idx="133">
                  <c:v>May</c:v>
                </c:pt>
                <c:pt idx="134">
                  <c:v>May</c:v>
                </c:pt>
                <c:pt idx="135">
                  <c:v>May</c:v>
                </c:pt>
                <c:pt idx="136">
                  <c:v>May</c:v>
                </c:pt>
                <c:pt idx="137">
                  <c:v>May</c:v>
                </c:pt>
                <c:pt idx="138">
                  <c:v>May</c:v>
                </c:pt>
                <c:pt idx="139">
                  <c:v>May</c:v>
                </c:pt>
                <c:pt idx="140">
                  <c:v>May</c:v>
                </c:pt>
                <c:pt idx="141">
                  <c:v>May</c:v>
                </c:pt>
                <c:pt idx="142">
                  <c:v>May</c:v>
                </c:pt>
                <c:pt idx="143">
                  <c:v>May</c:v>
                </c:pt>
                <c:pt idx="144">
                  <c:v>May</c:v>
                </c:pt>
                <c:pt idx="145">
                  <c:v>May</c:v>
                </c:pt>
                <c:pt idx="146">
                  <c:v>May</c:v>
                </c:pt>
                <c:pt idx="147">
                  <c:v>May</c:v>
                </c:pt>
                <c:pt idx="148">
                  <c:v>May</c:v>
                </c:pt>
                <c:pt idx="149">
                  <c:v>May</c:v>
                </c:pt>
                <c:pt idx="150">
                  <c:v>May</c:v>
                </c:pt>
                <c:pt idx="151">
                  <c:v>Jun</c:v>
                </c:pt>
                <c:pt idx="152">
                  <c:v>Jun</c:v>
                </c:pt>
                <c:pt idx="153">
                  <c:v>Jun</c:v>
                </c:pt>
                <c:pt idx="154">
                  <c:v>Jun</c:v>
                </c:pt>
                <c:pt idx="155">
                  <c:v>Jun</c:v>
                </c:pt>
                <c:pt idx="156">
                  <c:v>Jun</c:v>
                </c:pt>
                <c:pt idx="157">
                  <c:v>Jun</c:v>
                </c:pt>
                <c:pt idx="158">
                  <c:v>Jun</c:v>
                </c:pt>
                <c:pt idx="159">
                  <c:v>Jun</c:v>
                </c:pt>
                <c:pt idx="160">
                  <c:v>Jun</c:v>
                </c:pt>
                <c:pt idx="161">
                  <c:v>Jun</c:v>
                </c:pt>
                <c:pt idx="162">
                  <c:v>Jun</c:v>
                </c:pt>
                <c:pt idx="163">
                  <c:v>Jun</c:v>
                </c:pt>
                <c:pt idx="164">
                  <c:v>Jun</c:v>
                </c:pt>
                <c:pt idx="165">
                  <c:v>Jun</c:v>
                </c:pt>
                <c:pt idx="166">
                  <c:v>Jun</c:v>
                </c:pt>
                <c:pt idx="167">
                  <c:v>Jun</c:v>
                </c:pt>
                <c:pt idx="168">
                  <c:v>Jun</c:v>
                </c:pt>
                <c:pt idx="169">
                  <c:v>Jun</c:v>
                </c:pt>
                <c:pt idx="170">
                  <c:v>Jun</c:v>
                </c:pt>
                <c:pt idx="171">
                  <c:v>Jun</c:v>
                </c:pt>
                <c:pt idx="172">
                  <c:v>Jun</c:v>
                </c:pt>
                <c:pt idx="173">
                  <c:v>Jun</c:v>
                </c:pt>
                <c:pt idx="174">
                  <c:v>Jun</c:v>
                </c:pt>
                <c:pt idx="175">
                  <c:v>Jun</c:v>
                </c:pt>
                <c:pt idx="176">
                  <c:v>Jun</c:v>
                </c:pt>
                <c:pt idx="177">
                  <c:v>Jun</c:v>
                </c:pt>
                <c:pt idx="178">
                  <c:v>Jun</c:v>
                </c:pt>
                <c:pt idx="179">
                  <c:v>Jun</c:v>
                </c:pt>
                <c:pt idx="180">
                  <c:v>Jun</c:v>
                </c:pt>
                <c:pt idx="181">
                  <c:v>Jul</c:v>
                </c:pt>
                <c:pt idx="182">
                  <c:v>Jul</c:v>
                </c:pt>
                <c:pt idx="183">
                  <c:v>Jul</c:v>
                </c:pt>
                <c:pt idx="184">
                  <c:v>Jul</c:v>
                </c:pt>
                <c:pt idx="185">
                  <c:v>Jul</c:v>
                </c:pt>
                <c:pt idx="186">
                  <c:v>Jul</c:v>
                </c:pt>
                <c:pt idx="187">
                  <c:v>Jul</c:v>
                </c:pt>
                <c:pt idx="188">
                  <c:v>Jul</c:v>
                </c:pt>
                <c:pt idx="189">
                  <c:v>Jul</c:v>
                </c:pt>
                <c:pt idx="190">
                  <c:v>Jul</c:v>
                </c:pt>
                <c:pt idx="191">
                  <c:v>Jul</c:v>
                </c:pt>
                <c:pt idx="192">
                  <c:v>Jul</c:v>
                </c:pt>
                <c:pt idx="193">
                  <c:v>Jul</c:v>
                </c:pt>
                <c:pt idx="194">
                  <c:v>Jul</c:v>
                </c:pt>
                <c:pt idx="195">
                  <c:v>Jul</c:v>
                </c:pt>
                <c:pt idx="196">
                  <c:v>Jul</c:v>
                </c:pt>
                <c:pt idx="197">
                  <c:v>Jul</c:v>
                </c:pt>
                <c:pt idx="198">
                  <c:v>Jul</c:v>
                </c:pt>
                <c:pt idx="199">
                  <c:v>Jul</c:v>
                </c:pt>
                <c:pt idx="200">
                  <c:v>Jul</c:v>
                </c:pt>
                <c:pt idx="201">
                  <c:v>Jul</c:v>
                </c:pt>
                <c:pt idx="202">
                  <c:v>Jul</c:v>
                </c:pt>
                <c:pt idx="203">
                  <c:v>Jul</c:v>
                </c:pt>
                <c:pt idx="204">
                  <c:v>Jul</c:v>
                </c:pt>
                <c:pt idx="205">
                  <c:v>Jul</c:v>
                </c:pt>
                <c:pt idx="206">
                  <c:v>Jul</c:v>
                </c:pt>
                <c:pt idx="207">
                  <c:v>Jul</c:v>
                </c:pt>
                <c:pt idx="208">
                  <c:v>Jul</c:v>
                </c:pt>
                <c:pt idx="209">
                  <c:v>Jul</c:v>
                </c:pt>
                <c:pt idx="210">
                  <c:v>Jul</c:v>
                </c:pt>
                <c:pt idx="211">
                  <c:v>Jul</c:v>
                </c:pt>
                <c:pt idx="212">
                  <c:v>Aug</c:v>
                </c:pt>
                <c:pt idx="213">
                  <c:v>Aug</c:v>
                </c:pt>
                <c:pt idx="214">
                  <c:v>Aug</c:v>
                </c:pt>
                <c:pt idx="215">
                  <c:v>Aug</c:v>
                </c:pt>
                <c:pt idx="216">
                  <c:v>Aug</c:v>
                </c:pt>
                <c:pt idx="217">
                  <c:v>Aug</c:v>
                </c:pt>
                <c:pt idx="218">
                  <c:v>Aug</c:v>
                </c:pt>
                <c:pt idx="219">
                  <c:v>Aug</c:v>
                </c:pt>
                <c:pt idx="220">
                  <c:v>Aug</c:v>
                </c:pt>
                <c:pt idx="221">
                  <c:v>Aug</c:v>
                </c:pt>
                <c:pt idx="222">
                  <c:v>Aug</c:v>
                </c:pt>
                <c:pt idx="223">
                  <c:v>Aug</c:v>
                </c:pt>
                <c:pt idx="224">
                  <c:v>Aug</c:v>
                </c:pt>
                <c:pt idx="225">
                  <c:v>Aug</c:v>
                </c:pt>
                <c:pt idx="226">
                  <c:v>Aug</c:v>
                </c:pt>
                <c:pt idx="227">
                  <c:v>Aug</c:v>
                </c:pt>
                <c:pt idx="228">
                  <c:v>Aug</c:v>
                </c:pt>
                <c:pt idx="229">
                  <c:v>Aug</c:v>
                </c:pt>
                <c:pt idx="230">
                  <c:v>Aug</c:v>
                </c:pt>
                <c:pt idx="231">
                  <c:v>Aug</c:v>
                </c:pt>
                <c:pt idx="232">
                  <c:v>Aug</c:v>
                </c:pt>
                <c:pt idx="233">
                  <c:v>Aug</c:v>
                </c:pt>
                <c:pt idx="234">
                  <c:v>Aug</c:v>
                </c:pt>
                <c:pt idx="235">
                  <c:v>Aug</c:v>
                </c:pt>
                <c:pt idx="236">
                  <c:v>Aug</c:v>
                </c:pt>
                <c:pt idx="237">
                  <c:v>Aug</c:v>
                </c:pt>
                <c:pt idx="238">
                  <c:v>Aug</c:v>
                </c:pt>
                <c:pt idx="239">
                  <c:v>Aug</c:v>
                </c:pt>
                <c:pt idx="240">
                  <c:v>Aug</c:v>
                </c:pt>
                <c:pt idx="241">
                  <c:v>Aug</c:v>
                </c:pt>
                <c:pt idx="242">
                  <c:v>Aug</c:v>
                </c:pt>
                <c:pt idx="243">
                  <c:v>Sep</c:v>
                </c:pt>
                <c:pt idx="244">
                  <c:v>Sep</c:v>
                </c:pt>
                <c:pt idx="245">
                  <c:v>Sep</c:v>
                </c:pt>
                <c:pt idx="246">
                  <c:v>Sep</c:v>
                </c:pt>
                <c:pt idx="247">
                  <c:v>Sep</c:v>
                </c:pt>
                <c:pt idx="248">
                  <c:v>Sep</c:v>
                </c:pt>
                <c:pt idx="249">
                  <c:v>Sep</c:v>
                </c:pt>
                <c:pt idx="250">
                  <c:v>Sep</c:v>
                </c:pt>
                <c:pt idx="251">
                  <c:v>Sep</c:v>
                </c:pt>
                <c:pt idx="252">
                  <c:v>Sep</c:v>
                </c:pt>
                <c:pt idx="253">
                  <c:v>Sep</c:v>
                </c:pt>
                <c:pt idx="254">
                  <c:v>Sep</c:v>
                </c:pt>
                <c:pt idx="255">
                  <c:v>Sep</c:v>
                </c:pt>
                <c:pt idx="256">
                  <c:v>Sep</c:v>
                </c:pt>
                <c:pt idx="257">
                  <c:v>Sep</c:v>
                </c:pt>
                <c:pt idx="258">
                  <c:v>Sep</c:v>
                </c:pt>
                <c:pt idx="259">
                  <c:v>Sep</c:v>
                </c:pt>
                <c:pt idx="260">
                  <c:v>Sep</c:v>
                </c:pt>
                <c:pt idx="261">
                  <c:v>Sep</c:v>
                </c:pt>
                <c:pt idx="262">
                  <c:v>Sep</c:v>
                </c:pt>
                <c:pt idx="263">
                  <c:v>Sep</c:v>
                </c:pt>
                <c:pt idx="264">
                  <c:v>Sep</c:v>
                </c:pt>
                <c:pt idx="265">
                  <c:v>Sep</c:v>
                </c:pt>
                <c:pt idx="266">
                  <c:v>Sep</c:v>
                </c:pt>
                <c:pt idx="267">
                  <c:v>Sep</c:v>
                </c:pt>
                <c:pt idx="268">
                  <c:v>Sep</c:v>
                </c:pt>
                <c:pt idx="269">
                  <c:v>Sep</c:v>
                </c:pt>
                <c:pt idx="270">
                  <c:v>Sep</c:v>
                </c:pt>
                <c:pt idx="271">
                  <c:v>Sep</c:v>
                </c:pt>
                <c:pt idx="272">
                  <c:v>Sep</c:v>
                </c:pt>
                <c:pt idx="273">
                  <c:v>Oct</c:v>
                </c:pt>
                <c:pt idx="274">
                  <c:v>Oct</c:v>
                </c:pt>
                <c:pt idx="275">
                  <c:v>Oct</c:v>
                </c:pt>
                <c:pt idx="276">
                  <c:v>Oct</c:v>
                </c:pt>
                <c:pt idx="277">
                  <c:v>Oct</c:v>
                </c:pt>
                <c:pt idx="278">
                  <c:v>Oct</c:v>
                </c:pt>
                <c:pt idx="279">
                  <c:v>Oct</c:v>
                </c:pt>
                <c:pt idx="280">
                  <c:v>Oct</c:v>
                </c:pt>
                <c:pt idx="281">
                  <c:v>Oct</c:v>
                </c:pt>
                <c:pt idx="282">
                  <c:v>Oct</c:v>
                </c:pt>
                <c:pt idx="283">
                  <c:v>Oct</c:v>
                </c:pt>
                <c:pt idx="284">
                  <c:v>Oct</c:v>
                </c:pt>
                <c:pt idx="285">
                  <c:v>Oct</c:v>
                </c:pt>
                <c:pt idx="286">
                  <c:v>Oct</c:v>
                </c:pt>
                <c:pt idx="287">
                  <c:v>Oct</c:v>
                </c:pt>
                <c:pt idx="288">
                  <c:v>Oct</c:v>
                </c:pt>
                <c:pt idx="289">
                  <c:v>Oct</c:v>
                </c:pt>
                <c:pt idx="290">
                  <c:v>Oct</c:v>
                </c:pt>
                <c:pt idx="291">
                  <c:v>Oct</c:v>
                </c:pt>
                <c:pt idx="292">
                  <c:v>Oct</c:v>
                </c:pt>
                <c:pt idx="293">
                  <c:v>Oct</c:v>
                </c:pt>
                <c:pt idx="294">
                  <c:v>Oct</c:v>
                </c:pt>
                <c:pt idx="295">
                  <c:v>Oct</c:v>
                </c:pt>
                <c:pt idx="296">
                  <c:v>Oct</c:v>
                </c:pt>
                <c:pt idx="297">
                  <c:v>Oct</c:v>
                </c:pt>
                <c:pt idx="298">
                  <c:v>Oct</c:v>
                </c:pt>
                <c:pt idx="299">
                  <c:v>Oct</c:v>
                </c:pt>
                <c:pt idx="300">
                  <c:v>Oct</c:v>
                </c:pt>
                <c:pt idx="301">
                  <c:v>Oct</c:v>
                </c:pt>
                <c:pt idx="302">
                  <c:v>Oct</c:v>
                </c:pt>
                <c:pt idx="303">
                  <c:v>Oct</c:v>
                </c:pt>
                <c:pt idx="304">
                  <c:v>Nov</c:v>
                </c:pt>
                <c:pt idx="305">
                  <c:v>Nov</c:v>
                </c:pt>
                <c:pt idx="306">
                  <c:v>Nov</c:v>
                </c:pt>
                <c:pt idx="307">
                  <c:v>Nov</c:v>
                </c:pt>
                <c:pt idx="308">
                  <c:v>Nov</c:v>
                </c:pt>
                <c:pt idx="309">
                  <c:v>Nov</c:v>
                </c:pt>
                <c:pt idx="310">
                  <c:v>Nov</c:v>
                </c:pt>
                <c:pt idx="311">
                  <c:v>Nov</c:v>
                </c:pt>
                <c:pt idx="312">
                  <c:v>Nov</c:v>
                </c:pt>
                <c:pt idx="313">
                  <c:v>Nov</c:v>
                </c:pt>
                <c:pt idx="314">
                  <c:v>Nov</c:v>
                </c:pt>
                <c:pt idx="315">
                  <c:v>Nov</c:v>
                </c:pt>
                <c:pt idx="316">
                  <c:v>Nov</c:v>
                </c:pt>
                <c:pt idx="317">
                  <c:v>Nov</c:v>
                </c:pt>
                <c:pt idx="318">
                  <c:v>Nov</c:v>
                </c:pt>
                <c:pt idx="319">
                  <c:v>Nov</c:v>
                </c:pt>
                <c:pt idx="320">
                  <c:v>Nov</c:v>
                </c:pt>
                <c:pt idx="321">
                  <c:v>Nov</c:v>
                </c:pt>
                <c:pt idx="322">
                  <c:v>Nov</c:v>
                </c:pt>
                <c:pt idx="323">
                  <c:v>Nov</c:v>
                </c:pt>
                <c:pt idx="324">
                  <c:v>Nov</c:v>
                </c:pt>
                <c:pt idx="325">
                  <c:v>Nov</c:v>
                </c:pt>
                <c:pt idx="326">
                  <c:v>Nov</c:v>
                </c:pt>
                <c:pt idx="327">
                  <c:v>Nov</c:v>
                </c:pt>
                <c:pt idx="328">
                  <c:v>Nov</c:v>
                </c:pt>
                <c:pt idx="329">
                  <c:v>Nov</c:v>
                </c:pt>
                <c:pt idx="330">
                  <c:v>Nov</c:v>
                </c:pt>
                <c:pt idx="331">
                  <c:v>Nov</c:v>
                </c:pt>
                <c:pt idx="332">
                  <c:v>Nov</c:v>
                </c:pt>
                <c:pt idx="333">
                  <c:v>Nov</c:v>
                </c:pt>
                <c:pt idx="334">
                  <c:v>Dec</c:v>
                </c:pt>
                <c:pt idx="335">
                  <c:v>Dec</c:v>
                </c:pt>
                <c:pt idx="336">
                  <c:v>Dec</c:v>
                </c:pt>
                <c:pt idx="337">
                  <c:v>Dec</c:v>
                </c:pt>
                <c:pt idx="338">
                  <c:v>Dec</c:v>
                </c:pt>
                <c:pt idx="339">
                  <c:v>Dec</c:v>
                </c:pt>
                <c:pt idx="340">
                  <c:v>Dec</c:v>
                </c:pt>
                <c:pt idx="341">
                  <c:v>Dec</c:v>
                </c:pt>
                <c:pt idx="342">
                  <c:v>Dec</c:v>
                </c:pt>
                <c:pt idx="343">
                  <c:v>Dec</c:v>
                </c:pt>
                <c:pt idx="344">
                  <c:v>Dec</c:v>
                </c:pt>
                <c:pt idx="345">
                  <c:v>Dec</c:v>
                </c:pt>
                <c:pt idx="346">
                  <c:v>Dec</c:v>
                </c:pt>
                <c:pt idx="347">
                  <c:v>Dec</c:v>
                </c:pt>
                <c:pt idx="348">
                  <c:v>Dec</c:v>
                </c:pt>
                <c:pt idx="349">
                  <c:v>Dec</c:v>
                </c:pt>
                <c:pt idx="350">
                  <c:v>Dec</c:v>
                </c:pt>
                <c:pt idx="351">
                  <c:v>Dec</c:v>
                </c:pt>
                <c:pt idx="352">
                  <c:v>Dec</c:v>
                </c:pt>
                <c:pt idx="353">
                  <c:v>Dec</c:v>
                </c:pt>
                <c:pt idx="354">
                  <c:v>Dec</c:v>
                </c:pt>
                <c:pt idx="355">
                  <c:v>Dec</c:v>
                </c:pt>
                <c:pt idx="356">
                  <c:v>Dec</c:v>
                </c:pt>
                <c:pt idx="357">
                  <c:v>Dec</c:v>
                </c:pt>
                <c:pt idx="358">
                  <c:v>Dec</c:v>
                </c:pt>
                <c:pt idx="359">
                  <c:v>Dec</c:v>
                </c:pt>
                <c:pt idx="360">
                  <c:v>Dec</c:v>
                </c:pt>
                <c:pt idx="361">
                  <c:v>Dec</c:v>
                </c:pt>
                <c:pt idx="362">
                  <c:v>Dec</c:v>
                </c:pt>
                <c:pt idx="363">
                  <c:v>Dec</c:v>
                </c:pt>
                <c:pt idx="364">
                  <c:v>Dec</c:v>
                </c:pt>
              </c:strCache>
            </c:strRef>
          </c:cat>
          <c:val>
            <c:numRef>
              <c:f>SLR!$E$2:$E$366</c:f>
              <c:numCache>
                <c:formatCode>0</c:formatCode>
                <c:ptCount val="365"/>
                <c:pt idx="0">
                  <c:v>38.507433191107125</c:v>
                </c:pt>
                <c:pt idx="1">
                  <c:v>38.526517744550539</c:v>
                </c:pt>
                <c:pt idx="2">
                  <c:v>38.545602297993952</c:v>
                </c:pt>
                <c:pt idx="3">
                  <c:v>38.564686851437365</c:v>
                </c:pt>
                <c:pt idx="4">
                  <c:v>38.583771404880778</c:v>
                </c:pt>
                <c:pt idx="5">
                  <c:v>38.602855958324191</c:v>
                </c:pt>
                <c:pt idx="6">
                  <c:v>38.621940511767598</c:v>
                </c:pt>
                <c:pt idx="7">
                  <c:v>38.641025065211011</c:v>
                </c:pt>
                <c:pt idx="8">
                  <c:v>38.660109618654424</c:v>
                </c:pt>
                <c:pt idx="9">
                  <c:v>38.679194172097837</c:v>
                </c:pt>
                <c:pt idx="10">
                  <c:v>38.69827872554125</c:v>
                </c:pt>
                <c:pt idx="11">
                  <c:v>38.717363278984664</c:v>
                </c:pt>
                <c:pt idx="12">
                  <c:v>38.736447832428077</c:v>
                </c:pt>
                <c:pt idx="13">
                  <c:v>38.75553238587149</c:v>
                </c:pt>
                <c:pt idx="14">
                  <c:v>38.774616939314903</c:v>
                </c:pt>
                <c:pt idx="15">
                  <c:v>38.793701492758316</c:v>
                </c:pt>
                <c:pt idx="16">
                  <c:v>38.81278604620173</c:v>
                </c:pt>
                <c:pt idx="17">
                  <c:v>38.831870599645143</c:v>
                </c:pt>
                <c:pt idx="18">
                  <c:v>38.850955153088549</c:v>
                </c:pt>
                <c:pt idx="19">
                  <c:v>38.870039706531962</c:v>
                </c:pt>
                <c:pt idx="20">
                  <c:v>38.889124259975375</c:v>
                </c:pt>
                <c:pt idx="21">
                  <c:v>38.908208813418788</c:v>
                </c:pt>
                <c:pt idx="22">
                  <c:v>38.927293366862202</c:v>
                </c:pt>
                <c:pt idx="23">
                  <c:v>38.946377920305615</c:v>
                </c:pt>
                <c:pt idx="24">
                  <c:v>38.965462473749028</c:v>
                </c:pt>
                <c:pt idx="25">
                  <c:v>38.984547027192441</c:v>
                </c:pt>
                <c:pt idx="26">
                  <c:v>39.003631580635854</c:v>
                </c:pt>
                <c:pt idx="27">
                  <c:v>39.022716134079268</c:v>
                </c:pt>
                <c:pt idx="28">
                  <c:v>39.041800687522681</c:v>
                </c:pt>
                <c:pt idx="29">
                  <c:v>39.060885240966094</c:v>
                </c:pt>
                <c:pt idx="30">
                  <c:v>39.079969794409507</c:v>
                </c:pt>
                <c:pt idx="31">
                  <c:v>39.099054347852913</c:v>
                </c:pt>
                <c:pt idx="32">
                  <c:v>39.118138901296327</c:v>
                </c:pt>
                <c:pt idx="33">
                  <c:v>39.13722345473974</c:v>
                </c:pt>
                <c:pt idx="34">
                  <c:v>39.156308008183153</c:v>
                </c:pt>
                <c:pt idx="35">
                  <c:v>39.175392561626566</c:v>
                </c:pt>
                <c:pt idx="36">
                  <c:v>39.194477115069979</c:v>
                </c:pt>
                <c:pt idx="37">
                  <c:v>39.213561668513393</c:v>
                </c:pt>
                <c:pt idx="38">
                  <c:v>39.232646221956806</c:v>
                </c:pt>
                <c:pt idx="39">
                  <c:v>39.251730775400219</c:v>
                </c:pt>
                <c:pt idx="40">
                  <c:v>39.270815328843632</c:v>
                </c:pt>
                <c:pt idx="41">
                  <c:v>39.289899882287045</c:v>
                </c:pt>
                <c:pt idx="42">
                  <c:v>39.308984435730459</c:v>
                </c:pt>
                <c:pt idx="43">
                  <c:v>39.328068989173865</c:v>
                </c:pt>
                <c:pt idx="44">
                  <c:v>39.347153542617278</c:v>
                </c:pt>
                <c:pt idx="45">
                  <c:v>39.366238096060691</c:v>
                </c:pt>
                <c:pt idx="46">
                  <c:v>39.385322649504104</c:v>
                </c:pt>
                <c:pt idx="47">
                  <c:v>39.404407202947517</c:v>
                </c:pt>
                <c:pt idx="48">
                  <c:v>39.423491756390931</c:v>
                </c:pt>
                <c:pt idx="49">
                  <c:v>39.442576309834344</c:v>
                </c:pt>
                <c:pt idx="50">
                  <c:v>39.461660863277757</c:v>
                </c:pt>
                <c:pt idx="51">
                  <c:v>39.48074541672117</c:v>
                </c:pt>
                <c:pt idx="52">
                  <c:v>39.499829970164583</c:v>
                </c:pt>
                <c:pt idx="53">
                  <c:v>39.518914523607997</c:v>
                </c:pt>
                <c:pt idx="54">
                  <c:v>39.53799907705141</c:v>
                </c:pt>
                <c:pt idx="55">
                  <c:v>39.557083630494816</c:v>
                </c:pt>
                <c:pt idx="56">
                  <c:v>39.576168183938229</c:v>
                </c:pt>
                <c:pt idx="57">
                  <c:v>39.595252737381642</c:v>
                </c:pt>
                <c:pt idx="58">
                  <c:v>39.614337290825056</c:v>
                </c:pt>
                <c:pt idx="59">
                  <c:v>39.633421844268469</c:v>
                </c:pt>
                <c:pt idx="60">
                  <c:v>39.652506397711882</c:v>
                </c:pt>
                <c:pt idx="61">
                  <c:v>39.671590951155295</c:v>
                </c:pt>
                <c:pt idx="62">
                  <c:v>39.690675504598708</c:v>
                </c:pt>
                <c:pt idx="63">
                  <c:v>39.709760058042121</c:v>
                </c:pt>
                <c:pt idx="64">
                  <c:v>39.728844611485535</c:v>
                </c:pt>
                <c:pt idx="65">
                  <c:v>39.747929164928948</c:v>
                </c:pt>
                <c:pt idx="66">
                  <c:v>39.767013718372361</c:v>
                </c:pt>
                <c:pt idx="67">
                  <c:v>39.786098271815774</c:v>
                </c:pt>
                <c:pt idx="68">
                  <c:v>39.80518282525918</c:v>
                </c:pt>
                <c:pt idx="69">
                  <c:v>39.824267378702594</c:v>
                </c:pt>
                <c:pt idx="70">
                  <c:v>39.843351932146007</c:v>
                </c:pt>
                <c:pt idx="71">
                  <c:v>39.86243648558942</c:v>
                </c:pt>
                <c:pt idx="72">
                  <c:v>39.881521039032833</c:v>
                </c:pt>
                <c:pt idx="73">
                  <c:v>39.900605592476246</c:v>
                </c:pt>
                <c:pt idx="74">
                  <c:v>39.91969014591966</c:v>
                </c:pt>
                <c:pt idx="75">
                  <c:v>39.938774699363073</c:v>
                </c:pt>
                <c:pt idx="76">
                  <c:v>39.957859252806486</c:v>
                </c:pt>
                <c:pt idx="77">
                  <c:v>39.976943806249899</c:v>
                </c:pt>
                <c:pt idx="78">
                  <c:v>39.996028359693312</c:v>
                </c:pt>
                <c:pt idx="79">
                  <c:v>40.015112913136726</c:v>
                </c:pt>
                <c:pt idx="80">
                  <c:v>40.034197466580132</c:v>
                </c:pt>
                <c:pt idx="81">
                  <c:v>40.053282020023545</c:v>
                </c:pt>
                <c:pt idx="82">
                  <c:v>40.072366573466958</c:v>
                </c:pt>
                <c:pt idx="83">
                  <c:v>40.091451126910371</c:v>
                </c:pt>
                <c:pt idx="84">
                  <c:v>40.110535680353784</c:v>
                </c:pt>
                <c:pt idx="85">
                  <c:v>40.129620233797198</c:v>
                </c:pt>
                <c:pt idx="86">
                  <c:v>40.148704787240611</c:v>
                </c:pt>
                <c:pt idx="87">
                  <c:v>40.167789340684024</c:v>
                </c:pt>
                <c:pt idx="88">
                  <c:v>40.186873894127437</c:v>
                </c:pt>
                <c:pt idx="89">
                  <c:v>40.20595844757085</c:v>
                </c:pt>
                <c:pt idx="90">
                  <c:v>40.225043001014264</c:v>
                </c:pt>
                <c:pt idx="91">
                  <c:v>40.244127554457677</c:v>
                </c:pt>
                <c:pt idx="92">
                  <c:v>40.263212107901083</c:v>
                </c:pt>
                <c:pt idx="93">
                  <c:v>40.282296661344496</c:v>
                </c:pt>
                <c:pt idx="94">
                  <c:v>40.301381214787909</c:v>
                </c:pt>
                <c:pt idx="95">
                  <c:v>40.320465768231323</c:v>
                </c:pt>
                <c:pt idx="96">
                  <c:v>40.339550321674736</c:v>
                </c:pt>
                <c:pt idx="97">
                  <c:v>40.358634875118149</c:v>
                </c:pt>
                <c:pt idx="98">
                  <c:v>40.377719428561562</c:v>
                </c:pt>
                <c:pt idx="99">
                  <c:v>40.396803982004975</c:v>
                </c:pt>
                <c:pt idx="100">
                  <c:v>40.415888535448389</c:v>
                </c:pt>
                <c:pt idx="101">
                  <c:v>40.434973088891802</c:v>
                </c:pt>
                <c:pt idx="102">
                  <c:v>40.454057642335215</c:v>
                </c:pt>
                <c:pt idx="103">
                  <c:v>40.473142195778628</c:v>
                </c:pt>
                <c:pt idx="104">
                  <c:v>40.492226749222041</c:v>
                </c:pt>
                <c:pt idx="105">
                  <c:v>40.511311302665447</c:v>
                </c:pt>
                <c:pt idx="106">
                  <c:v>40.530395856108861</c:v>
                </c:pt>
                <c:pt idx="107">
                  <c:v>40.549480409552274</c:v>
                </c:pt>
                <c:pt idx="108">
                  <c:v>40.568564962995687</c:v>
                </c:pt>
                <c:pt idx="109">
                  <c:v>40.5876495164391</c:v>
                </c:pt>
                <c:pt idx="110">
                  <c:v>40.606734069882513</c:v>
                </c:pt>
                <c:pt idx="111">
                  <c:v>40.625818623325927</c:v>
                </c:pt>
                <c:pt idx="112">
                  <c:v>40.64490317676934</c:v>
                </c:pt>
                <c:pt idx="113">
                  <c:v>40.663987730212753</c:v>
                </c:pt>
                <c:pt idx="114">
                  <c:v>40.683072283656166</c:v>
                </c:pt>
                <c:pt idx="115">
                  <c:v>40.702156837099579</c:v>
                </c:pt>
                <c:pt idx="116">
                  <c:v>40.721241390542993</c:v>
                </c:pt>
                <c:pt idx="117">
                  <c:v>40.740325943986406</c:v>
                </c:pt>
                <c:pt idx="118">
                  <c:v>40.759410497429812</c:v>
                </c:pt>
                <c:pt idx="119">
                  <c:v>40.778495050873225</c:v>
                </c:pt>
                <c:pt idx="120">
                  <c:v>40.797579604316638</c:v>
                </c:pt>
                <c:pt idx="121">
                  <c:v>40.816664157760052</c:v>
                </c:pt>
                <c:pt idx="122">
                  <c:v>40.835748711203465</c:v>
                </c:pt>
                <c:pt idx="123">
                  <c:v>40.854833264646878</c:v>
                </c:pt>
                <c:pt idx="124">
                  <c:v>40.873917818090291</c:v>
                </c:pt>
                <c:pt idx="125">
                  <c:v>40.893002371533704</c:v>
                </c:pt>
                <c:pt idx="126">
                  <c:v>40.912086924977118</c:v>
                </c:pt>
                <c:pt idx="127">
                  <c:v>40.931171478420531</c:v>
                </c:pt>
                <c:pt idx="128">
                  <c:v>40.950256031863944</c:v>
                </c:pt>
                <c:pt idx="129">
                  <c:v>40.96934058530735</c:v>
                </c:pt>
                <c:pt idx="130">
                  <c:v>40.988425138750763</c:v>
                </c:pt>
                <c:pt idx="131">
                  <c:v>41.007509692194176</c:v>
                </c:pt>
                <c:pt idx="132">
                  <c:v>41.02659424563759</c:v>
                </c:pt>
                <c:pt idx="133">
                  <c:v>41.045678799081003</c:v>
                </c:pt>
                <c:pt idx="134">
                  <c:v>41.064763352524416</c:v>
                </c:pt>
                <c:pt idx="135">
                  <c:v>41.083847905967829</c:v>
                </c:pt>
                <c:pt idx="136">
                  <c:v>41.102932459411242</c:v>
                </c:pt>
                <c:pt idx="137">
                  <c:v>41.122017012854656</c:v>
                </c:pt>
                <c:pt idx="138">
                  <c:v>41.141101566298069</c:v>
                </c:pt>
                <c:pt idx="139">
                  <c:v>41.160186119741482</c:v>
                </c:pt>
                <c:pt idx="140">
                  <c:v>41.179270673184895</c:v>
                </c:pt>
                <c:pt idx="141">
                  <c:v>41.198355226628308</c:v>
                </c:pt>
                <c:pt idx="142">
                  <c:v>41.217439780071714</c:v>
                </c:pt>
                <c:pt idx="143">
                  <c:v>41.236524333515128</c:v>
                </c:pt>
                <c:pt idx="144">
                  <c:v>41.255608886958541</c:v>
                </c:pt>
                <c:pt idx="145">
                  <c:v>41.274693440401954</c:v>
                </c:pt>
                <c:pt idx="146">
                  <c:v>41.293777993845367</c:v>
                </c:pt>
                <c:pt idx="147">
                  <c:v>41.31286254728878</c:v>
                </c:pt>
                <c:pt idx="148">
                  <c:v>41.331947100732194</c:v>
                </c:pt>
                <c:pt idx="149">
                  <c:v>41.351031654175607</c:v>
                </c:pt>
                <c:pt idx="150">
                  <c:v>41.37011620761902</c:v>
                </c:pt>
                <c:pt idx="151">
                  <c:v>41.389200761062433</c:v>
                </c:pt>
                <c:pt idx="152">
                  <c:v>41.408285314505846</c:v>
                </c:pt>
                <c:pt idx="153">
                  <c:v>41.42736986794926</c:v>
                </c:pt>
                <c:pt idx="154">
                  <c:v>41.446454421392673</c:v>
                </c:pt>
                <c:pt idx="155">
                  <c:v>41.465538974836079</c:v>
                </c:pt>
                <c:pt idx="156">
                  <c:v>41.484623528279492</c:v>
                </c:pt>
                <c:pt idx="157">
                  <c:v>41.503708081722905</c:v>
                </c:pt>
                <c:pt idx="158">
                  <c:v>41.522792635166319</c:v>
                </c:pt>
                <c:pt idx="159">
                  <c:v>41.541877188609732</c:v>
                </c:pt>
                <c:pt idx="160">
                  <c:v>41.560961742053145</c:v>
                </c:pt>
                <c:pt idx="161">
                  <c:v>41.580046295496558</c:v>
                </c:pt>
                <c:pt idx="162">
                  <c:v>41.599130848939971</c:v>
                </c:pt>
                <c:pt idx="163">
                  <c:v>41.618215402383385</c:v>
                </c:pt>
                <c:pt idx="164">
                  <c:v>41.637299955826798</c:v>
                </c:pt>
                <c:pt idx="165">
                  <c:v>41.656384509270211</c:v>
                </c:pt>
                <c:pt idx="166">
                  <c:v>41.675469062713624</c:v>
                </c:pt>
                <c:pt idx="167">
                  <c:v>41.69455361615703</c:v>
                </c:pt>
                <c:pt idx="168">
                  <c:v>41.713638169600443</c:v>
                </c:pt>
                <c:pt idx="169">
                  <c:v>41.732722723043857</c:v>
                </c:pt>
                <c:pt idx="170">
                  <c:v>41.75180727648727</c:v>
                </c:pt>
                <c:pt idx="171">
                  <c:v>41.770891829930683</c:v>
                </c:pt>
                <c:pt idx="172">
                  <c:v>41.789976383374096</c:v>
                </c:pt>
                <c:pt idx="173">
                  <c:v>41.809060936817509</c:v>
                </c:pt>
                <c:pt idx="174">
                  <c:v>41.828145490260923</c:v>
                </c:pt>
                <c:pt idx="175">
                  <c:v>41.847230043704336</c:v>
                </c:pt>
                <c:pt idx="176">
                  <c:v>41.866314597147749</c:v>
                </c:pt>
                <c:pt idx="177">
                  <c:v>41.885399150591162</c:v>
                </c:pt>
                <c:pt idx="178">
                  <c:v>41.904483704034575</c:v>
                </c:pt>
                <c:pt idx="179">
                  <c:v>41.923568257477982</c:v>
                </c:pt>
                <c:pt idx="180">
                  <c:v>41.942652810921395</c:v>
                </c:pt>
                <c:pt idx="181">
                  <c:v>41.961737364364808</c:v>
                </c:pt>
                <c:pt idx="182">
                  <c:v>41.980821917808221</c:v>
                </c:pt>
                <c:pt idx="183">
                  <c:v>41.999906471251634</c:v>
                </c:pt>
                <c:pt idx="184">
                  <c:v>42.018991024695048</c:v>
                </c:pt>
                <c:pt idx="185">
                  <c:v>42.038075578138461</c:v>
                </c:pt>
                <c:pt idx="186">
                  <c:v>42.057160131581874</c:v>
                </c:pt>
                <c:pt idx="187">
                  <c:v>42.076244685025287</c:v>
                </c:pt>
                <c:pt idx="188">
                  <c:v>42.0953292384687</c:v>
                </c:pt>
                <c:pt idx="189">
                  <c:v>42.114413791912114</c:v>
                </c:pt>
                <c:pt idx="190">
                  <c:v>42.133498345355527</c:v>
                </c:pt>
                <c:pt idx="191">
                  <c:v>42.15258289879894</c:v>
                </c:pt>
                <c:pt idx="192">
                  <c:v>42.171667452242346</c:v>
                </c:pt>
                <c:pt idx="193">
                  <c:v>42.190752005685759</c:v>
                </c:pt>
                <c:pt idx="194">
                  <c:v>42.209836559129172</c:v>
                </c:pt>
                <c:pt idx="195">
                  <c:v>42.228921112572586</c:v>
                </c:pt>
                <c:pt idx="196">
                  <c:v>42.248005666015999</c:v>
                </c:pt>
                <c:pt idx="197">
                  <c:v>42.267090219459412</c:v>
                </c:pt>
                <c:pt idx="198">
                  <c:v>42.286174772902825</c:v>
                </c:pt>
                <c:pt idx="199">
                  <c:v>42.305259326346238</c:v>
                </c:pt>
                <c:pt idx="200">
                  <c:v>42.324343879789652</c:v>
                </c:pt>
                <c:pt idx="201">
                  <c:v>42.343428433233065</c:v>
                </c:pt>
                <c:pt idx="202">
                  <c:v>42.362512986676478</c:v>
                </c:pt>
                <c:pt idx="203">
                  <c:v>42.381597540119891</c:v>
                </c:pt>
                <c:pt idx="204">
                  <c:v>42.400682093563304</c:v>
                </c:pt>
                <c:pt idx="205">
                  <c:v>42.419766647006711</c:v>
                </c:pt>
                <c:pt idx="206">
                  <c:v>42.438851200450124</c:v>
                </c:pt>
                <c:pt idx="207">
                  <c:v>42.457935753893537</c:v>
                </c:pt>
                <c:pt idx="208">
                  <c:v>42.47702030733695</c:v>
                </c:pt>
                <c:pt idx="209">
                  <c:v>42.496104860780363</c:v>
                </c:pt>
                <c:pt idx="210">
                  <c:v>42.515189414223777</c:v>
                </c:pt>
                <c:pt idx="211">
                  <c:v>42.53427396766719</c:v>
                </c:pt>
                <c:pt idx="212">
                  <c:v>42.553358521110603</c:v>
                </c:pt>
                <c:pt idx="213">
                  <c:v>42.572443074554016</c:v>
                </c:pt>
                <c:pt idx="214">
                  <c:v>42.591527627997429</c:v>
                </c:pt>
                <c:pt idx="215">
                  <c:v>42.610612181440843</c:v>
                </c:pt>
                <c:pt idx="216">
                  <c:v>42.629696734884249</c:v>
                </c:pt>
                <c:pt idx="217">
                  <c:v>42.648781288327662</c:v>
                </c:pt>
                <c:pt idx="218">
                  <c:v>42.667865841771075</c:v>
                </c:pt>
                <c:pt idx="219">
                  <c:v>42.686950395214488</c:v>
                </c:pt>
                <c:pt idx="220">
                  <c:v>42.706034948657901</c:v>
                </c:pt>
                <c:pt idx="221">
                  <c:v>42.725119502101315</c:v>
                </c:pt>
                <c:pt idx="222">
                  <c:v>42.744204055544728</c:v>
                </c:pt>
                <c:pt idx="223">
                  <c:v>42.763288608988141</c:v>
                </c:pt>
                <c:pt idx="224">
                  <c:v>42.782373162431554</c:v>
                </c:pt>
                <c:pt idx="225">
                  <c:v>42.801457715874967</c:v>
                </c:pt>
                <c:pt idx="226">
                  <c:v>42.820542269318381</c:v>
                </c:pt>
                <c:pt idx="227">
                  <c:v>42.839626822761794</c:v>
                </c:pt>
                <c:pt idx="228">
                  <c:v>42.858711376205207</c:v>
                </c:pt>
                <c:pt idx="229">
                  <c:v>42.877795929648613</c:v>
                </c:pt>
                <c:pt idx="230">
                  <c:v>42.896880483092026</c:v>
                </c:pt>
                <c:pt idx="231">
                  <c:v>42.915965036535439</c:v>
                </c:pt>
                <c:pt idx="232">
                  <c:v>42.935049589978853</c:v>
                </c:pt>
                <c:pt idx="233">
                  <c:v>42.954134143422266</c:v>
                </c:pt>
                <c:pt idx="234">
                  <c:v>42.973218696865679</c:v>
                </c:pt>
                <c:pt idx="235">
                  <c:v>42.992303250309092</c:v>
                </c:pt>
                <c:pt idx="236">
                  <c:v>43.011387803752505</c:v>
                </c:pt>
                <c:pt idx="237">
                  <c:v>43.030472357195919</c:v>
                </c:pt>
                <c:pt idx="238">
                  <c:v>43.049556910639332</c:v>
                </c:pt>
                <c:pt idx="239">
                  <c:v>43.068641464082745</c:v>
                </c:pt>
                <c:pt idx="240">
                  <c:v>43.087726017526158</c:v>
                </c:pt>
                <c:pt idx="241">
                  <c:v>43.106810570969571</c:v>
                </c:pt>
                <c:pt idx="242">
                  <c:v>43.125895124412978</c:v>
                </c:pt>
                <c:pt idx="243">
                  <c:v>43.144979677856391</c:v>
                </c:pt>
                <c:pt idx="244">
                  <c:v>43.164064231299804</c:v>
                </c:pt>
                <c:pt idx="245">
                  <c:v>43.183148784743217</c:v>
                </c:pt>
                <c:pt idx="246">
                  <c:v>43.20223333818663</c:v>
                </c:pt>
                <c:pt idx="247">
                  <c:v>43.221317891630044</c:v>
                </c:pt>
                <c:pt idx="248">
                  <c:v>43.240402445073457</c:v>
                </c:pt>
                <c:pt idx="249">
                  <c:v>43.25948699851687</c:v>
                </c:pt>
                <c:pt idx="250">
                  <c:v>43.278571551960283</c:v>
                </c:pt>
                <c:pt idx="251">
                  <c:v>43.297656105403696</c:v>
                </c:pt>
                <c:pt idx="252">
                  <c:v>43.31674065884711</c:v>
                </c:pt>
                <c:pt idx="253">
                  <c:v>43.335825212290516</c:v>
                </c:pt>
                <c:pt idx="254">
                  <c:v>43.354909765733936</c:v>
                </c:pt>
                <c:pt idx="255">
                  <c:v>43.373994319177342</c:v>
                </c:pt>
                <c:pt idx="256">
                  <c:v>43.393078872620755</c:v>
                </c:pt>
                <c:pt idx="257">
                  <c:v>43.412163426064168</c:v>
                </c:pt>
                <c:pt idx="258">
                  <c:v>43.431247979507582</c:v>
                </c:pt>
                <c:pt idx="259">
                  <c:v>43.450332532950995</c:v>
                </c:pt>
                <c:pt idx="260">
                  <c:v>43.469417086394408</c:v>
                </c:pt>
                <c:pt idx="261">
                  <c:v>43.488501639837821</c:v>
                </c:pt>
                <c:pt idx="262">
                  <c:v>43.507586193281234</c:v>
                </c:pt>
                <c:pt idx="263">
                  <c:v>43.526670746724648</c:v>
                </c:pt>
                <c:pt idx="264">
                  <c:v>43.545755300168061</c:v>
                </c:pt>
                <c:pt idx="265">
                  <c:v>43.564839853611474</c:v>
                </c:pt>
                <c:pt idx="266">
                  <c:v>43.58392440705488</c:v>
                </c:pt>
                <c:pt idx="267">
                  <c:v>43.603008960498293</c:v>
                </c:pt>
                <c:pt idx="268">
                  <c:v>43.622093513941707</c:v>
                </c:pt>
                <c:pt idx="269">
                  <c:v>43.64117806738512</c:v>
                </c:pt>
                <c:pt idx="270">
                  <c:v>43.660262620828533</c:v>
                </c:pt>
                <c:pt idx="271">
                  <c:v>43.679347174271946</c:v>
                </c:pt>
                <c:pt idx="272">
                  <c:v>43.698431727715359</c:v>
                </c:pt>
                <c:pt idx="273">
                  <c:v>43.717516281158773</c:v>
                </c:pt>
                <c:pt idx="274">
                  <c:v>43.736600834602186</c:v>
                </c:pt>
                <c:pt idx="275">
                  <c:v>43.755685388045599</c:v>
                </c:pt>
                <c:pt idx="276">
                  <c:v>43.774769941489012</c:v>
                </c:pt>
                <c:pt idx="277">
                  <c:v>43.793854494932425</c:v>
                </c:pt>
                <c:pt idx="278">
                  <c:v>43.812939048375839</c:v>
                </c:pt>
                <c:pt idx="279">
                  <c:v>43.832023601819245</c:v>
                </c:pt>
                <c:pt idx="280">
                  <c:v>43.851108155262658</c:v>
                </c:pt>
                <c:pt idx="281">
                  <c:v>43.870192708706071</c:v>
                </c:pt>
                <c:pt idx="282">
                  <c:v>43.889277262149484</c:v>
                </c:pt>
                <c:pt idx="283">
                  <c:v>43.908361815592897</c:v>
                </c:pt>
                <c:pt idx="284">
                  <c:v>43.927446369036311</c:v>
                </c:pt>
                <c:pt idx="285">
                  <c:v>43.946530922479724</c:v>
                </c:pt>
                <c:pt idx="286">
                  <c:v>43.965615475923137</c:v>
                </c:pt>
                <c:pt idx="287">
                  <c:v>43.98470002936655</c:v>
                </c:pt>
                <c:pt idx="288">
                  <c:v>44.003784582809963</c:v>
                </c:pt>
                <c:pt idx="289">
                  <c:v>44.022869136253377</c:v>
                </c:pt>
                <c:pt idx="290">
                  <c:v>44.041953689696783</c:v>
                </c:pt>
                <c:pt idx="291">
                  <c:v>44.061038243140203</c:v>
                </c:pt>
                <c:pt idx="292">
                  <c:v>44.080122796583609</c:v>
                </c:pt>
                <c:pt idx="293">
                  <c:v>44.099207350027022</c:v>
                </c:pt>
                <c:pt idx="294">
                  <c:v>44.118291903470435</c:v>
                </c:pt>
                <c:pt idx="295">
                  <c:v>44.137376456913849</c:v>
                </c:pt>
                <c:pt idx="296">
                  <c:v>44.156461010357262</c:v>
                </c:pt>
                <c:pt idx="297">
                  <c:v>44.175545563800675</c:v>
                </c:pt>
                <c:pt idx="298">
                  <c:v>44.194630117244088</c:v>
                </c:pt>
                <c:pt idx="299">
                  <c:v>44.213714670687501</c:v>
                </c:pt>
                <c:pt idx="300">
                  <c:v>44.232799224130915</c:v>
                </c:pt>
                <c:pt idx="301">
                  <c:v>44.251883777574328</c:v>
                </c:pt>
                <c:pt idx="302">
                  <c:v>44.270968331017741</c:v>
                </c:pt>
                <c:pt idx="303">
                  <c:v>44.290052884461147</c:v>
                </c:pt>
                <c:pt idx="304">
                  <c:v>44.30913743790456</c:v>
                </c:pt>
                <c:pt idx="305">
                  <c:v>44.328221991347974</c:v>
                </c:pt>
                <c:pt idx="306">
                  <c:v>44.347306544791387</c:v>
                </c:pt>
                <c:pt idx="307">
                  <c:v>44.3663910982348</c:v>
                </c:pt>
                <c:pt idx="308">
                  <c:v>44.385475651678213</c:v>
                </c:pt>
                <c:pt idx="309">
                  <c:v>44.404560205121626</c:v>
                </c:pt>
                <c:pt idx="310">
                  <c:v>44.42364475856504</c:v>
                </c:pt>
                <c:pt idx="311">
                  <c:v>44.442729312008453</c:v>
                </c:pt>
                <c:pt idx="312">
                  <c:v>44.461813865451866</c:v>
                </c:pt>
                <c:pt idx="313">
                  <c:v>44.480898418895279</c:v>
                </c:pt>
                <c:pt idx="314">
                  <c:v>44.499982972338692</c:v>
                </c:pt>
                <c:pt idx="315">
                  <c:v>44.519067525782106</c:v>
                </c:pt>
                <c:pt idx="316">
                  <c:v>44.538152079225512</c:v>
                </c:pt>
                <c:pt idx="317">
                  <c:v>44.557236632668925</c:v>
                </c:pt>
                <c:pt idx="318">
                  <c:v>44.576321186112338</c:v>
                </c:pt>
                <c:pt idx="319">
                  <c:v>44.595405739555751</c:v>
                </c:pt>
                <c:pt idx="320">
                  <c:v>44.614490292999164</c:v>
                </c:pt>
                <c:pt idx="321">
                  <c:v>44.633574846442578</c:v>
                </c:pt>
                <c:pt idx="322">
                  <c:v>44.652659399885991</c:v>
                </c:pt>
                <c:pt idx="323">
                  <c:v>44.671743953329404</c:v>
                </c:pt>
                <c:pt idx="324">
                  <c:v>44.690828506772817</c:v>
                </c:pt>
                <c:pt idx="325">
                  <c:v>44.70991306021623</c:v>
                </c:pt>
                <c:pt idx="326">
                  <c:v>44.728997613659644</c:v>
                </c:pt>
                <c:pt idx="327">
                  <c:v>44.748082167103057</c:v>
                </c:pt>
                <c:pt idx="328">
                  <c:v>44.76716672054647</c:v>
                </c:pt>
                <c:pt idx="329">
                  <c:v>44.786251273989876</c:v>
                </c:pt>
                <c:pt idx="330">
                  <c:v>44.805335827433289</c:v>
                </c:pt>
                <c:pt idx="331">
                  <c:v>44.824420380876703</c:v>
                </c:pt>
                <c:pt idx="332">
                  <c:v>44.843504934320116</c:v>
                </c:pt>
                <c:pt idx="333">
                  <c:v>44.862589487763529</c:v>
                </c:pt>
                <c:pt idx="334">
                  <c:v>44.881674041206942</c:v>
                </c:pt>
                <c:pt idx="335">
                  <c:v>44.900758594650355</c:v>
                </c:pt>
                <c:pt idx="336">
                  <c:v>44.919843148093769</c:v>
                </c:pt>
                <c:pt idx="337">
                  <c:v>44.938927701537182</c:v>
                </c:pt>
                <c:pt idx="338">
                  <c:v>44.958012254980595</c:v>
                </c:pt>
                <c:pt idx="339">
                  <c:v>44.977096808424008</c:v>
                </c:pt>
                <c:pt idx="340">
                  <c:v>44.996181361867414</c:v>
                </c:pt>
                <c:pt idx="341">
                  <c:v>45.015265915310835</c:v>
                </c:pt>
                <c:pt idx="342">
                  <c:v>45.034350468754241</c:v>
                </c:pt>
                <c:pt idx="343">
                  <c:v>45.053435022197654</c:v>
                </c:pt>
                <c:pt idx="344">
                  <c:v>45.072519575641067</c:v>
                </c:pt>
                <c:pt idx="345">
                  <c:v>45.09160412908448</c:v>
                </c:pt>
                <c:pt idx="346">
                  <c:v>45.110688682527893</c:v>
                </c:pt>
                <c:pt idx="347">
                  <c:v>45.129773235971307</c:v>
                </c:pt>
                <c:pt idx="348">
                  <c:v>45.14885778941472</c:v>
                </c:pt>
                <c:pt idx="349">
                  <c:v>45.167942342858133</c:v>
                </c:pt>
                <c:pt idx="350">
                  <c:v>45.187026896301546</c:v>
                </c:pt>
                <c:pt idx="351">
                  <c:v>45.206111449744959</c:v>
                </c:pt>
                <c:pt idx="352">
                  <c:v>45.225196003188373</c:v>
                </c:pt>
                <c:pt idx="353">
                  <c:v>45.244280556631779</c:v>
                </c:pt>
                <c:pt idx="354">
                  <c:v>45.263365110075192</c:v>
                </c:pt>
                <c:pt idx="355">
                  <c:v>45.282449663518605</c:v>
                </c:pt>
                <c:pt idx="356">
                  <c:v>45.301534216962018</c:v>
                </c:pt>
                <c:pt idx="357">
                  <c:v>45.320618770405432</c:v>
                </c:pt>
                <c:pt idx="358">
                  <c:v>45.339703323848845</c:v>
                </c:pt>
                <c:pt idx="359">
                  <c:v>45.358787877292258</c:v>
                </c:pt>
                <c:pt idx="360">
                  <c:v>45.377872430735671</c:v>
                </c:pt>
                <c:pt idx="361">
                  <c:v>45.396956984179084</c:v>
                </c:pt>
                <c:pt idx="362">
                  <c:v>45.416041537622498</c:v>
                </c:pt>
                <c:pt idx="363">
                  <c:v>45.435126091065911</c:v>
                </c:pt>
                <c:pt idx="364">
                  <c:v>45.454210644509324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9-4237-9B97-0BA9495BA910}"/>
            </c:ext>
          </c:extLst>
        </c:ser>
        <c:ser>
          <c:idx val="2"/>
          <c:order val="2"/>
          <c:tx>
            <c:strRef>
              <c:f>SLR!$K$1</c:f>
              <c:strCache>
                <c:ptCount val="1"/>
                <c:pt idx="0">
                  <c:v>SLR Forecast * Seasonality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SLR!$A$2:$A$366</c:f>
              <c:strCache>
                <c:ptCount val="365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Jan</c:v>
                </c:pt>
                <c:pt idx="23">
                  <c:v>Jan</c:v>
                </c:pt>
                <c:pt idx="24">
                  <c:v>Jan</c:v>
                </c:pt>
                <c:pt idx="25">
                  <c:v>Jan</c:v>
                </c:pt>
                <c:pt idx="26">
                  <c:v>Jan</c:v>
                </c:pt>
                <c:pt idx="27">
                  <c:v>Jan</c:v>
                </c:pt>
                <c:pt idx="28">
                  <c:v>Jan</c:v>
                </c:pt>
                <c:pt idx="29">
                  <c:v>Jan</c:v>
                </c:pt>
                <c:pt idx="30">
                  <c:v>Jan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Feb</c:v>
                </c:pt>
                <c:pt idx="43">
                  <c:v>Feb</c:v>
                </c:pt>
                <c:pt idx="44">
                  <c:v>Feb</c:v>
                </c:pt>
                <c:pt idx="45">
                  <c:v>Feb</c:v>
                </c:pt>
                <c:pt idx="46">
                  <c:v>Feb</c:v>
                </c:pt>
                <c:pt idx="47">
                  <c:v>Feb</c:v>
                </c:pt>
                <c:pt idx="48">
                  <c:v>Feb</c:v>
                </c:pt>
                <c:pt idx="49">
                  <c:v>Feb</c:v>
                </c:pt>
                <c:pt idx="50">
                  <c:v>Feb</c:v>
                </c:pt>
                <c:pt idx="51">
                  <c:v>Feb</c:v>
                </c:pt>
                <c:pt idx="52">
                  <c:v>Feb</c:v>
                </c:pt>
                <c:pt idx="53">
                  <c:v>Feb</c:v>
                </c:pt>
                <c:pt idx="54">
                  <c:v>Feb</c:v>
                </c:pt>
                <c:pt idx="55">
                  <c:v>Feb</c:v>
                </c:pt>
                <c:pt idx="56">
                  <c:v>Feb</c:v>
                </c:pt>
                <c:pt idx="57">
                  <c:v>Feb</c:v>
                </c:pt>
                <c:pt idx="58">
                  <c:v>Feb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Mar</c:v>
                </c:pt>
                <c:pt idx="66">
                  <c:v>Mar</c:v>
                </c:pt>
                <c:pt idx="67">
                  <c:v>Mar</c:v>
                </c:pt>
                <c:pt idx="68">
                  <c:v>Mar</c:v>
                </c:pt>
                <c:pt idx="69">
                  <c:v>Mar</c:v>
                </c:pt>
                <c:pt idx="70">
                  <c:v>Mar</c:v>
                </c:pt>
                <c:pt idx="71">
                  <c:v>Mar</c:v>
                </c:pt>
                <c:pt idx="72">
                  <c:v>Mar</c:v>
                </c:pt>
                <c:pt idx="73">
                  <c:v>Mar</c:v>
                </c:pt>
                <c:pt idx="74">
                  <c:v>Mar</c:v>
                </c:pt>
                <c:pt idx="75">
                  <c:v>Mar</c:v>
                </c:pt>
                <c:pt idx="76">
                  <c:v>Mar</c:v>
                </c:pt>
                <c:pt idx="77">
                  <c:v>Mar</c:v>
                </c:pt>
                <c:pt idx="78">
                  <c:v>Mar</c:v>
                </c:pt>
                <c:pt idx="79">
                  <c:v>Mar</c:v>
                </c:pt>
                <c:pt idx="80">
                  <c:v>Mar</c:v>
                </c:pt>
                <c:pt idx="81">
                  <c:v>Mar</c:v>
                </c:pt>
                <c:pt idx="82">
                  <c:v>Mar</c:v>
                </c:pt>
                <c:pt idx="83">
                  <c:v>Mar</c:v>
                </c:pt>
                <c:pt idx="84">
                  <c:v>Mar</c:v>
                </c:pt>
                <c:pt idx="85">
                  <c:v>Mar</c:v>
                </c:pt>
                <c:pt idx="86">
                  <c:v>Mar</c:v>
                </c:pt>
                <c:pt idx="87">
                  <c:v>Mar</c:v>
                </c:pt>
                <c:pt idx="88">
                  <c:v>Mar</c:v>
                </c:pt>
                <c:pt idx="89">
                  <c:v>Mar</c:v>
                </c:pt>
                <c:pt idx="90">
                  <c:v>Apr</c:v>
                </c:pt>
                <c:pt idx="91">
                  <c:v>Apr</c:v>
                </c:pt>
                <c:pt idx="92">
                  <c:v>Apr</c:v>
                </c:pt>
                <c:pt idx="93">
                  <c:v>Apr</c:v>
                </c:pt>
                <c:pt idx="94">
                  <c:v>Apr</c:v>
                </c:pt>
                <c:pt idx="95">
                  <c:v>Apr</c:v>
                </c:pt>
                <c:pt idx="96">
                  <c:v>Apr</c:v>
                </c:pt>
                <c:pt idx="97">
                  <c:v>Apr</c:v>
                </c:pt>
                <c:pt idx="98">
                  <c:v>Apr</c:v>
                </c:pt>
                <c:pt idx="99">
                  <c:v>Apr</c:v>
                </c:pt>
                <c:pt idx="100">
                  <c:v>Apr</c:v>
                </c:pt>
                <c:pt idx="101">
                  <c:v>Apr</c:v>
                </c:pt>
                <c:pt idx="102">
                  <c:v>Apr</c:v>
                </c:pt>
                <c:pt idx="103">
                  <c:v>Apr</c:v>
                </c:pt>
                <c:pt idx="104">
                  <c:v>Apr</c:v>
                </c:pt>
                <c:pt idx="105">
                  <c:v>Apr</c:v>
                </c:pt>
                <c:pt idx="106">
                  <c:v>Apr</c:v>
                </c:pt>
                <c:pt idx="107">
                  <c:v>Apr</c:v>
                </c:pt>
                <c:pt idx="108">
                  <c:v>Apr</c:v>
                </c:pt>
                <c:pt idx="109">
                  <c:v>Apr</c:v>
                </c:pt>
                <c:pt idx="110">
                  <c:v>Apr</c:v>
                </c:pt>
                <c:pt idx="111">
                  <c:v>Apr</c:v>
                </c:pt>
                <c:pt idx="112">
                  <c:v>Apr</c:v>
                </c:pt>
                <c:pt idx="113">
                  <c:v>Apr</c:v>
                </c:pt>
                <c:pt idx="114">
                  <c:v>Apr</c:v>
                </c:pt>
                <c:pt idx="115">
                  <c:v>Apr</c:v>
                </c:pt>
                <c:pt idx="116">
                  <c:v>Apr</c:v>
                </c:pt>
                <c:pt idx="117">
                  <c:v>Apr</c:v>
                </c:pt>
                <c:pt idx="118">
                  <c:v>Apr</c:v>
                </c:pt>
                <c:pt idx="119">
                  <c:v>Apr</c:v>
                </c:pt>
                <c:pt idx="120">
                  <c:v>May</c:v>
                </c:pt>
                <c:pt idx="121">
                  <c:v>May</c:v>
                </c:pt>
                <c:pt idx="122">
                  <c:v>May</c:v>
                </c:pt>
                <c:pt idx="123">
                  <c:v>May</c:v>
                </c:pt>
                <c:pt idx="124">
                  <c:v>May</c:v>
                </c:pt>
                <c:pt idx="125">
                  <c:v>May</c:v>
                </c:pt>
                <c:pt idx="126">
                  <c:v>May</c:v>
                </c:pt>
                <c:pt idx="127">
                  <c:v>May</c:v>
                </c:pt>
                <c:pt idx="128">
                  <c:v>May</c:v>
                </c:pt>
                <c:pt idx="129">
                  <c:v>May</c:v>
                </c:pt>
                <c:pt idx="130">
                  <c:v>May</c:v>
                </c:pt>
                <c:pt idx="131">
                  <c:v>May</c:v>
                </c:pt>
                <c:pt idx="132">
                  <c:v>May</c:v>
                </c:pt>
                <c:pt idx="133">
                  <c:v>May</c:v>
                </c:pt>
                <c:pt idx="134">
                  <c:v>May</c:v>
                </c:pt>
                <c:pt idx="135">
                  <c:v>May</c:v>
                </c:pt>
                <c:pt idx="136">
                  <c:v>May</c:v>
                </c:pt>
                <c:pt idx="137">
                  <c:v>May</c:v>
                </c:pt>
                <c:pt idx="138">
                  <c:v>May</c:v>
                </c:pt>
                <c:pt idx="139">
                  <c:v>May</c:v>
                </c:pt>
                <c:pt idx="140">
                  <c:v>May</c:v>
                </c:pt>
                <c:pt idx="141">
                  <c:v>May</c:v>
                </c:pt>
                <c:pt idx="142">
                  <c:v>May</c:v>
                </c:pt>
                <c:pt idx="143">
                  <c:v>May</c:v>
                </c:pt>
                <c:pt idx="144">
                  <c:v>May</c:v>
                </c:pt>
                <c:pt idx="145">
                  <c:v>May</c:v>
                </c:pt>
                <c:pt idx="146">
                  <c:v>May</c:v>
                </c:pt>
                <c:pt idx="147">
                  <c:v>May</c:v>
                </c:pt>
                <c:pt idx="148">
                  <c:v>May</c:v>
                </c:pt>
                <c:pt idx="149">
                  <c:v>May</c:v>
                </c:pt>
                <c:pt idx="150">
                  <c:v>May</c:v>
                </c:pt>
                <c:pt idx="151">
                  <c:v>Jun</c:v>
                </c:pt>
                <c:pt idx="152">
                  <c:v>Jun</c:v>
                </c:pt>
                <c:pt idx="153">
                  <c:v>Jun</c:v>
                </c:pt>
                <c:pt idx="154">
                  <c:v>Jun</c:v>
                </c:pt>
                <c:pt idx="155">
                  <c:v>Jun</c:v>
                </c:pt>
                <c:pt idx="156">
                  <c:v>Jun</c:v>
                </c:pt>
                <c:pt idx="157">
                  <c:v>Jun</c:v>
                </c:pt>
                <c:pt idx="158">
                  <c:v>Jun</c:v>
                </c:pt>
                <c:pt idx="159">
                  <c:v>Jun</c:v>
                </c:pt>
                <c:pt idx="160">
                  <c:v>Jun</c:v>
                </c:pt>
                <c:pt idx="161">
                  <c:v>Jun</c:v>
                </c:pt>
                <c:pt idx="162">
                  <c:v>Jun</c:v>
                </c:pt>
                <c:pt idx="163">
                  <c:v>Jun</c:v>
                </c:pt>
                <c:pt idx="164">
                  <c:v>Jun</c:v>
                </c:pt>
                <c:pt idx="165">
                  <c:v>Jun</c:v>
                </c:pt>
                <c:pt idx="166">
                  <c:v>Jun</c:v>
                </c:pt>
                <c:pt idx="167">
                  <c:v>Jun</c:v>
                </c:pt>
                <c:pt idx="168">
                  <c:v>Jun</c:v>
                </c:pt>
                <c:pt idx="169">
                  <c:v>Jun</c:v>
                </c:pt>
                <c:pt idx="170">
                  <c:v>Jun</c:v>
                </c:pt>
                <c:pt idx="171">
                  <c:v>Jun</c:v>
                </c:pt>
                <c:pt idx="172">
                  <c:v>Jun</c:v>
                </c:pt>
                <c:pt idx="173">
                  <c:v>Jun</c:v>
                </c:pt>
                <c:pt idx="174">
                  <c:v>Jun</c:v>
                </c:pt>
                <c:pt idx="175">
                  <c:v>Jun</c:v>
                </c:pt>
                <c:pt idx="176">
                  <c:v>Jun</c:v>
                </c:pt>
                <c:pt idx="177">
                  <c:v>Jun</c:v>
                </c:pt>
                <c:pt idx="178">
                  <c:v>Jun</c:v>
                </c:pt>
                <c:pt idx="179">
                  <c:v>Jun</c:v>
                </c:pt>
                <c:pt idx="180">
                  <c:v>Jun</c:v>
                </c:pt>
                <c:pt idx="181">
                  <c:v>Jul</c:v>
                </c:pt>
                <c:pt idx="182">
                  <c:v>Jul</c:v>
                </c:pt>
                <c:pt idx="183">
                  <c:v>Jul</c:v>
                </c:pt>
                <c:pt idx="184">
                  <c:v>Jul</c:v>
                </c:pt>
                <c:pt idx="185">
                  <c:v>Jul</c:v>
                </c:pt>
                <c:pt idx="186">
                  <c:v>Jul</c:v>
                </c:pt>
                <c:pt idx="187">
                  <c:v>Jul</c:v>
                </c:pt>
                <c:pt idx="188">
                  <c:v>Jul</c:v>
                </c:pt>
                <c:pt idx="189">
                  <c:v>Jul</c:v>
                </c:pt>
                <c:pt idx="190">
                  <c:v>Jul</c:v>
                </c:pt>
                <c:pt idx="191">
                  <c:v>Jul</c:v>
                </c:pt>
                <c:pt idx="192">
                  <c:v>Jul</c:v>
                </c:pt>
                <c:pt idx="193">
                  <c:v>Jul</c:v>
                </c:pt>
                <c:pt idx="194">
                  <c:v>Jul</c:v>
                </c:pt>
                <c:pt idx="195">
                  <c:v>Jul</c:v>
                </c:pt>
                <c:pt idx="196">
                  <c:v>Jul</c:v>
                </c:pt>
                <c:pt idx="197">
                  <c:v>Jul</c:v>
                </c:pt>
                <c:pt idx="198">
                  <c:v>Jul</c:v>
                </c:pt>
                <c:pt idx="199">
                  <c:v>Jul</c:v>
                </c:pt>
                <c:pt idx="200">
                  <c:v>Jul</c:v>
                </c:pt>
                <c:pt idx="201">
                  <c:v>Jul</c:v>
                </c:pt>
                <c:pt idx="202">
                  <c:v>Jul</c:v>
                </c:pt>
                <c:pt idx="203">
                  <c:v>Jul</c:v>
                </c:pt>
                <c:pt idx="204">
                  <c:v>Jul</c:v>
                </c:pt>
                <c:pt idx="205">
                  <c:v>Jul</c:v>
                </c:pt>
                <c:pt idx="206">
                  <c:v>Jul</c:v>
                </c:pt>
                <c:pt idx="207">
                  <c:v>Jul</c:v>
                </c:pt>
                <c:pt idx="208">
                  <c:v>Jul</c:v>
                </c:pt>
                <c:pt idx="209">
                  <c:v>Jul</c:v>
                </c:pt>
                <c:pt idx="210">
                  <c:v>Jul</c:v>
                </c:pt>
                <c:pt idx="211">
                  <c:v>Jul</c:v>
                </c:pt>
                <c:pt idx="212">
                  <c:v>Aug</c:v>
                </c:pt>
                <c:pt idx="213">
                  <c:v>Aug</c:v>
                </c:pt>
                <c:pt idx="214">
                  <c:v>Aug</c:v>
                </c:pt>
                <c:pt idx="215">
                  <c:v>Aug</c:v>
                </c:pt>
                <c:pt idx="216">
                  <c:v>Aug</c:v>
                </c:pt>
                <c:pt idx="217">
                  <c:v>Aug</c:v>
                </c:pt>
                <c:pt idx="218">
                  <c:v>Aug</c:v>
                </c:pt>
                <c:pt idx="219">
                  <c:v>Aug</c:v>
                </c:pt>
                <c:pt idx="220">
                  <c:v>Aug</c:v>
                </c:pt>
                <c:pt idx="221">
                  <c:v>Aug</c:v>
                </c:pt>
                <c:pt idx="222">
                  <c:v>Aug</c:v>
                </c:pt>
                <c:pt idx="223">
                  <c:v>Aug</c:v>
                </c:pt>
                <c:pt idx="224">
                  <c:v>Aug</c:v>
                </c:pt>
                <c:pt idx="225">
                  <c:v>Aug</c:v>
                </c:pt>
                <c:pt idx="226">
                  <c:v>Aug</c:v>
                </c:pt>
                <c:pt idx="227">
                  <c:v>Aug</c:v>
                </c:pt>
                <c:pt idx="228">
                  <c:v>Aug</c:v>
                </c:pt>
                <c:pt idx="229">
                  <c:v>Aug</c:v>
                </c:pt>
                <c:pt idx="230">
                  <c:v>Aug</c:v>
                </c:pt>
                <c:pt idx="231">
                  <c:v>Aug</c:v>
                </c:pt>
                <c:pt idx="232">
                  <c:v>Aug</c:v>
                </c:pt>
                <c:pt idx="233">
                  <c:v>Aug</c:v>
                </c:pt>
                <c:pt idx="234">
                  <c:v>Aug</c:v>
                </c:pt>
                <c:pt idx="235">
                  <c:v>Aug</c:v>
                </c:pt>
                <c:pt idx="236">
                  <c:v>Aug</c:v>
                </c:pt>
                <c:pt idx="237">
                  <c:v>Aug</c:v>
                </c:pt>
                <c:pt idx="238">
                  <c:v>Aug</c:v>
                </c:pt>
                <c:pt idx="239">
                  <c:v>Aug</c:v>
                </c:pt>
                <c:pt idx="240">
                  <c:v>Aug</c:v>
                </c:pt>
                <c:pt idx="241">
                  <c:v>Aug</c:v>
                </c:pt>
                <c:pt idx="242">
                  <c:v>Aug</c:v>
                </c:pt>
                <c:pt idx="243">
                  <c:v>Sep</c:v>
                </c:pt>
                <c:pt idx="244">
                  <c:v>Sep</c:v>
                </c:pt>
                <c:pt idx="245">
                  <c:v>Sep</c:v>
                </c:pt>
                <c:pt idx="246">
                  <c:v>Sep</c:v>
                </c:pt>
                <c:pt idx="247">
                  <c:v>Sep</c:v>
                </c:pt>
                <c:pt idx="248">
                  <c:v>Sep</c:v>
                </c:pt>
                <c:pt idx="249">
                  <c:v>Sep</c:v>
                </c:pt>
                <c:pt idx="250">
                  <c:v>Sep</c:v>
                </c:pt>
                <c:pt idx="251">
                  <c:v>Sep</c:v>
                </c:pt>
                <c:pt idx="252">
                  <c:v>Sep</c:v>
                </c:pt>
                <c:pt idx="253">
                  <c:v>Sep</c:v>
                </c:pt>
                <c:pt idx="254">
                  <c:v>Sep</c:v>
                </c:pt>
                <c:pt idx="255">
                  <c:v>Sep</c:v>
                </c:pt>
                <c:pt idx="256">
                  <c:v>Sep</c:v>
                </c:pt>
                <c:pt idx="257">
                  <c:v>Sep</c:v>
                </c:pt>
                <c:pt idx="258">
                  <c:v>Sep</c:v>
                </c:pt>
                <c:pt idx="259">
                  <c:v>Sep</c:v>
                </c:pt>
                <c:pt idx="260">
                  <c:v>Sep</c:v>
                </c:pt>
                <c:pt idx="261">
                  <c:v>Sep</c:v>
                </c:pt>
                <c:pt idx="262">
                  <c:v>Sep</c:v>
                </c:pt>
                <c:pt idx="263">
                  <c:v>Sep</c:v>
                </c:pt>
                <c:pt idx="264">
                  <c:v>Sep</c:v>
                </c:pt>
                <c:pt idx="265">
                  <c:v>Sep</c:v>
                </c:pt>
                <c:pt idx="266">
                  <c:v>Sep</c:v>
                </c:pt>
                <c:pt idx="267">
                  <c:v>Sep</c:v>
                </c:pt>
                <c:pt idx="268">
                  <c:v>Sep</c:v>
                </c:pt>
                <c:pt idx="269">
                  <c:v>Sep</c:v>
                </c:pt>
                <c:pt idx="270">
                  <c:v>Sep</c:v>
                </c:pt>
                <c:pt idx="271">
                  <c:v>Sep</c:v>
                </c:pt>
                <c:pt idx="272">
                  <c:v>Sep</c:v>
                </c:pt>
                <c:pt idx="273">
                  <c:v>Oct</c:v>
                </c:pt>
                <c:pt idx="274">
                  <c:v>Oct</c:v>
                </c:pt>
                <c:pt idx="275">
                  <c:v>Oct</c:v>
                </c:pt>
                <c:pt idx="276">
                  <c:v>Oct</c:v>
                </c:pt>
                <c:pt idx="277">
                  <c:v>Oct</c:v>
                </c:pt>
                <c:pt idx="278">
                  <c:v>Oct</c:v>
                </c:pt>
                <c:pt idx="279">
                  <c:v>Oct</c:v>
                </c:pt>
                <c:pt idx="280">
                  <c:v>Oct</c:v>
                </c:pt>
                <c:pt idx="281">
                  <c:v>Oct</c:v>
                </c:pt>
                <c:pt idx="282">
                  <c:v>Oct</c:v>
                </c:pt>
                <c:pt idx="283">
                  <c:v>Oct</c:v>
                </c:pt>
                <c:pt idx="284">
                  <c:v>Oct</c:v>
                </c:pt>
                <c:pt idx="285">
                  <c:v>Oct</c:v>
                </c:pt>
                <c:pt idx="286">
                  <c:v>Oct</c:v>
                </c:pt>
                <c:pt idx="287">
                  <c:v>Oct</c:v>
                </c:pt>
                <c:pt idx="288">
                  <c:v>Oct</c:v>
                </c:pt>
                <c:pt idx="289">
                  <c:v>Oct</c:v>
                </c:pt>
                <c:pt idx="290">
                  <c:v>Oct</c:v>
                </c:pt>
                <c:pt idx="291">
                  <c:v>Oct</c:v>
                </c:pt>
                <c:pt idx="292">
                  <c:v>Oct</c:v>
                </c:pt>
                <c:pt idx="293">
                  <c:v>Oct</c:v>
                </c:pt>
                <c:pt idx="294">
                  <c:v>Oct</c:v>
                </c:pt>
                <c:pt idx="295">
                  <c:v>Oct</c:v>
                </c:pt>
                <c:pt idx="296">
                  <c:v>Oct</c:v>
                </c:pt>
                <c:pt idx="297">
                  <c:v>Oct</c:v>
                </c:pt>
                <c:pt idx="298">
                  <c:v>Oct</c:v>
                </c:pt>
                <c:pt idx="299">
                  <c:v>Oct</c:v>
                </c:pt>
                <c:pt idx="300">
                  <c:v>Oct</c:v>
                </c:pt>
                <c:pt idx="301">
                  <c:v>Oct</c:v>
                </c:pt>
                <c:pt idx="302">
                  <c:v>Oct</c:v>
                </c:pt>
                <c:pt idx="303">
                  <c:v>Oct</c:v>
                </c:pt>
                <c:pt idx="304">
                  <c:v>Nov</c:v>
                </c:pt>
                <c:pt idx="305">
                  <c:v>Nov</c:v>
                </c:pt>
                <c:pt idx="306">
                  <c:v>Nov</c:v>
                </c:pt>
                <c:pt idx="307">
                  <c:v>Nov</c:v>
                </c:pt>
                <c:pt idx="308">
                  <c:v>Nov</c:v>
                </c:pt>
                <c:pt idx="309">
                  <c:v>Nov</c:v>
                </c:pt>
                <c:pt idx="310">
                  <c:v>Nov</c:v>
                </c:pt>
                <c:pt idx="311">
                  <c:v>Nov</c:v>
                </c:pt>
                <c:pt idx="312">
                  <c:v>Nov</c:v>
                </c:pt>
                <c:pt idx="313">
                  <c:v>Nov</c:v>
                </c:pt>
                <c:pt idx="314">
                  <c:v>Nov</c:v>
                </c:pt>
                <c:pt idx="315">
                  <c:v>Nov</c:v>
                </c:pt>
                <c:pt idx="316">
                  <c:v>Nov</c:v>
                </c:pt>
                <c:pt idx="317">
                  <c:v>Nov</c:v>
                </c:pt>
                <c:pt idx="318">
                  <c:v>Nov</c:v>
                </c:pt>
                <c:pt idx="319">
                  <c:v>Nov</c:v>
                </c:pt>
                <c:pt idx="320">
                  <c:v>Nov</c:v>
                </c:pt>
                <c:pt idx="321">
                  <c:v>Nov</c:v>
                </c:pt>
                <c:pt idx="322">
                  <c:v>Nov</c:v>
                </c:pt>
                <c:pt idx="323">
                  <c:v>Nov</c:v>
                </c:pt>
                <c:pt idx="324">
                  <c:v>Nov</c:v>
                </c:pt>
                <c:pt idx="325">
                  <c:v>Nov</c:v>
                </c:pt>
                <c:pt idx="326">
                  <c:v>Nov</c:v>
                </c:pt>
                <c:pt idx="327">
                  <c:v>Nov</c:v>
                </c:pt>
                <c:pt idx="328">
                  <c:v>Nov</c:v>
                </c:pt>
                <c:pt idx="329">
                  <c:v>Nov</c:v>
                </c:pt>
                <c:pt idx="330">
                  <c:v>Nov</c:v>
                </c:pt>
                <c:pt idx="331">
                  <c:v>Nov</c:v>
                </c:pt>
                <c:pt idx="332">
                  <c:v>Nov</c:v>
                </c:pt>
                <c:pt idx="333">
                  <c:v>Nov</c:v>
                </c:pt>
                <c:pt idx="334">
                  <c:v>Dec</c:v>
                </c:pt>
                <c:pt idx="335">
                  <c:v>Dec</c:v>
                </c:pt>
                <c:pt idx="336">
                  <c:v>Dec</c:v>
                </c:pt>
                <c:pt idx="337">
                  <c:v>Dec</c:v>
                </c:pt>
                <c:pt idx="338">
                  <c:v>Dec</c:v>
                </c:pt>
                <c:pt idx="339">
                  <c:v>Dec</c:v>
                </c:pt>
                <c:pt idx="340">
                  <c:v>Dec</c:v>
                </c:pt>
                <c:pt idx="341">
                  <c:v>Dec</c:v>
                </c:pt>
                <c:pt idx="342">
                  <c:v>Dec</c:v>
                </c:pt>
                <c:pt idx="343">
                  <c:v>Dec</c:v>
                </c:pt>
                <c:pt idx="344">
                  <c:v>Dec</c:v>
                </c:pt>
                <c:pt idx="345">
                  <c:v>Dec</c:v>
                </c:pt>
                <c:pt idx="346">
                  <c:v>Dec</c:v>
                </c:pt>
                <c:pt idx="347">
                  <c:v>Dec</c:v>
                </c:pt>
                <c:pt idx="348">
                  <c:v>Dec</c:v>
                </c:pt>
                <c:pt idx="349">
                  <c:v>Dec</c:v>
                </c:pt>
                <c:pt idx="350">
                  <c:v>Dec</c:v>
                </c:pt>
                <c:pt idx="351">
                  <c:v>Dec</c:v>
                </c:pt>
                <c:pt idx="352">
                  <c:v>Dec</c:v>
                </c:pt>
                <c:pt idx="353">
                  <c:v>Dec</c:v>
                </c:pt>
                <c:pt idx="354">
                  <c:v>Dec</c:v>
                </c:pt>
                <c:pt idx="355">
                  <c:v>Dec</c:v>
                </c:pt>
                <c:pt idx="356">
                  <c:v>Dec</c:v>
                </c:pt>
                <c:pt idx="357">
                  <c:v>Dec</c:v>
                </c:pt>
                <c:pt idx="358">
                  <c:v>Dec</c:v>
                </c:pt>
                <c:pt idx="359">
                  <c:v>Dec</c:v>
                </c:pt>
                <c:pt idx="360">
                  <c:v>Dec</c:v>
                </c:pt>
                <c:pt idx="361">
                  <c:v>Dec</c:v>
                </c:pt>
                <c:pt idx="362">
                  <c:v>Dec</c:v>
                </c:pt>
                <c:pt idx="363">
                  <c:v>Dec</c:v>
                </c:pt>
                <c:pt idx="364">
                  <c:v>Dec</c:v>
                </c:pt>
              </c:strCache>
            </c:strRef>
          </c:cat>
          <c:val>
            <c:numRef>
              <c:f>SLR!$K$2:$K$366</c:f>
              <c:numCache>
                <c:formatCode>0.00</c:formatCode>
                <c:ptCount val="365"/>
                <c:pt idx="0">
                  <c:v>35.891593510486501</c:v>
                </c:pt>
                <c:pt idx="1">
                  <c:v>35.909381635473196</c:v>
                </c:pt>
                <c:pt idx="2">
                  <c:v>35.92716976045989</c:v>
                </c:pt>
                <c:pt idx="3">
                  <c:v>35.944957885446584</c:v>
                </c:pt>
                <c:pt idx="4">
                  <c:v>35.962746010433278</c:v>
                </c:pt>
                <c:pt idx="5">
                  <c:v>35.980534135419965</c:v>
                </c:pt>
                <c:pt idx="6">
                  <c:v>35.998322260406653</c:v>
                </c:pt>
                <c:pt idx="7">
                  <c:v>36.016110385393347</c:v>
                </c:pt>
                <c:pt idx="8">
                  <c:v>36.033898510380041</c:v>
                </c:pt>
                <c:pt idx="9">
                  <c:v>36.051686635366735</c:v>
                </c:pt>
                <c:pt idx="10">
                  <c:v>36.06947476035343</c:v>
                </c:pt>
                <c:pt idx="11">
                  <c:v>36.087262885340117</c:v>
                </c:pt>
                <c:pt idx="12">
                  <c:v>36.105051010326811</c:v>
                </c:pt>
                <c:pt idx="13">
                  <c:v>36.122839135313505</c:v>
                </c:pt>
                <c:pt idx="14">
                  <c:v>36.140627260300199</c:v>
                </c:pt>
                <c:pt idx="15">
                  <c:v>36.158415385286894</c:v>
                </c:pt>
                <c:pt idx="16">
                  <c:v>36.176203510273588</c:v>
                </c:pt>
                <c:pt idx="17">
                  <c:v>36.193991635260275</c:v>
                </c:pt>
                <c:pt idx="18">
                  <c:v>36.211779760246962</c:v>
                </c:pt>
                <c:pt idx="19">
                  <c:v>36.229567885233656</c:v>
                </c:pt>
                <c:pt idx="20">
                  <c:v>36.247356010220351</c:v>
                </c:pt>
                <c:pt idx="21">
                  <c:v>36.265144135207045</c:v>
                </c:pt>
                <c:pt idx="22">
                  <c:v>36.282932260193739</c:v>
                </c:pt>
                <c:pt idx="23">
                  <c:v>36.300720385180426</c:v>
                </c:pt>
                <c:pt idx="24">
                  <c:v>36.318508510167121</c:v>
                </c:pt>
                <c:pt idx="25">
                  <c:v>36.336296635153815</c:v>
                </c:pt>
                <c:pt idx="26">
                  <c:v>36.354084760140509</c:v>
                </c:pt>
                <c:pt idx="27">
                  <c:v>36.371872885127203</c:v>
                </c:pt>
                <c:pt idx="28">
                  <c:v>36.38966101011389</c:v>
                </c:pt>
                <c:pt idx="29">
                  <c:v>36.407449135100585</c:v>
                </c:pt>
                <c:pt idx="30">
                  <c:v>36.425237260087279</c:v>
                </c:pt>
                <c:pt idx="31">
                  <c:v>38.185560811565544</c:v>
                </c:pt>
                <c:pt idx="32">
                  <c:v>38.204199481687624</c:v>
                </c:pt>
                <c:pt idx="33">
                  <c:v>38.222838151809711</c:v>
                </c:pt>
                <c:pt idx="34">
                  <c:v>38.241476821931791</c:v>
                </c:pt>
                <c:pt idx="35">
                  <c:v>38.260115492053878</c:v>
                </c:pt>
                <c:pt idx="36">
                  <c:v>38.278754162175957</c:v>
                </c:pt>
                <c:pt idx="37">
                  <c:v>38.297392832298044</c:v>
                </c:pt>
                <c:pt idx="38">
                  <c:v>38.316031502420124</c:v>
                </c:pt>
                <c:pt idx="39">
                  <c:v>38.334670172542211</c:v>
                </c:pt>
                <c:pt idx="40">
                  <c:v>38.353308842664291</c:v>
                </c:pt>
                <c:pt idx="41">
                  <c:v>38.371947512786377</c:v>
                </c:pt>
                <c:pt idx="42">
                  <c:v>38.390586182908457</c:v>
                </c:pt>
                <c:pt idx="43">
                  <c:v>38.40922485303053</c:v>
                </c:pt>
                <c:pt idx="44">
                  <c:v>38.427863523152617</c:v>
                </c:pt>
                <c:pt idx="45">
                  <c:v>38.446502193274696</c:v>
                </c:pt>
                <c:pt idx="46">
                  <c:v>38.465140863396783</c:v>
                </c:pt>
                <c:pt idx="47">
                  <c:v>38.483779533518863</c:v>
                </c:pt>
                <c:pt idx="48">
                  <c:v>38.50241820364095</c:v>
                </c:pt>
                <c:pt idx="49">
                  <c:v>38.52105687376303</c:v>
                </c:pt>
                <c:pt idx="50">
                  <c:v>38.539695543885117</c:v>
                </c:pt>
                <c:pt idx="51">
                  <c:v>38.558334214007196</c:v>
                </c:pt>
                <c:pt idx="52">
                  <c:v>38.576972884129283</c:v>
                </c:pt>
                <c:pt idx="53">
                  <c:v>38.595611554251363</c:v>
                </c:pt>
                <c:pt idx="54">
                  <c:v>38.61425022437345</c:v>
                </c:pt>
                <c:pt idx="55">
                  <c:v>38.632888894495522</c:v>
                </c:pt>
                <c:pt idx="56">
                  <c:v>38.651527564617602</c:v>
                </c:pt>
                <c:pt idx="57">
                  <c:v>38.670166234739689</c:v>
                </c:pt>
                <c:pt idx="58">
                  <c:v>38.688804904861769</c:v>
                </c:pt>
                <c:pt idx="59">
                  <c:v>37.093364495932597</c:v>
                </c:pt>
                <c:pt idx="60">
                  <c:v>37.111225943775793</c:v>
                </c:pt>
                <c:pt idx="61">
                  <c:v>37.129087391618981</c:v>
                </c:pt>
                <c:pt idx="62">
                  <c:v>37.146948839462176</c:v>
                </c:pt>
                <c:pt idx="63">
                  <c:v>37.164810287305372</c:v>
                </c:pt>
                <c:pt idx="64">
                  <c:v>37.18267173514856</c:v>
                </c:pt>
                <c:pt idx="65">
                  <c:v>37.200533182991755</c:v>
                </c:pt>
                <c:pt idx="66">
                  <c:v>37.218394630834943</c:v>
                </c:pt>
                <c:pt idx="67">
                  <c:v>37.236256078678139</c:v>
                </c:pt>
                <c:pt idx="68">
                  <c:v>37.25411752652132</c:v>
                </c:pt>
                <c:pt idx="69">
                  <c:v>37.271978974364515</c:v>
                </c:pt>
                <c:pt idx="70">
                  <c:v>37.289840422207703</c:v>
                </c:pt>
                <c:pt idx="71">
                  <c:v>37.307701870050899</c:v>
                </c:pt>
                <c:pt idx="72">
                  <c:v>37.325563317894094</c:v>
                </c:pt>
                <c:pt idx="73">
                  <c:v>37.343424765737282</c:v>
                </c:pt>
                <c:pt idx="74">
                  <c:v>37.361286213580478</c:v>
                </c:pt>
                <c:pt idx="75">
                  <c:v>37.379147661423666</c:v>
                </c:pt>
                <c:pt idx="76">
                  <c:v>37.397009109266861</c:v>
                </c:pt>
                <c:pt idx="77">
                  <c:v>37.414870557110049</c:v>
                </c:pt>
                <c:pt idx="78">
                  <c:v>37.432732004953245</c:v>
                </c:pt>
                <c:pt idx="79">
                  <c:v>37.450593452796433</c:v>
                </c:pt>
                <c:pt idx="80">
                  <c:v>37.468454900639621</c:v>
                </c:pt>
                <c:pt idx="81">
                  <c:v>37.486316348482816</c:v>
                </c:pt>
                <c:pt idx="82">
                  <c:v>37.504177796326005</c:v>
                </c:pt>
                <c:pt idx="83">
                  <c:v>37.5220392441692</c:v>
                </c:pt>
                <c:pt idx="84">
                  <c:v>37.539900692012388</c:v>
                </c:pt>
                <c:pt idx="85">
                  <c:v>37.557762139855583</c:v>
                </c:pt>
                <c:pt idx="86">
                  <c:v>37.575623587698772</c:v>
                </c:pt>
                <c:pt idx="87">
                  <c:v>37.593485035541967</c:v>
                </c:pt>
                <c:pt idx="88">
                  <c:v>37.611346483385155</c:v>
                </c:pt>
                <c:pt idx="89">
                  <c:v>37.629207931228351</c:v>
                </c:pt>
                <c:pt idx="90">
                  <c:v>38.167369599006719</c:v>
                </c:pt>
                <c:pt idx="91">
                  <c:v>38.185477900466786</c:v>
                </c:pt>
                <c:pt idx="92">
                  <c:v>38.203586201926854</c:v>
                </c:pt>
                <c:pt idx="93">
                  <c:v>38.221694503386928</c:v>
                </c:pt>
                <c:pt idx="94">
                  <c:v>38.239802804847002</c:v>
                </c:pt>
                <c:pt idx="95">
                  <c:v>38.25791110630707</c:v>
                </c:pt>
                <c:pt idx="96">
                  <c:v>38.276019407767144</c:v>
                </c:pt>
                <c:pt idx="97">
                  <c:v>38.294127709227219</c:v>
                </c:pt>
                <c:pt idx="98">
                  <c:v>38.312236010687293</c:v>
                </c:pt>
                <c:pt idx="99">
                  <c:v>38.330344312147361</c:v>
                </c:pt>
                <c:pt idx="100">
                  <c:v>38.348452613607435</c:v>
                </c:pt>
                <c:pt idx="101">
                  <c:v>38.36656091506751</c:v>
                </c:pt>
                <c:pt idx="102">
                  <c:v>38.384669216527577</c:v>
                </c:pt>
                <c:pt idx="103">
                  <c:v>38.402777517987651</c:v>
                </c:pt>
                <c:pt idx="104">
                  <c:v>38.420885819447726</c:v>
                </c:pt>
                <c:pt idx="105">
                  <c:v>38.438994120907793</c:v>
                </c:pt>
                <c:pt idx="106">
                  <c:v>38.457102422367861</c:v>
                </c:pt>
                <c:pt idx="107">
                  <c:v>38.475210723827935</c:v>
                </c:pt>
                <c:pt idx="108">
                  <c:v>38.49331902528801</c:v>
                </c:pt>
                <c:pt idx="109">
                  <c:v>38.511427326748084</c:v>
                </c:pt>
                <c:pt idx="110">
                  <c:v>38.529535628208151</c:v>
                </c:pt>
                <c:pt idx="111">
                  <c:v>38.547643929668226</c:v>
                </c:pt>
                <c:pt idx="112">
                  <c:v>38.5657522311283</c:v>
                </c:pt>
                <c:pt idx="113">
                  <c:v>38.583860532588375</c:v>
                </c:pt>
                <c:pt idx="114">
                  <c:v>38.601968834048442</c:v>
                </c:pt>
                <c:pt idx="115">
                  <c:v>38.620077135508517</c:v>
                </c:pt>
                <c:pt idx="116">
                  <c:v>38.638185436968591</c:v>
                </c:pt>
                <c:pt idx="117">
                  <c:v>38.656293738428658</c:v>
                </c:pt>
                <c:pt idx="118">
                  <c:v>38.674402039888726</c:v>
                </c:pt>
                <c:pt idx="119">
                  <c:v>38.6925103413488</c:v>
                </c:pt>
                <c:pt idx="120">
                  <c:v>37.869424203411889</c:v>
                </c:pt>
                <c:pt idx="121">
                  <c:v>37.887139005542082</c:v>
                </c:pt>
                <c:pt idx="122">
                  <c:v>37.904853807672275</c:v>
                </c:pt>
                <c:pt idx="123">
                  <c:v>37.922568609802468</c:v>
                </c:pt>
                <c:pt idx="124">
                  <c:v>37.940283411932668</c:v>
                </c:pt>
                <c:pt idx="125">
                  <c:v>37.957998214062862</c:v>
                </c:pt>
                <c:pt idx="126">
                  <c:v>37.975713016193055</c:v>
                </c:pt>
                <c:pt idx="127">
                  <c:v>37.993427818323248</c:v>
                </c:pt>
                <c:pt idx="128">
                  <c:v>38.011142620453441</c:v>
                </c:pt>
                <c:pt idx="129">
                  <c:v>38.028857422583627</c:v>
                </c:pt>
                <c:pt idx="130">
                  <c:v>38.04657222471382</c:v>
                </c:pt>
                <c:pt idx="131">
                  <c:v>38.064287026844013</c:v>
                </c:pt>
                <c:pt idx="132">
                  <c:v>38.082001828974207</c:v>
                </c:pt>
                <c:pt idx="133">
                  <c:v>38.0997166311044</c:v>
                </c:pt>
                <c:pt idx="134">
                  <c:v>38.1174314332346</c:v>
                </c:pt>
                <c:pt idx="135">
                  <c:v>38.135146235364793</c:v>
                </c:pt>
                <c:pt idx="136">
                  <c:v>38.152861037494986</c:v>
                </c:pt>
                <c:pt idx="137">
                  <c:v>38.17057583962518</c:v>
                </c:pt>
                <c:pt idx="138">
                  <c:v>38.188290641755373</c:v>
                </c:pt>
                <c:pt idx="139">
                  <c:v>38.206005443885566</c:v>
                </c:pt>
                <c:pt idx="140">
                  <c:v>38.223720246015759</c:v>
                </c:pt>
                <c:pt idx="141">
                  <c:v>38.241435048145952</c:v>
                </c:pt>
                <c:pt idx="142">
                  <c:v>38.259149850276138</c:v>
                </c:pt>
                <c:pt idx="143">
                  <c:v>38.276864652406331</c:v>
                </c:pt>
                <c:pt idx="144">
                  <c:v>38.294579454536525</c:v>
                </c:pt>
                <c:pt idx="145">
                  <c:v>38.312294256666725</c:v>
                </c:pt>
                <c:pt idx="146">
                  <c:v>38.330009058796918</c:v>
                </c:pt>
                <c:pt idx="147">
                  <c:v>38.347723860927111</c:v>
                </c:pt>
                <c:pt idx="148">
                  <c:v>38.365438663057304</c:v>
                </c:pt>
                <c:pt idx="149">
                  <c:v>38.383153465187497</c:v>
                </c:pt>
                <c:pt idx="150">
                  <c:v>38.400868267317691</c:v>
                </c:pt>
                <c:pt idx="151">
                  <c:v>39.830656818026931</c:v>
                </c:pt>
                <c:pt idx="152">
                  <c:v>39.849022727122836</c:v>
                </c:pt>
                <c:pt idx="153">
                  <c:v>39.867388636218742</c:v>
                </c:pt>
                <c:pt idx="154">
                  <c:v>39.885754545314647</c:v>
                </c:pt>
                <c:pt idx="155">
                  <c:v>39.904120454410545</c:v>
                </c:pt>
                <c:pt idx="156">
                  <c:v>39.922486363506451</c:v>
                </c:pt>
                <c:pt idx="157">
                  <c:v>39.940852272602356</c:v>
                </c:pt>
                <c:pt idx="158">
                  <c:v>39.959218181698262</c:v>
                </c:pt>
                <c:pt idx="159">
                  <c:v>39.977584090794174</c:v>
                </c:pt>
                <c:pt idx="160">
                  <c:v>39.99594999989008</c:v>
                </c:pt>
                <c:pt idx="161">
                  <c:v>40.014315908985985</c:v>
                </c:pt>
                <c:pt idx="162">
                  <c:v>40.03268181808189</c:v>
                </c:pt>
                <c:pt idx="163">
                  <c:v>40.051047727177796</c:v>
                </c:pt>
                <c:pt idx="164">
                  <c:v>40.069413636273701</c:v>
                </c:pt>
                <c:pt idx="165">
                  <c:v>40.087779545369607</c:v>
                </c:pt>
                <c:pt idx="166">
                  <c:v>40.106145454465512</c:v>
                </c:pt>
                <c:pt idx="167">
                  <c:v>40.124511363561417</c:v>
                </c:pt>
                <c:pt idx="168">
                  <c:v>40.142877272657323</c:v>
                </c:pt>
                <c:pt idx="169">
                  <c:v>40.161243181753228</c:v>
                </c:pt>
                <c:pt idx="170">
                  <c:v>40.179609090849134</c:v>
                </c:pt>
                <c:pt idx="171">
                  <c:v>40.197974999945039</c:v>
                </c:pt>
                <c:pt idx="172">
                  <c:v>40.216340909040944</c:v>
                </c:pt>
                <c:pt idx="173">
                  <c:v>40.23470681813685</c:v>
                </c:pt>
                <c:pt idx="174">
                  <c:v>40.253072727232755</c:v>
                </c:pt>
                <c:pt idx="175">
                  <c:v>40.271438636328661</c:v>
                </c:pt>
                <c:pt idx="176">
                  <c:v>40.289804545424573</c:v>
                </c:pt>
                <c:pt idx="177">
                  <c:v>40.308170454520479</c:v>
                </c:pt>
                <c:pt idx="178">
                  <c:v>40.326536363616384</c:v>
                </c:pt>
                <c:pt idx="179">
                  <c:v>40.344902272712282</c:v>
                </c:pt>
                <c:pt idx="180">
                  <c:v>40.363268181808188</c:v>
                </c:pt>
                <c:pt idx="181">
                  <c:v>41.916419928277968</c:v>
                </c:pt>
                <c:pt idx="182">
                  <c:v>41.935483870967744</c:v>
                </c:pt>
                <c:pt idx="183">
                  <c:v>41.95454781365752</c:v>
                </c:pt>
                <c:pt idx="184">
                  <c:v>41.973611756347303</c:v>
                </c:pt>
                <c:pt idx="185">
                  <c:v>41.992675699037079</c:v>
                </c:pt>
                <c:pt idx="186">
                  <c:v>42.011739641726855</c:v>
                </c:pt>
                <c:pt idx="187">
                  <c:v>42.030803584416631</c:v>
                </c:pt>
                <c:pt idx="188">
                  <c:v>42.049867527106414</c:v>
                </c:pt>
                <c:pt idx="189">
                  <c:v>42.06893146979619</c:v>
                </c:pt>
                <c:pt idx="190">
                  <c:v>42.087995412485967</c:v>
                </c:pt>
                <c:pt idx="191">
                  <c:v>42.10705935517575</c:v>
                </c:pt>
                <c:pt idx="192">
                  <c:v>42.126123297865519</c:v>
                </c:pt>
                <c:pt idx="193">
                  <c:v>42.145187240555295</c:v>
                </c:pt>
                <c:pt idx="194">
                  <c:v>42.164251183245071</c:v>
                </c:pt>
                <c:pt idx="195">
                  <c:v>42.183315125934854</c:v>
                </c:pt>
                <c:pt idx="196">
                  <c:v>42.20237906862463</c:v>
                </c:pt>
                <c:pt idx="197">
                  <c:v>42.221443011314406</c:v>
                </c:pt>
                <c:pt idx="198">
                  <c:v>42.240506954004189</c:v>
                </c:pt>
                <c:pt idx="199">
                  <c:v>42.259570896693965</c:v>
                </c:pt>
                <c:pt idx="200">
                  <c:v>42.278634839383741</c:v>
                </c:pt>
                <c:pt idx="201">
                  <c:v>42.297698782073518</c:v>
                </c:pt>
                <c:pt idx="202">
                  <c:v>42.316762724763301</c:v>
                </c:pt>
                <c:pt idx="203">
                  <c:v>42.335826667453077</c:v>
                </c:pt>
                <c:pt idx="204">
                  <c:v>42.354890610142853</c:v>
                </c:pt>
                <c:pt idx="205">
                  <c:v>42.373954552832629</c:v>
                </c:pt>
                <c:pt idx="206">
                  <c:v>42.393018495522405</c:v>
                </c:pt>
                <c:pt idx="207">
                  <c:v>42.412082438212181</c:v>
                </c:pt>
                <c:pt idx="208">
                  <c:v>42.431146380901957</c:v>
                </c:pt>
                <c:pt idx="209">
                  <c:v>42.45021032359174</c:v>
                </c:pt>
                <c:pt idx="210">
                  <c:v>42.469274266281516</c:v>
                </c:pt>
                <c:pt idx="211">
                  <c:v>42.488338208971292</c:v>
                </c:pt>
                <c:pt idx="212">
                  <c:v>44.175000236072385</c:v>
                </c:pt>
                <c:pt idx="213">
                  <c:v>44.194812071898454</c:v>
                </c:pt>
                <c:pt idx="214">
                  <c:v>44.214623907724523</c:v>
                </c:pt>
                <c:pt idx="215">
                  <c:v>44.234435743550591</c:v>
                </c:pt>
                <c:pt idx="216">
                  <c:v>44.254247579376653</c:v>
                </c:pt>
                <c:pt idx="217">
                  <c:v>44.274059415202721</c:v>
                </c:pt>
                <c:pt idx="218">
                  <c:v>44.29387125102879</c:v>
                </c:pt>
                <c:pt idx="219">
                  <c:v>44.313683086854866</c:v>
                </c:pt>
                <c:pt idx="220">
                  <c:v>44.333494922680934</c:v>
                </c:pt>
                <c:pt idx="221">
                  <c:v>44.353306758507003</c:v>
                </c:pt>
                <c:pt idx="222">
                  <c:v>44.373118594333071</c:v>
                </c:pt>
                <c:pt idx="223">
                  <c:v>44.39293043015914</c:v>
                </c:pt>
                <c:pt idx="224">
                  <c:v>44.412742265985209</c:v>
                </c:pt>
                <c:pt idx="225">
                  <c:v>44.432554101811277</c:v>
                </c:pt>
                <c:pt idx="226">
                  <c:v>44.452365937637346</c:v>
                </c:pt>
                <c:pt idx="227">
                  <c:v>44.472177773463414</c:v>
                </c:pt>
                <c:pt idx="228">
                  <c:v>44.491989609289483</c:v>
                </c:pt>
                <c:pt idx="229">
                  <c:v>44.511801445115552</c:v>
                </c:pt>
                <c:pt idx="230">
                  <c:v>44.53161328094162</c:v>
                </c:pt>
                <c:pt idx="231">
                  <c:v>44.551425116767689</c:v>
                </c:pt>
                <c:pt idx="232">
                  <c:v>44.571236952593758</c:v>
                </c:pt>
                <c:pt idx="233">
                  <c:v>44.591048788419826</c:v>
                </c:pt>
                <c:pt idx="234">
                  <c:v>44.610860624245895</c:v>
                </c:pt>
                <c:pt idx="235">
                  <c:v>44.630672460071963</c:v>
                </c:pt>
                <c:pt idx="236">
                  <c:v>44.650484295898032</c:v>
                </c:pt>
                <c:pt idx="237">
                  <c:v>44.670296131724101</c:v>
                </c:pt>
                <c:pt idx="238">
                  <c:v>44.690107967550176</c:v>
                </c:pt>
                <c:pt idx="239">
                  <c:v>44.709919803376245</c:v>
                </c:pt>
                <c:pt idx="240">
                  <c:v>44.729731639202313</c:v>
                </c:pt>
                <c:pt idx="241">
                  <c:v>44.749543475028382</c:v>
                </c:pt>
                <c:pt idx="242">
                  <c:v>44.769355310854444</c:v>
                </c:pt>
                <c:pt idx="243">
                  <c:v>49.536619948608461</c:v>
                </c:pt>
                <c:pt idx="244">
                  <c:v>49.558531751044669</c:v>
                </c:pt>
                <c:pt idx="245">
                  <c:v>49.580443553480876</c:v>
                </c:pt>
                <c:pt idx="246">
                  <c:v>49.602355355917076</c:v>
                </c:pt>
                <c:pt idx="247">
                  <c:v>49.624267158353284</c:v>
                </c:pt>
                <c:pt idx="248">
                  <c:v>49.646178960789491</c:v>
                </c:pt>
                <c:pt idx="249">
                  <c:v>49.668090763225692</c:v>
                </c:pt>
                <c:pt idx="250">
                  <c:v>49.690002565661899</c:v>
                </c:pt>
                <c:pt idx="251">
                  <c:v>49.711914368098107</c:v>
                </c:pt>
                <c:pt idx="252">
                  <c:v>49.733826170534307</c:v>
                </c:pt>
                <c:pt idx="253">
                  <c:v>49.755737972970508</c:v>
                </c:pt>
                <c:pt idx="254">
                  <c:v>49.777649775406715</c:v>
                </c:pt>
                <c:pt idx="255">
                  <c:v>49.799561577842915</c:v>
                </c:pt>
                <c:pt idx="256">
                  <c:v>49.821473380279123</c:v>
                </c:pt>
                <c:pt idx="257">
                  <c:v>49.843385182715323</c:v>
                </c:pt>
                <c:pt idx="258">
                  <c:v>49.865296985151531</c:v>
                </c:pt>
                <c:pt idx="259">
                  <c:v>49.887208787587738</c:v>
                </c:pt>
                <c:pt idx="260">
                  <c:v>49.909120590023939</c:v>
                </c:pt>
                <c:pt idx="261">
                  <c:v>49.931032392460146</c:v>
                </c:pt>
                <c:pt idx="262">
                  <c:v>49.952944194896347</c:v>
                </c:pt>
                <c:pt idx="263">
                  <c:v>49.974855997332554</c:v>
                </c:pt>
                <c:pt idx="264">
                  <c:v>49.996767799768762</c:v>
                </c:pt>
                <c:pt idx="265">
                  <c:v>50.018679602204962</c:v>
                </c:pt>
                <c:pt idx="266">
                  <c:v>50.040591404641162</c:v>
                </c:pt>
                <c:pt idx="267">
                  <c:v>50.06250320707737</c:v>
                </c:pt>
                <c:pt idx="268">
                  <c:v>50.08441500951357</c:v>
                </c:pt>
                <c:pt idx="269">
                  <c:v>50.106326811949778</c:v>
                </c:pt>
                <c:pt idx="270">
                  <c:v>50.128238614385978</c:v>
                </c:pt>
                <c:pt idx="271">
                  <c:v>50.150150416822186</c:v>
                </c:pt>
                <c:pt idx="272">
                  <c:v>50.172062219258393</c:v>
                </c:pt>
                <c:pt idx="273">
                  <c:v>45.954595410037612</c:v>
                </c:pt>
                <c:pt idx="274">
                  <c:v>45.974656543575783</c:v>
                </c:pt>
                <c:pt idx="275">
                  <c:v>45.994717677113947</c:v>
                </c:pt>
                <c:pt idx="276">
                  <c:v>46.014778810652111</c:v>
                </c:pt>
                <c:pt idx="277">
                  <c:v>46.034839944190281</c:v>
                </c:pt>
                <c:pt idx="278">
                  <c:v>46.054901077728445</c:v>
                </c:pt>
                <c:pt idx="279">
                  <c:v>46.074962211266602</c:v>
                </c:pt>
                <c:pt idx="280">
                  <c:v>46.095023344804773</c:v>
                </c:pt>
                <c:pt idx="281">
                  <c:v>46.115084478342936</c:v>
                </c:pt>
                <c:pt idx="282">
                  <c:v>46.135145611881107</c:v>
                </c:pt>
                <c:pt idx="283">
                  <c:v>46.155206745419271</c:v>
                </c:pt>
                <c:pt idx="284">
                  <c:v>46.175267878957435</c:v>
                </c:pt>
                <c:pt idx="285">
                  <c:v>46.195329012495606</c:v>
                </c:pt>
                <c:pt idx="286">
                  <c:v>46.215390146033769</c:v>
                </c:pt>
                <c:pt idx="287">
                  <c:v>46.23545127957194</c:v>
                </c:pt>
                <c:pt idx="288">
                  <c:v>46.255512413110104</c:v>
                </c:pt>
                <c:pt idx="289">
                  <c:v>46.275573546648268</c:v>
                </c:pt>
                <c:pt idx="290">
                  <c:v>46.295634680186431</c:v>
                </c:pt>
                <c:pt idx="291">
                  <c:v>46.315695813724602</c:v>
                </c:pt>
                <c:pt idx="292">
                  <c:v>46.335756947262759</c:v>
                </c:pt>
                <c:pt idx="293">
                  <c:v>46.35581808080093</c:v>
                </c:pt>
                <c:pt idx="294">
                  <c:v>46.375879214339093</c:v>
                </c:pt>
                <c:pt idx="295">
                  <c:v>46.395940347877264</c:v>
                </c:pt>
                <c:pt idx="296">
                  <c:v>46.416001481415428</c:v>
                </c:pt>
                <c:pt idx="297">
                  <c:v>46.436062614953592</c:v>
                </c:pt>
                <c:pt idx="298">
                  <c:v>46.456123748491763</c:v>
                </c:pt>
                <c:pt idx="299">
                  <c:v>46.476184882029926</c:v>
                </c:pt>
                <c:pt idx="300">
                  <c:v>46.496246015568097</c:v>
                </c:pt>
                <c:pt idx="301">
                  <c:v>46.516307149106261</c:v>
                </c:pt>
                <c:pt idx="302">
                  <c:v>46.536368282644425</c:v>
                </c:pt>
                <c:pt idx="303">
                  <c:v>46.556429416182588</c:v>
                </c:pt>
                <c:pt idx="304">
                  <c:v>47.495763389517876</c:v>
                </c:pt>
                <c:pt idx="305">
                  <c:v>47.516220466481137</c:v>
                </c:pt>
                <c:pt idx="306">
                  <c:v>47.536677543444398</c:v>
                </c:pt>
                <c:pt idx="307">
                  <c:v>47.557134620407659</c:v>
                </c:pt>
                <c:pt idx="308">
                  <c:v>47.577591697370927</c:v>
                </c:pt>
                <c:pt idx="309">
                  <c:v>47.598048774334188</c:v>
                </c:pt>
                <c:pt idx="310">
                  <c:v>47.618505851297449</c:v>
                </c:pt>
                <c:pt idx="311">
                  <c:v>47.63896292826071</c:v>
                </c:pt>
                <c:pt idx="312">
                  <c:v>47.659420005223971</c:v>
                </c:pt>
                <c:pt idx="313">
                  <c:v>47.679877082187232</c:v>
                </c:pt>
                <c:pt idx="314">
                  <c:v>47.700334159150493</c:v>
                </c:pt>
                <c:pt idx="315">
                  <c:v>47.720791236113755</c:v>
                </c:pt>
                <c:pt idx="316">
                  <c:v>47.741248313077008</c:v>
                </c:pt>
                <c:pt idx="317">
                  <c:v>47.761705390040269</c:v>
                </c:pt>
                <c:pt idx="318">
                  <c:v>47.782162467003538</c:v>
                </c:pt>
                <c:pt idx="319">
                  <c:v>47.802619543966799</c:v>
                </c:pt>
                <c:pt idx="320">
                  <c:v>47.82307662093006</c:v>
                </c:pt>
                <c:pt idx="321">
                  <c:v>47.843533697893321</c:v>
                </c:pt>
                <c:pt idx="322">
                  <c:v>47.863990774856582</c:v>
                </c:pt>
                <c:pt idx="323">
                  <c:v>47.884447851819843</c:v>
                </c:pt>
                <c:pt idx="324">
                  <c:v>47.904904928783104</c:v>
                </c:pt>
                <c:pt idx="325">
                  <c:v>47.925362005746365</c:v>
                </c:pt>
                <c:pt idx="326">
                  <c:v>47.945819082709633</c:v>
                </c:pt>
                <c:pt idx="327">
                  <c:v>47.966276159672894</c:v>
                </c:pt>
                <c:pt idx="328">
                  <c:v>47.986733236636155</c:v>
                </c:pt>
                <c:pt idx="329">
                  <c:v>48.007190313599409</c:v>
                </c:pt>
                <c:pt idx="330">
                  <c:v>48.02764739056267</c:v>
                </c:pt>
                <c:pt idx="331">
                  <c:v>48.048104467525931</c:v>
                </c:pt>
                <c:pt idx="332">
                  <c:v>48.068561544489192</c:v>
                </c:pt>
                <c:pt idx="333">
                  <c:v>48.089018621452453</c:v>
                </c:pt>
                <c:pt idx="334">
                  <c:v>45.316022270765771</c:v>
                </c:pt>
                <c:pt idx="335">
                  <c:v>45.335291517453747</c:v>
                </c:pt>
                <c:pt idx="336">
                  <c:v>45.354560764141723</c:v>
                </c:pt>
                <c:pt idx="337">
                  <c:v>45.3738300108297</c:v>
                </c:pt>
                <c:pt idx="338">
                  <c:v>45.393099257517676</c:v>
                </c:pt>
                <c:pt idx="339">
                  <c:v>45.412368504205652</c:v>
                </c:pt>
                <c:pt idx="340">
                  <c:v>45.431637750893621</c:v>
                </c:pt>
                <c:pt idx="341">
                  <c:v>45.450906997581605</c:v>
                </c:pt>
                <c:pt idx="342">
                  <c:v>45.470176244269574</c:v>
                </c:pt>
                <c:pt idx="343">
                  <c:v>45.489445490957543</c:v>
                </c:pt>
                <c:pt idx="344">
                  <c:v>45.508714737645519</c:v>
                </c:pt>
                <c:pt idx="345">
                  <c:v>45.527983984333495</c:v>
                </c:pt>
                <c:pt idx="346">
                  <c:v>45.547253231021472</c:v>
                </c:pt>
                <c:pt idx="347">
                  <c:v>45.566522477709448</c:v>
                </c:pt>
                <c:pt idx="348">
                  <c:v>45.585791724397424</c:v>
                </c:pt>
                <c:pt idx="349">
                  <c:v>45.6050609710854</c:v>
                </c:pt>
                <c:pt idx="350">
                  <c:v>45.624330217773377</c:v>
                </c:pt>
                <c:pt idx="351">
                  <c:v>45.643599464461353</c:v>
                </c:pt>
                <c:pt idx="352">
                  <c:v>45.662868711149329</c:v>
                </c:pt>
                <c:pt idx="353">
                  <c:v>45.682137957837298</c:v>
                </c:pt>
                <c:pt idx="354">
                  <c:v>45.701407204525275</c:v>
                </c:pt>
                <c:pt idx="355">
                  <c:v>45.720676451213251</c:v>
                </c:pt>
                <c:pt idx="356">
                  <c:v>45.73994569790122</c:v>
                </c:pt>
                <c:pt idx="357">
                  <c:v>45.759214944589196</c:v>
                </c:pt>
                <c:pt idx="358">
                  <c:v>45.778484191277172</c:v>
                </c:pt>
                <c:pt idx="359">
                  <c:v>45.797753437965149</c:v>
                </c:pt>
                <c:pt idx="360">
                  <c:v>45.817022684653125</c:v>
                </c:pt>
                <c:pt idx="361">
                  <c:v>45.836291931341101</c:v>
                </c:pt>
                <c:pt idx="362">
                  <c:v>45.855561178029077</c:v>
                </c:pt>
                <c:pt idx="363">
                  <c:v>45.874830424717054</c:v>
                </c:pt>
                <c:pt idx="364">
                  <c:v>45.89409967140503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9-4237-9B97-0BA9495B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477135"/>
        <c:axId val="623773183"/>
      </c:lineChart>
      <c:catAx>
        <c:axId val="82847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73183"/>
        <c:crosses val="autoZero"/>
        <c:auto val="1"/>
        <c:lblAlgn val="ctr"/>
        <c:lblOffset val="100"/>
        <c:noMultiLvlLbl val="0"/>
      </c:catAx>
      <c:valAx>
        <c:axId val="6237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7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Forecast'!$C$1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'Linear Forecast'!$B$2:$B$366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'Linear Forecast'!$C$2:$C$366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8-447D-B5DD-C7DDCCA68EDD}"/>
            </c:ext>
          </c:extLst>
        </c:ser>
        <c:ser>
          <c:idx val="1"/>
          <c:order val="1"/>
          <c:tx>
            <c:strRef>
              <c:f>'Linear Forecast'!$D$1</c:f>
              <c:strCache>
                <c:ptCount val="1"/>
                <c:pt idx="0">
                  <c:v>Linear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'Linear Forecast'!$B$2:$B$366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'Linear Forecast'!$D$2:$D$366</c:f>
              <c:numCache>
                <c:formatCode>0</c:formatCode>
                <c:ptCount val="365"/>
                <c:pt idx="0">
                  <c:v>38.507433191107125</c:v>
                </c:pt>
                <c:pt idx="1">
                  <c:v>38.526517744550539</c:v>
                </c:pt>
                <c:pt idx="2">
                  <c:v>38.545602297993952</c:v>
                </c:pt>
                <c:pt idx="3">
                  <c:v>38.564686851437365</c:v>
                </c:pt>
                <c:pt idx="4">
                  <c:v>38.583771404880778</c:v>
                </c:pt>
                <c:pt idx="5">
                  <c:v>38.602855958324191</c:v>
                </c:pt>
                <c:pt idx="6">
                  <c:v>38.621940511767598</c:v>
                </c:pt>
                <c:pt idx="7">
                  <c:v>38.641025065211011</c:v>
                </c:pt>
                <c:pt idx="8">
                  <c:v>38.660109618654424</c:v>
                </c:pt>
                <c:pt idx="9">
                  <c:v>38.679194172097837</c:v>
                </c:pt>
                <c:pt idx="10">
                  <c:v>38.69827872554125</c:v>
                </c:pt>
                <c:pt idx="11">
                  <c:v>38.717363278984664</c:v>
                </c:pt>
                <c:pt idx="12">
                  <c:v>38.736447832428077</c:v>
                </c:pt>
                <c:pt idx="13">
                  <c:v>38.75553238587149</c:v>
                </c:pt>
                <c:pt idx="14">
                  <c:v>38.774616939314903</c:v>
                </c:pt>
                <c:pt idx="15">
                  <c:v>38.793701492758316</c:v>
                </c:pt>
                <c:pt idx="16">
                  <c:v>38.81278604620173</c:v>
                </c:pt>
                <c:pt idx="17">
                  <c:v>38.831870599645143</c:v>
                </c:pt>
                <c:pt idx="18">
                  <c:v>38.850955153088549</c:v>
                </c:pt>
                <c:pt idx="19">
                  <c:v>38.870039706531962</c:v>
                </c:pt>
                <c:pt idx="20">
                  <c:v>38.889124259975375</c:v>
                </c:pt>
                <c:pt idx="21">
                  <c:v>38.908208813418788</c:v>
                </c:pt>
                <c:pt idx="22">
                  <c:v>38.927293366862202</c:v>
                </c:pt>
                <c:pt idx="23">
                  <c:v>38.946377920305615</c:v>
                </c:pt>
                <c:pt idx="24">
                  <c:v>38.965462473749028</c:v>
                </c:pt>
                <c:pt idx="25">
                  <c:v>38.984547027192441</c:v>
                </c:pt>
                <c:pt idx="26">
                  <c:v>39.003631580635854</c:v>
                </c:pt>
                <c:pt idx="27">
                  <c:v>39.022716134079268</c:v>
                </c:pt>
                <c:pt idx="28">
                  <c:v>39.041800687522681</c:v>
                </c:pt>
                <c:pt idx="29">
                  <c:v>39.060885240966094</c:v>
                </c:pt>
                <c:pt idx="30">
                  <c:v>39.079969794409507</c:v>
                </c:pt>
                <c:pt idx="31">
                  <c:v>39.099054347852913</c:v>
                </c:pt>
                <c:pt idx="32">
                  <c:v>39.118138901296327</c:v>
                </c:pt>
                <c:pt idx="33">
                  <c:v>39.13722345473974</c:v>
                </c:pt>
                <c:pt idx="34">
                  <c:v>39.156308008183153</c:v>
                </c:pt>
                <c:pt idx="35">
                  <c:v>39.175392561626566</c:v>
                </c:pt>
                <c:pt idx="36">
                  <c:v>39.194477115069979</c:v>
                </c:pt>
                <c:pt idx="37">
                  <c:v>39.213561668513393</c:v>
                </c:pt>
                <c:pt idx="38">
                  <c:v>39.232646221956806</c:v>
                </c:pt>
                <c:pt idx="39">
                  <c:v>39.251730775400219</c:v>
                </c:pt>
                <c:pt idx="40">
                  <c:v>39.270815328843632</c:v>
                </c:pt>
                <c:pt idx="41">
                  <c:v>39.289899882287045</c:v>
                </c:pt>
                <c:pt idx="42">
                  <c:v>39.308984435730459</c:v>
                </c:pt>
                <c:pt idx="43">
                  <c:v>39.328068989173865</c:v>
                </c:pt>
                <c:pt idx="44">
                  <c:v>39.347153542617278</c:v>
                </c:pt>
                <c:pt idx="45">
                  <c:v>39.366238096060691</c:v>
                </c:pt>
                <c:pt idx="46">
                  <c:v>39.385322649504104</c:v>
                </c:pt>
                <c:pt idx="47">
                  <c:v>39.404407202947517</c:v>
                </c:pt>
                <c:pt idx="48">
                  <c:v>39.423491756390931</c:v>
                </c:pt>
                <c:pt idx="49">
                  <c:v>39.442576309834344</c:v>
                </c:pt>
                <c:pt idx="50">
                  <c:v>39.461660863277757</c:v>
                </c:pt>
                <c:pt idx="51">
                  <c:v>39.48074541672117</c:v>
                </c:pt>
                <c:pt idx="52">
                  <c:v>39.499829970164583</c:v>
                </c:pt>
                <c:pt idx="53">
                  <c:v>39.518914523607997</c:v>
                </c:pt>
                <c:pt idx="54">
                  <c:v>39.53799907705141</c:v>
                </c:pt>
                <c:pt idx="55">
                  <c:v>39.557083630494816</c:v>
                </c:pt>
                <c:pt idx="56">
                  <c:v>39.576168183938229</c:v>
                </c:pt>
                <c:pt idx="57">
                  <c:v>39.595252737381642</c:v>
                </c:pt>
                <c:pt idx="58">
                  <c:v>39.614337290825056</c:v>
                </c:pt>
                <c:pt idx="59">
                  <c:v>39.633421844268469</c:v>
                </c:pt>
                <c:pt idx="60">
                  <c:v>39.652506397711882</c:v>
                </c:pt>
                <c:pt idx="61">
                  <c:v>39.671590951155295</c:v>
                </c:pt>
                <c:pt idx="62">
                  <c:v>39.690675504598708</c:v>
                </c:pt>
                <c:pt idx="63">
                  <c:v>39.709760058042121</c:v>
                </c:pt>
                <c:pt idx="64">
                  <c:v>39.728844611485535</c:v>
                </c:pt>
                <c:pt idx="65">
                  <c:v>39.747929164928948</c:v>
                </c:pt>
                <c:pt idx="66">
                  <c:v>39.767013718372361</c:v>
                </c:pt>
                <c:pt idx="67">
                  <c:v>39.786098271815774</c:v>
                </c:pt>
                <c:pt idx="68">
                  <c:v>39.80518282525918</c:v>
                </c:pt>
                <c:pt idx="69">
                  <c:v>39.824267378702594</c:v>
                </c:pt>
                <c:pt idx="70">
                  <c:v>39.843351932146007</c:v>
                </c:pt>
                <c:pt idx="71">
                  <c:v>39.86243648558942</c:v>
                </c:pt>
                <c:pt idx="72">
                  <c:v>39.881521039032833</c:v>
                </c:pt>
                <c:pt idx="73">
                  <c:v>39.900605592476246</c:v>
                </c:pt>
                <c:pt idx="74">
                  <c:v>39.91969014591966</c:v>
                </c:pt>
                <c:pt idx="75">
                  <c:v>39.938774699363073</c:v>
                </c:pt>
                <c:pt idx="76">
                  <c:v>39.957859252806486</c:v>
                </c:pt>
                <c:pt idx="77">
                  <c:v>39.976943806249899</c:v>
                </c:pt>
                <c:pt idx="78">
                  <c:v>39.996028359693312</c:v>
                </c:pt>
                <c:pt idx="79">
                  <c:v>40.015112913136726</c:v>
                </c:pt>
                <c:pt idx="80">
                  <c:v>40.034197466580132</c:v>
                </c:pt>
                <c:pt idx="81">
                  <c:v>40.053282020023545</c:v>
                </c:pt>
                <c:pt idx="82">
                  <c:v>40.072366573466958</c:v>
                </c:pt>
                <c:pt idx="83">
                  <c:v>40.091451126910371</c:v>
                </c:pt>
                <c:pt idx="84">
                  <c:v>40.110535680353784</c:v>
                </c:pt>
                <c:pt idx="85">
                  <c:v>40.129620233797198</c:v>
                </c:pt>
                <c:pt idx="86">
                  <c:v>40.148704787240611</c:v>
                </c:pt>
                <c:pt idx="87">
                  <c:v>40.167789340684024</c:v>
                </c:pt>
                <c:pt idx="88">
                  <c:v>40.186873894127437</c:v>
                </c:pt>
                <c:pt idx="89">
                  <c:v>40.20595844757085</c:v>
                </c:pt>
                <c:pt idx="90">
                  <c:v>40.225043001014264</c:v>
                </c:pt>
                <c:pt idx="91">
                  <c:v>40.244127554457677</c:v>
                </c:pt>
                <c:pt idx="92">
                  <c:v>40.263212107901083</c:v>
                </c:pt>
                <c:pt idx="93">
                  <c:v>40.282296661344496</c:v>
                </c:pt>
                <c:pt idx="94">
                  <c:v>40.301381214787909</c:v>
                </c:pt>
                <c:pt idx="95">
                  <c:v>40.320465768231323</c:v>
                </c:pt>
                <c:pt idx="96">
                  <c:v>40.339550321674736</c:v>
                </c:pt>
                <c:pt idx="97">
                  <c:v>40.358634875118149</c:v>
                </c:pt>
                <c:pt idx="98">
                  <c:v>40.377719428561562</c:v>
                </c:pt>
                <c:pt idx="99">
                  <c:v>40.396803982004975</c:v>
                </c:pt>
                <c:pt idx="100">
                  <c:v>40.415888535448389</c:v>
                </c:pt>
                <c:pt idx="101">
                  <c:v>40.434973088891802</c:v>
                </c:pt>
                <c:pt idx="102">
                  <c:v>40.454057642335215</c:v>
                </c:pt>
                <c:pt idx="103">
                  <c:v>40.473142195778628</c:v>
                </c:pt>
                <c:pt idx="104">
                  <c:v>40.492226749222041</c:v>
                </c:pt>
                <c:pt idx="105">
                  <c:v>40.511311302665447</c:v>
                </c:pt>
                <c:pt idx="106">
                  <c:v>40.530395856108861</c:v>
                </c:pt>
                <c:pt idx="107">
                  <c:v>40.549480409552274</c:v>
                </c:pt>
                <c:pt idx="108">
                  <c:v>40.568564962995687</c:v>
                </c:pt>
                <c:pt idx="109">
                  <c:v>40.5876495164391</c:v>
                </c:pt>
                <c:pt idx="110">
                  <c:v>40.606734069882513</c:v>
                </c:pt>
                <c:pt idx="111">
                  <c:v>40.625818623325927</c:v>
                </c:pt>
                <c:pt idx="112">
                  <c:v>40.64490317676934</c:v>
                </c:pt>
                <c:pt idx="113">
                  <c:v>40.663987730212753</c:v>
                </c:pt>
                <c:pt idx="114">
                  <c:v>40.683072283656166</c:v>
                </c:pt>
                <c:pt idx="115">
                  <c:v>40.702156837099579</c:v>
                </c:pt>
                <c:pt idx="116">
                  <c:v>40.721241390542993</c:v>
                </c:pt>
                <c:pt idx="117">
                  <c:v>40.740325943986406</c:v>
                </c:pt>
                <c:pt idx="118">
                  <c:v>40.759410497429812</c:v>
                </c:pt>
                <c:pt idx="119">
                  <c:v>40.778495050873225</c:v>
                </c:pt>
                <c:pt idx="120">
                  <c:v>40.797579604316638</c:v>
                </c:pt>
                <c:pt idx="121">
                  <c:v>40.816664157760052</c:v>
                </c:pt>
                <c:pt idx="122">
                  <c:v>40.835748711203465</c:v>
                </c:pt>
                <c:pt idx="123">
                  <c:v>40.854833264646878</c:v>
                </c:pt>
                <c:pt idx="124">
                  <c:v>40.873917818090291</c:v>
                </c:pt>
                <c:pt idx="125">
                  <c:v>40.893002371533704</c:v>
                </c:pt>
                <c:pt idx="126">
                  <c:v>40.912086924977118</c:v>
                </c:pt>
                <c:pt idx="127">
                  <c:v>40.931171478420531</c:v>
                </c:pt>
                <c:pt idx="128">
                  <c:v>40.950256031863944</c:v>
                </c:pt>
                <c:pt idx="129">
                  <c:v>40.96934058530735</c:v>
                </c:pt>
                <c:pt idx="130">
                  <c:v>40.988425138750763</c:v>
                </c:pt>
                <c:pt idx="131">
                  <c:v>41.007509692194176</c:v>
                </c:pt>
                <c:pt idx="132">
                  <c:v>41.02659424563759</c:v>
                </c:pt>
                <c:pt idx="133">
                  <c:v>41.045678799081003</c:v>
                </c:pt>
                <c:pt idx="134">
                  <c:v>41.064763352524416</c:v>
                </c:pt>
                <c:pt idx="135">
                  <c:v>41.083847905967829</c:v>
                </c:pt>
                <c:pt idx="136">
                  <c:v>41.102932459411242</c:v>
                </c:pt>
                <c:pt idx="137">
                  <c:v>41.122017012854656</c:v>
                </c:pt>
                <c:pt idx="138">
                  <c:v>41.141101566298069</c:v>
                </c:pt>
                <c:pt idx="139">
                  <c:v>41.160186119741482</c:v>
                </c:pt>
                <c:pt idx="140">
                  <c:v>41.179270673184895</c:v>
                </c:pt>
                <c:pt idx="141">
                  <c:v>41.198355226628308</c:v>
                </c:pt>
                <c:pt idx="142">
                  <c:v>41.217439780071714</c:v>
                </c:pt>
                <c:pt idx="143">
                  <c:v>41.236524333515128</c:v>
                </c:pt>
                <c:pt idx="144">
                  <c:v>41.255608886958541</c:v>
                </c:pt>
                <c:pt idx="145">
                  <c:v>41.274693440401954</c:v>
                </c:pt>
                <c:pt idx="146">
                  <c:v>41.293777993845367</c:v>
                </c:pt>
                <c:pt idx="147">
                  <c:v>41.31286254728878</c:v>
                </c:pt>
                <c:pt idx="148">
                  <c:v>41.331947100732194</c:v>
                </c:pt>
                <c:pt idx="149">
                  <c:v>41.351031654175607</c:v>
                </c:pt>
                <c:pt idx="150">
                  <c:v>41.37011620761902</c:v>
                </c:pt>
                <c:pt idx="151">
                  <c:v>41.389200761062433</c:v>
                </c:pt>
                <c:pt idx="152">
                  <c:v>41.408285314505846</c:v>
                </c:pt>
                <c:pt idx="153">
                  <c:v>41.42736986794926</c:v>
                </c:pt>
                <c:pt idx="154">
                  <c:v>41.446454421392673</c:v>
                </c:pt>
                <c:pt idx="155">
                  <c:v>41.465538974836079</c:v>
                </c:pt>
                <c:pt idx="156">
                  <c:v>41.484623528279492</c:v>
                </c:pt>
                <c:pt idx="157">
                  <c:v>41.503708081722905</c:v>
                </c:pt>
                <c:pt idx="158">
                  <c:v>41.522792635166319</c:v>
                </c:pt>
                <c:pt idx="159">
                  <c:v>41.541877188609732</c:v>
                </c:pt>
                <c:pt idx="160">
                  <c:v>41.560961742053145</c:v>
                </c:pt>
                <c:pt idx="161">
                  <c:v>41.580046295496558</c:v>
                </c:pt>
                <c:pt idx="162">
                  <c:v>41.599130848939971</c:v>
                </c:pt>
                <c:pt idx="163">
                  <c:v>41.618215402383385</c:v>
                </c:pt>
                <c:pt idx="164">
                  <c:v>41.637299955826798</c:v>
                </c:pt>
                <c:pt idx="165">
                  <c:v>41.656384509270211</c:v>
                </c:pt>
                <c:pt idx="166">
                  <c:v>41.675469062713624</c:v>
                </c:pt>
                <c:pt idx="167">
                  <c:v>41.69455361615703</c:v>
                </c:pt>
                <c:pt idx="168">
                  <c:v>41.713638169600443</c:v>
                </c:pt>
                <c:pt idx="169">
                  <c:v>41.732722723043857</c:v>
                </c:pt>
                <c:pt idx="170">
                  <c:v>41.75180727648727</c:v>
                </c:pt>
                <c:pt idx="171">
                  <c:v>41.770891829930683</c:v>
                </c:pt>
                <c:pt idx="172">
                  <c:v>41.789976383374096</c:v>
                </c:pt>
                <c:pt idx="173">
                  <c:v>41.809060936817509</c:v>
                </c:pt>
                <c:pt idx="174">
                  <c:v>41.828145490260923</c:v>
                </c:pt>
                <c:pt idx="175">
                  <c:v>41.847230043704336</c:v>
                </c:pt>
                <c:pt idx="176">
                  <c:v>41.866314597147749</c:v>
                </c:pt>
                <c:pt idx="177">
                  <c:v>41.885399150591162</c:v>
                </c:pt>
                <c:pt idx="178">
                  <c:v>41.904483704034575</c:v>
                </c:pt>
                <c:pt idx="179">
                  <c:v>41.923568257477982</c:v>
                </c:pt>
                <c:pt idx="180">
                  <c:v>41.942652810921395</c:v>
                </c:pt>
                <c:pt idx="181">
                  <c:v>41.961737364364808</c:v>
                </c:pt>
                <c:pt idx="182">
                  <c:v>41.980821917808221</c:v>
                </c:pt>
                <c:pt idx="183">
                  <c:v>41.999906471251634</c:v>
                </c:pt>
                <c:pt idx="184">
                  <c:v>42.018991024695048</c:v>
                </c:pt>
                <c:pt idx="185">
                  <c:v>42.038075578138461</c:v>
                </c:pt>
                <c:pt idx="186">
                  <c:v>42.057160131581874</c:v>
                </c:pt>
                <c:pt idx="187">
                  <c:v>42.076244685025287</c:v>
                </c:pt>
                <c:pt idx="188">
                  <c:v>42.0953292384687</c:v>
                </c:pt>
                <c:pt idx="189">
                  <c:v>42.114413791912114</c:v>
                </c:pt>
                <c:pt idx="190">
                  <c:v>42.133498345355527</c:v>
                </c:pt>
                <c:pt idx="191">
                  <c:v>42.15258289879894</c:v>
                </c:pt>
                <c:pt idx="192">
                  <c:v>42.171667452242346</c:v>
                </c:pt>
                <c:pt idx="193">
                  <c:v>42.190752005685759</c:v>
                </c:pt>
                <c:pt idx="194">
                  <c:v>42.209836559129172</c:v>
                </c:pt>
                <c:pt idx="195">
                  <c:v>42.228921112572586</c:v>
                </c:pt>
                <c:pt idx="196">
                  <c:v>42.248005666015999</c:v>
                </c:pt>
                <c:pt idx="197">
                  <c:v>42.267090219459412</c:v>
                </c:pt>
                <c:pt idx="198">
                  <c:v>42.286174772902825</c:v>
                </c:pt>
                <c:pt idx="199">
                  <c:v>42.305259326346238</c:v>
                </c:pt>
                <c:pt idx="200">
                  <c:v>42.324343879789652</c:v>
                </c:pt>
                <c:pt idx="201">
                  <c:v>42.343428433233065</c:v>
                </c:pt>
                <c:pt idx="202">
                  <c:v>42.362512986676478</c:v>
                </c:pt>
                <c:pt idx="203">
                  <c:v>42.381597540119891</c:v>
                </c:pt>
                <c:pt idx="204">
                  <c:v>42.400682093563304</c:v>
                </c:pt>
                <c:pt idx="205">
                  <c:v>42.419766647006711</c:v>
                </c:pt>
                <c:pt idx="206">
                  <c:v>42.438851200450124</c:v>
                </c:pt>
                <c:pt idx="207">
                  <c:v>42.457935753893537</c:v>
                </c:pt>
                <c:pt idx="208">
                  <c:v>42.47702030733695</c:v>
                </c:pt>
                <c:pt idx="209">
                  <c:v>42.496104860780363</c:v>
                </c:pt>
                <c:pt idx="210">
                  <c:v>42.515189414223777</c:v>
                </c:pt>
                <c:pt idx="211">
                  <c:v>42.53427396766719</c:v>
                </c:pt>
                <c:pt idx="212">
                  <c:v>42.553358521110603</c:v>
                </c:pt>
                <c:pt idx="213">
                  <c:v>42.572443074554016</c:v>
                </c:pt>
                <c:pt idx="214">
                  <c:v>42.591527627997429</c:v>
                </c:pt>
                <c:pt idx="215">
                  <c:v>42.610612181440843</c:v>
                </c:pt>
                <c:pt idx="216">
                  <c:v>42.629696734884249</c:v>
                </c:pt>
                <c:pt idx="217">
                  <c:v>42.648781288327662</c:v>
                </c:pt>
                <c:pt idx="218">
                  <c:v>42.667865841771075</c:v>
                </c:pt>
                <c:pt idx="219">
                  <c:v>42.686950395214488</c:v>
                </c:pt>
                <c:pt idx="220">
                  <c:v>42.706034948657901</c:v>
                </c:pt>
                <c:pt idx="221">
                  <c:v>42.725119502101315</c:v>
                </c:pt>
                <c:pt idx="222">
                  <c:v>42.744204055544728</c:v>
                </c:pt>
                <c:pt idx="223">
                  <c:v>42.763288608988141</c:v>
                </c:pt>
                <c:pt idx="224">
                  <c:v>42.782373162431554</c:v>
                </c:pt>
                <c:pt idx="225">
                  <c:v>42.801457715874967</c:v>
                </c:pt>
                <c:pt idx="226">
                  <c:v>42.820542269318381</c:v>
                </c:pt>
                <c:pt idx="227">
                  <c:v>42.839626822761794</c:v>
                </c:pt>
                <c:pt idx="228">
                  <c:v>42.858711376205207</c:v>
                </c:pt>
                <c:pt idx="229">
                  <c:v>42.877795929648613</c:v>
                </c:pt>
                <c:pt idx="230">
                  <c:v>42.896880483092026</c:v>
                </c:pt>
                <c:pt idx="231">
                  <c:v>42.915965036535439</c:v>
                </c:pt>
                <c:pt idx="232">
                  <c:v>42.935049589978853</c:v>
                </c:pt>
                <c:pt idx="233">
                  <c:v>42.954134143422266</c:v>
                </c:pt>
                <c:pt idx="234">
                  <c:v>42.973218696865679</c:v>
                </c:pt>
                <c:pt idx="235">
                  <c:v>42.992303250309092</c:v>
                </c:pt>
                <c:pt idx="236">
                  <c:v>43.011387803752505</c:v>
                </c:pt>
                <c:pt idx="237">
                  <c:v>43.030472357195919</c:v>
                </c:pt>
                <c:pt idx="238">
                  <c:v>43.049556910639332</c:v>
                </c:pt>
                <c:pt idx="239">
                  <c:v>43.068641464082745</c:v>
                </c:pt>
                <c:pt idx="240">
                  <c:v>43.087726017526158</c:v>
                </c:pt>
                <c:pt idx="241">
                  <c:v>43.106810570969571</c:v>
                </c:pt>
                <c:pt idx="242">
                  <c:v>43.125895124412978</c:v>
                </c:pt>
                <c:pt idx="243">
                  <c:v>43.144979677856391</c:v>
                </c:pt>
                <c:pt idx="244">
                  <c:v>43.164064231299804</c:v>
                </c:pt>
                <c:pt idx="245">
                  <c:v>43.183148784743217</c:v>
                </c:pt>
                <c:pt idx="246">
                  <c:v>43.20223333818663</c:v>
                </c:pt>
                <c:pt idx="247">
                  <c:v>43.221317891630044</c:v>
                </c:pt>
                <c:pt idx="248">
                  <c:v>43.240402445073457</c:v>
                </c:pt>
                <c:pt idx="249">
                  <c:v>43.25948699851687</c:v>
                </c:pt>
                <c:pt idx="250">
                  <c:v>43.278571551960283</c:v>
                </c:pt>
                <c:pt idx="251">
                  <c:v>43.297656105403696</c:v>
                </c:pt>
                <c:pt idx="252">
                  <c:v>43.31674065884711</c:v>
                </c:pt>
                <c:pt idx="253">
                  <c:v>43.335825212290516</c:v>
                </c:pt>
                <c:pt idx="254">
                  <c:v>43.354909765733936</c:v>
                </c:pt>
                <c:pt idx="255">
                  <c:v>43.373994319177342</c:v>
                </c:pt>
                <c:pt idx="256">
                  <c:v>43.393078872620755</c:v>
                </c:pt>
                <c:pt idx="257">
                  <c:v>43.412163426064168</c:v>
                </c:pt>
                <c:pt idx="258">
                  <c:v>43.431247979507582</c:v>
                </c:pt>
                <c:pt idx="259">
                  <c:v>43.450332532950995</c:v>
                </c:pt>
                <c:pt idx="260">
                  <c:v>43.469417086394408</c:v>
                </c:pt>
                <c:pt idx="261">
                  <c:v>43.488501639837821</c:v>
                </c:pt>
                <c:pt idx="262">
                  <c:v>43.507586193281234</c:v>
                </c:pt>
                <c:pt idx="263">
                  <c:v>43.526670746724648</c:v>
                </c:pt>
                <c:pt idx="264">
                  <c:v>43.545755300168061</c:v>
                </c:pt>
                <c:pt idx="265">
                  <c:v>43.564839853611474</c:v>
                </c:pt>
                <c:pt idx="266">
                  <c:v>43.58392440705488</c:v>
                </c:pt>
                <c:pt idx="267">
                  <c:v>43.603008960498293</c:v>
                </c:pt>
                <c:pt idx="268">
                  <c:v>43.622093513941707</c:v>
                </c:pt>
                <c:pt idx="269">
                  <c:v>43.64117806738512</c:v>
                </c:pt>
                <c:pt idx="270">
                  <c:v>43.660262620828533</c:v>
                </c:pt>
                <c:pt idx="271">
                  <c:v>43.679347174271946</c:v>
                </c:pt>
                <c:pt idx="272">
                  <c:v>43.698431727715359</c:v>
                </c:pt>
                <c:pt idx="273">
                  <c:v>43.717516281158773</c:v>
                </c:pt>
                <c:pt idx="274">
                  <c:v>43.736600834602186</c:v>
                </c:pt>
                <c:pt idx="275">
                  <c:v>43.755685388045599</c:v>
                </c:pt>
                <c:pt idx="276">
                  <c:v>43.774769941489012</c:v>
                </c:pt>
                <c:pt idx="277">
                  <c:v>43.793854494932425</c:v>
                </c:pt>
                <c:pt idx="278">
                  <c:v>43.812939048375839</c:v>
                </c:pt>
                <c:pt idx="279">
                  <c:v>43.832023601819245</c:v>
                </c:pt>
                <c:pt idx="280">
                  <c:v>43.851108155262658</c:v>
                </c:pt>
                <c:pt idx="281">
                  <c:v>43.870192708706071</c:v>
                </c:pt>
                <c:pt idx="282">
                  <c:v>43.889277262149484</c:v>
                </c:pt>
                <c:pt idx="283">
                  <c:v>43.908361815592897</c:v>
                </c:pt>
                <c:pt idx="284">
                  <c:v>43.927446369036311</c:v>
                </c:pt>
                <c:pt idx="285">
                  <c:v>43.946530922479724</c:v>
                </c:pt>
                <c:pt idx="286">
                  <c:v>43.965615475923137</c:v>
                </c:pt>
                <c:pt idx="287">
                  <c:v>43.98470002936655</c:v>
                </c:pt>
                <c:pt idx="288">
                  <c:v>44.003784582809963</c:v>
                </c:pt>
                <c:pt idx="289">
                  <c:v>44.022869136253377</c:v>
                </c:pt>
                <c:pt idx="290">
                  <c:v>44.041953689696783</c:v>
                </c:pt>
                <c:pt idx="291">
                  <c:v>44.061038243140203</c:v>
                </c:pt>
                <c:pt idx="292">
                  <c:v>44.080122796583609</c:v>
                </c:pt>
                <c:pt idx="293">
                  <c:v>44.099207350027022</c:v>
                </c:pt>
                <c:pt idx="294">
                  <c:v>44.118291903470435</c:v>
                </c:pt>
                <c:pt idx="295">
                  <c:v>44.137376456913849</c:v>
                </c:pt>
                <c:pt idx="296">
                  <c:v>44.156461010357262</c:v>
                </c:pt>
                <c:pt idx="297">
                  <c:v>44.175545563800675</c:v>
                </c:pt>
                <c:pt idx="298">
                  <c:v>44.194630117244088</c:v>
                </c:pt>
                <c:pt idx="299">
                  <c:v>44.213714670687501</c:v>
                </c:pt>
                <c:pt idx="300">
                  <c:v>44.232799224130915</c:v>
                </c:pt>
                <c:pt idx="301">
                  <c:v>44.251883777574328</c:v>
                </c:pt>
                <c:pt idx="302">
                  <c:v>44.270968331017741</c:v>
                </c:pt>
                <c:pt idx="303">
                  <c:v>44.290052884461147</c:v>
                </c:pt>
                <c:pt idx="304">
                  <c:v>44.30913743790456</c:v>
                </c:pt>
                <c:pt idx="305">
                  <c:v>44.328221991347974</c:v>
                </c:pt>
                <c:pt idx="306">
                  <c:v>44.347306544791387</c:v>
                </c:pt>
                <c:pt idx="307">
                  <c:v>44.3663910982348</c:v>
                </c:pt>
                <c:pt idx="308">
                  <c:v>44.385475651678213</c:v>
                </c:pt>
                <c:pt idx="309">
                  <c:v>44.404560205121626</c:v>
                </c:pt>
                <c:pt idx="310">
                  <c:v>44.42364475856504</c:v>
                </c:pt>
                <c:pt idx="311">
                  <c:v>44.442729312008453</c:v>
                </c:pt>
                <c:pt idx="312">
                  <c:v>44.461813865451866</c:v>
                </c:pt>
                <c:pt idx="313">
                  <c:v>44.480898418895279</c:v>
                </c:pt>
                <c:pt idx="314">
                  <c:v>44.499982972338692</c:v>
                </c:pt>
                <c:pt idx="315">
                  <c:v>44.519067525782106</c:v>
                </c:pt>
                <c:pt idx="316">
                  <c:v>44.538152079225512</c:v>
                </c:pt>
                <c:pt idx="317">
                  <c:v>44.557236632668925</c:v>
                </c:pt>
                <c:pt idx="318">
                  <c:v>44.576321186112338</c:v>
                </c:pt>
                <c:pt idx="319">
                  <c:v>44.595405739555751</c:v>
                </c:pt>
                <c:pt idx="320">
                  <c:v>44.614490292999164</c:v>
                </c:pt>
                <c:pt idx="321">
                  <c:v>44.633574846442578</c:v>
                </c:pt>
                <c:pt idx="322">
                  <c:v>44.652659399885991</c:v>
                </c:pt>
                <c:pt idx="323">
                  <c:v>44.671743953329404</c:v>
                </c:pt>
                <c:pt idx="324">
                  <c:v>44.690828506772817</c:v>
                </c:pt>
                <c:pt idx="325">
                  <c:v>44.70991306021623</c:v>
                </c:pt>
                <c:pt idx="326">
                  <c:v>44.728997613659644</c:v>
                </c:pt>
                <c:pt idx="327">
                  <c:v>44.748082167103057</c:v>
                </c:pt>
                <c:pt idx="328">
                  <c:v>44.76716672054647</c:v>
                </c:pt>
                <c:pt idx="329">
                  <c:v>44.786251273989876</c:v>
                </c:pt>
                <c:pt idx="330">
                  <c:v>44.805335827433289</c:v>
                </c:pt>
                <c:pt idx="331">
                  <c:v>44.824420380876703</c:v>
                </c:pt>
                <c:pt idx="332">
                  <c:v>44.843504934320116</c:v>
                </c:pt>
                <c:pt idx="333">
                  <c:v>44.862589487763529</c:v>
                </c:pt>
                <c:pt idx="334">
                  <c:v>44.881674041206942</c:v>
                </c:pt>
                <c:pt idx="335">
                  <c:v>44.900758594650355</c:v>
                </c:pt>
                <c:pt idx="336">
                  <c:v>44.919843148093769</c:v>
                </c:pt>
                <c:pt idx="337">
                  <c:v>44.938927701537182</c:v>
                </c:pt>
                <c:pt idx="338">
                  <c:v>44.958012254980595</c:v>
                </c:pt>
                <c:pt idx="339">
                  <c:v>44.977096808424008</c:v>
                </c:pt>
                <c:pt idx="340">
                  <c:v>44.996181361867414</c:v>
                </c:pt>
                <c:pt idx="341">
                  <c:v>45.015265915310835</c:v>
                </c:pt>
                <c:pt idx="342">
                  <c:v>45.034350468754241</c:v>
                </c:pt>
                <c:pt idx="343">
                  <c:v>45.053435022197654</c:v>
                </c:pt>
                <c:pt idx="344">
                  <c:v>45.072519575641067</c:v>
                </c:pt>
                <c:pt idx="345">
                  <c:v>45.09160412908448</c:v>
                </c:pt>
                <c:pt idx="346">
                  <c:v>45.110688682527893</c:v>
                </c:pt>
                <c:pt idx="347">
                  <c:v>45.129773235971307</c:v>
                </c:pt>
                <c:pt idx="348">
                  <c:v>45.14885778941472</c:v>
                </c:pt>
                <c:pt idx="349">
                  <c:v>45.167942342858133</c:v>
                </c:pt>
                <c:pt idx="350">
                  <c:v>45.187026896301546</c:v>
                </c:pt>
                <c:pt idx="351">
                  <c:v>45.206111449744959</c:v>
                </c:pt>
                <c:pt idx="352">
                  <c:v>45.225196003188373</c:v>
                </c:pt>
                <c:pt idx="353">
                  <c:v>45.244280556631779</c:v>
                </c:pt>
                <c:pt idx="354">
                  <c:v>45.263365110075192</c:v>
                </c:pt>
                <c:pt idx="355">
                  <c:v>45.282449663518605</c:v>
                </c:pt>
                <c:pt idx="356">
                  <c:v>45.301534216962018</c:v>
                </c:pt>
                <c:pt idx="357">
                  <c:v>45.320618770405432</c:v>
                </c:pt>
                <c:pt idx="358">
                  <c:v>45.339703323848845</c:v>
                </c:pt>
                <c:pt idx="359">
                  <c:v>45.358787877292258</c:v>
                </c:pt>
                <c:pt idx="360">
                  <c:v>45.377872430735671</c:v>
                </c:pt>
                <c:pt idx="361">
                  <c:v>45.396956984179084</c:v>
                </c:pt>
                <c:pt idx="362">
                  <c:v>45.416041537622498</c:v>
                </c:pt>
                <c:pt idx="363">
                  <c:v>45.435126091065911</c:v>
                </c:pt>
                <c:pt idx="364">
                  <c:v>45.454210644509324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8-447D-B5DD-C7DDCCA6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60816"/>
        <c:axId val="311280976"/>
      </c:lineChart>
      <c:dateAx>
        <c:axId val="311260816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80976"/>
        <c:crosses val="autoZero"/>
        <c:auto val="1"/>
        <c:lblOffset val="100"/>
        <c:baseTimeUnit val="days"/>
      </c:dateAx>
      <c:valAx>
        <c:axId val="3112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Linear_Forecast_Sheet!$B$1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Linear_Forecast_Sheet!$B$2:$B$458</c:f>
              <c:numCache>
                <c:formatCode>General</c:formatCode>
                <c:ptCount val="457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6-464F-90AC-C0F329455249}"/>
            </c:ext>
          </c:extLst>
        </c:ser>
        <c:ser>
          <c:idx val="1"/>
          <c:order val="1"/>
          <c:tx>
            <c:strRef>
              <c:f>Linear_Forecast_Sheet!$C$1</c:f>
              <c:strCache>
                <c:ptCount val="1"/>
                <c:pt idx="0">
                  <c:v>Forecast(Daily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Linear_Forecast_Sheet!$A$2:$A$458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Linear_Forecast_Sheet!$C$2:$C$458</c:f>
              <c:numCache>
                <c:formatCode>General</c:formatCode>
                <c:ptCount val="457"/>
                <c:pt idx="364">
                  <c:v>50</c:v>
                </c:pt>
                <c:pt idx="365">
                  <c:v>47.07848099046906</c:v>
                </c:pt>
                <c:pt idx="366">
                  <c:v>44.540814102244376</c:v>
                </c:pt>
                <c:pt idx="367">
                  <c:v>44.781489063466779</c:v>
                </c:pt>
                <c:pt idx="368">
                  <c:v>54.908684154817522</c:v>
                </c:pt>
                <c:pt idx="369">
                  <c:v>49.366808680756009</c:v>
                </c:pt>
                <c:pt idx="370">
                  <c:v>50.330835805359378</c:v>
                </c:pt>
                <c:pt idx="371">
                  <c:v>48.075340586273391</c:v>
                </c:pt>
                <c:pt idx="372">
                  <c:v>47.349610477405825</c:v>
                </c:pt>
                <c:pt idx="373">
                  <c:v>44.811943589181141</c:v>
                </c:pt>
                <c:pt idx="374">
                  <c:v>45.052618550403551</c:v>
                </c:pt>
                <c:pt idx="375">
                  <c:v>55.179813641754293</c:v>
                </c:pt>
                <c:pt idx="376">
                  <c:v>49.637938167692774</c:v>
                </c:pt>
                <c:pt idx="377">
                  <c:v>50.601965292296143</c:v>
                </c:pt>
                <c:pt idx="378">
                  <c:v>48.346470073210163</c:v>
                </c:pt>
                <c:pt idx="379">
                  <c:v>47.620739964342597</c:v>
                </c:pt>
                <c:pt idx="380">
                  <c:v>45.083073076117905</c:v>
                </c:pt>
                <c:pt idx="381">
                  <c:v>45.323748037340316</c:v>
                </c:pt>
                <c:pt idx="382">
                  <c:v>55.450943128691058</c:v>
                </c:pt>
                <c:pt idx="383">
                  <c:v>49.909067654629546</c:v>
                </c:pt>
                <c:pt idx="384">
                  <c:v>50.873094779232915</c:v>
                </c:pt>
                <c:pt idx="385">
                  <c:v>48.617599560146928</c:v>
                </c:pt>
                <c:pt idx="386">
                  <c:v>47.891869451279362</c:v>
                </c:pt>
                <c:pt idx="387">
                  <c:v>45.354202563054677</c:v>
                </c:pt>
                <c:pt idx="388">
                  <c:v>45.594877524277088</c:v>
                </c:pt>
                <c:pt idx="389">
                  <c:v>55.722072615627823</c:v>
                </c:pt>
                <c:pt idx="390">
                  <c:v>50.18019714156631</c:v>
                </c:pt>
                <c:pt idx="391">
                  <c:v>51.14422426616968</c:v>
                </c:pt>
                <c:pt idx="392">
                  <c:v>48.8887290470837</c:v>
                </c:pt>
                <c:pt idx="393">
                  <c:v>48.162998938216134</c:v>
                </c:pt>
                <c:pt idx="394">
                  <c:v>45.625332049991442</c:v>
                </c:pt>
                <c:pt idx="395">
                  <c:v>45.866007011213853</c:v>
                </c:pt>
                <c:pt idx="396">
                  <c:v>55.993202102564595</c:v>
                </c:pt>
                <c:pt idx="397">
                  <c:v>50.451326628503082</c:v>
                </c:pt>
                <c:pt idx="398">
                  <c:v>51.415353753106444</c:v>
                </c:pt>
                <c:pt idx="399">
                  <c:v>49.159858534020465</c:v>
                </c:pt>
                <c:pt idx="400">
                  <c:v>48.434128425152899</c:v>
                </c:pt>
                <c:pt idx="401">
                  <c:v>45.896461536928214</c:v>
                </c:pt>
                <c:pt idx="402">
                  <c:v>46.137136498150625</c:v>
                </c:pt>
                <c:pt idx="403">
                  <c:v>56.26433158950136</c:v>
                </c:pt>
                <c:pt idx="404">
                  <c:v>50.722456115439847</c:v>
                </c:pt>
                <c:pt idx="405">
                  <c:v>51.686483240043216</c:v>
                </c:pt>
                <c:pt idx="406">
                  <c:v>49.430988020957237</c:v>
                </c:pt>
                <c:pt idx="407">
                  <c:v>48.705257912089664</c:v>
                </c:pt>
                <c:pt idx="408">
                  <c:v>46.167591023864979</c:v>
                </c:pt>
                <c:pt idx="409">
                  <c:v>46.40826598508739</c:v>
                </c:pt>
                <c:pt idx="410">
                  <c:v>56.535461076438132</c:v>
                </c:pt>
                <c:pt idx="411">
                  <c:v>50.993585602376619</c:v>
                </c:pt>
                <c:pt idx="412">
                  <c:v>51.957612726979981</c:v>
                </c:pt>
                <c:pt idx="413">
                  <c:v>49.702117507894002</c:v>
                </c:pt>
                <c:pt idx="414">
                  <c:v>48.976387399026436</c:v>
                </c:pt>
                <c:pt idx="415">
                  <c:v>46.438720510801751</c:v>
                </c:pt>
                <c:pt idx="416">
                  <c:v>46.679395472024154</c:v>
                </c:pt>
                <c:pt idx="417">
                  <c:v>56.806590563374897</c:v>
                </c:pt>
                <c:pt idx="418">
                  <c:v>51.264715089313384</c:v>
                </c:pt>
                <c:pt idx="419">
                  <c:v>52.228742213916753</c:v>
                </c:pt>
                <c:pt idx="420">
                  <c:v>49.973246994830774</c:v>
                </c:pt>
                <c:pt idx="421">
                  <c:v>49.247516885963201</c:v>
                </c:pt>
                <c:pt idx="422">
                  <c:v>46.709849997738516</c:v>
                </c:pt>
                <c:pt idx="423">
                  <c:v>46.950524958960926</c:v>
                </c:pt>
                <c:pt idx="424">
                  <c:v>57.077720050311669</c:v>
                </c:pt>
                <c:pt idx="425">
                  <c:v>51.535844576250149</c:v>
                </c:pt>
                <c:pt idx="426">
                  <c:v>52.499871700853518</c:v>
                </c:pt>
                <c:pt idx="427">
                  <c:v>50.244376481767539</c:v>
                </c:pt>
                <c:pt idx="428">
                  <c:v>49.518646372899973</c:v>
                </c:pt>
                <c:pt idx="429">
                  <c:v>46.980979484675281</c:v>
                </c:pt>
                <c:pt idx="430">
                  <c:v>47.221654445897691</c:v>
                </c:pt>
                <c:pt idx="431">
                  <c:v>57.348849537248434</c:v>
                </c:pt>
                <c:pt idx="432">
                  <c:v>51.806974063186921</c:v>
                </c:pt>
                <c:pt idx="433">
                  <c:v>52.77100118779029</c:v>
                </c:pt>
                <c:pt idx="434">
                  <c:v>50.515505968704304</c:v>
                </c:pt>
                <c:pt idx="435">
                  <c:v>49.789775859836737</c:v>
                </c:pt>
                <c:pt idx="436">
                  <c:v>47.252108971612053</c:v>
                </c:pt>
                <c:pt idx="437">
                  <c:v>47.492783932834463</c:v>
                </c:pt>
                <c:pt idx="438">
                  <c:v>57.619979024185206</c:v>
                </c:pt>
                <c:pt idx="439">
                  <c:v>52.078103550123686</c:v>
                </c:pt>
                <c:pt idx="440">
                  <c:v>53.042130674727055</c:v>
                </c:pt>
                <c:pt idx="441">
                  <c:v>50.786635455641076</c:v>
                </c:pt>
                <c:pt idx="442">
                  <c:v>50.060905346773509</c:v>
                </c:pt>
                <c:pt idx="443">
                  <c:v>47.523238458548818</c:v>
                </c:pt>
                <c:pt idx="444">
                  <c:v>47.763913419771228</c:v>
                </c:pt>
                <c:pt idx="445">
                  <c:v>57.891108511121971</c:v>
                </c:pt>
                <c:pt idx="446">
                  <c:v>52.349233037060458</c:v>
                </c:pt>
                <c:pt idx="447">
                  <c:v>53.31326016166382</c:v>
                </c:pt>
                <c:pt idx="448">
                  <c:v>51.05776494257784</c:v>
                </c:pt>
                <c:pt idx="449">
                  <c:v>50.332034833710274</c:v>
                </c:pt>
                <c:pt idx="450">
                  <c:v>47.79436794548559</c:v>
                </c:pt>
                <c:pt idx="451">
                  <c:v>48.035042906708</c:v>
                </c:pt>
                <c:pt idx="452">
                  <c:v>58.162237998058735</c:v>
                </c:pt>
                <c:pt idx="453">
                  <c:v>52.620362523997223</c:v>
                </c:pt>
                <c:pt idx="454">
                  <c:v>53.584389648600592</c:v>
                </c:pt>
                <c:pt idx="455">
                  <c:v>51.328894429514612</c:v>
                </c:pt>
                <c:pt idx="456">
                  <c:v>50.603164320647046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6-464F-90AC-C0F329455249}"/>
            </c:ext>
          </c:extLst>
        </c:ser>
        <c:ser>
          <c:idx val="2"/>
          <c:order val="2"/>
          <c:tx>
            <c:strRef>
              <c:f>Linear_Forecast_Sheet!$D$1</c:f>
              <c:strCache>
                <c:ptCount val="1"/>
                <c:pt idx="0">
                  <c:v>Lower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Linear_Forecast_Sheet!$A$2:$A$458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Linear_Forecast_Sheet!$D$2:$D$458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32.414654408906244</c:v>
                </c:pt>
                <c:pt idx="366" formatCode="0.00">
                  <c:v>29.41854786793655</c:v>
                </c:pt>
                <c:pt idx="367" formatCode="0.00">
                  <c:v>29.210790583550015</c:v>
                </c:pt>
                <c:pt idx="368" formatCode="0.00">
                  <c:v>38.898706473903815</c:v>
                </c:pt>
                <c:pt idx="369" formatCode="0.00">
                  <c:v>32.925958073517805</c:v>
                </c:pt>
                <c:pt idx="370" formatCode="0.00">
                  <c:v>33.46686144441432</c:v>
                </c:pt>
                <c:pt idx="371" formatCode="0.00">
                  <c:v>30.795409942019152</c:v>
                </c:pt>
                <c:pt idx="372" formatCode="0.00">
                  <c:v>28.53241249700163</c:v>
                </c:pt>
                <c:pt idx="373" formatCode="0.00">
                  <c:v>25.615297518648745</c:v>
                </c:pt>
                <c:pt idx="374" formatCode="0.00">
                  <c:v>25.481029439801333</c:v>
                </c:pt>
                <c:pt idx="375" formatCode="0.00">
                  <c:v>35.237521653113248</c:v>
                </c:pt>
                <c:pt idx="376" formatCode="0.00">
                  <c:v>29.328940685029377</c:v>
                </c:pt>
                <c:pt idx="377" formatCode="0.00">
                  <c:v>29.93003656414654</c:v>
                </c:pt>
                <c:pt idx="378" formatCode="0.00">
                  <c:v>27.315178729394805</c:v>
                </c:pt>
                <c:pt idx="379" formatCode="0.00">
                  <c:v>25.274689608643374</c:v>
                </c:pt>
                <c:pt idx="380" formatCode="0.00">
                  <c:v>22.399147617220663</c:v>
                </c:pt>
                <c:pt idx="381" formatCode="0.00">
                  <c:v>22.304417209253565</c:v>
                </c:pt>
                <c:pt idx="382" formatCode="0.00">
                  <c:v>32.098561040360948</c:v>
                </c:pt>
                <c:pt idx="383" formatCode="0.00">
                  <c:v>26.225880019520226</c:v>
                </c:pt>
                <c:pt idx="384" formatCode="0.00">
                  <c:v>26.861245539538224</c:v>
                </c:pt>
                <c:pt idx="385" formatCode="0.00">
                  <c:v>24.27913696890926</c:v>
                </c:pt>
                <c:pt idx="386" formatCode="0.00">
                  <c:v>22.378100637382609</c:v>
                </c:pt>
                <c:pt idx="387" formatCode="0.00">
                  <c:v>19.528281345380467</c:v>
                </c:pt>
                <c:pt idx="388" formatCode="0.00">
                  <c:v>19.458281827703725</c:v>
                </c:pt>
                <c:pt idx="389" formatCode="0.00">
                  <c:v>29.276220148020414</c:v>
                </c:pt>
                <c:pt idx="390" formatCode="0.00">
                  <c:v>23.426448409956848</c:v>
                </c:pt>
                <c:pt idx="391" formatCode="0.00">
                  <c:v>24.08388539119122</c:v>
                </c:pt>
                <c:pt idx="392" formatCode="0.00">
                  <c:v>21.52305439254971</c:v>
                </c:pt>
                <c:pt idx="393" formatCode="0.00">
                  <c:v>19.719128830933382</c:v>
                </c:pt>
                <c:pt idx="394" formatCode="0.00">
                  <c:v>16.886648590495909</c:v>
                </c:pt>
                <c:pt idx="395" formatCode="0.00">
                  <c:v>16.833426383725545</c:v>
                </c:pt>
                <c:pt idx="396" formatCode="0.00">
                  <c:v>26.667605613231686</c:v>
                </c:pt>
                <c:pt idx="397" formatCode="0.00">
                  <c:v>20.833562166420574</c:v>
                </c:pt>
                <c:pt idx="398" formatCode="0.00">
                  <c:v>21.506237170099535</c:v>
                </c:pt>
                <c:pt idx="399" formatCode="0.00">
                  <c:v>18.960174948851929</c:v>
                </c:pt>
                <c:pt idx="400" formatCode="0.00">
                  <c:v>17.228399490386408</c:v>
                </c:pt>
                <c:pt idx="401" formatCode="0.00">
                  <c:v>14.408223351326622</c:v>
                </c:pt>
                <c:pt idx="402" formatCode="0.00">
                  <c:v>14.366955341805426</c:v>
                </c:pt>
                <c:pt idx="403" formatCode="0.00">
                  <c:v>24.212752089776494</c:v>
                </c:pt>
                <c:pt idx="404" formatCode="0.00">
                  <c:v>18.390002029036616</c:v>
                </c:pt>
                <c:pt idx="405" formatCode="0.00">
                  <c:v>19.073658197904024</c:v>
                </c:pt>
                <c:pt idx="406" formatCode="0.00">
                  <c:v>16.5382762382199</c:v>
                </c:pt>
                <c:pt idx="407" formatCode="0.00">
                  <c:v>14.862515363988024</c:v>
                </c:pt>
                <c:pt idx="408" formatCode="0.00">
                  <c:v>12.051357835491565</c:v>
                </c:pt>
                <c:pt idx="409" formatCode="0.00">
                  <c:v>12.018875729807299</c:v>
                </c:pt>
                <c:pt idx="410" formatCode="0.00">
                  <c:v>21.873233237879447</c:v>
                </c:pt>
                <c:pt idx="411" formatCode="0.00">
                  <c:v>16.058826023617669</c:v>
                </c:pt>
                <c:pt idx="412" formatCode="0.00">
                  <c:v>16.75061404111942</c:v>
                </c:pt>
                <c:pt idx="413" formatCode="0.00">
                  <c:v>14.223159550968859</c:v>
                </c:pt>
                <c:pt idx="414" formatCode="0.00">
                  <c:v>12.592292381580393</c:v>
                </c:pt>
                <c:pt idx="415" formatCode="0.00">
                  <c:v>9.7878800722301733</c:v>
                </c:pt>
                <c:pt idx="416" formatCode="0.00">
                  <c:v>9.761980865389468</c:v>
                </c:pt>
                <c:pt idx="417" formatCode="0.00">
                  <c:v>19.622763575721336</c:v>
                </c:pt>
                <c:pt idx="418" formatCode="0.00">
                  <c:v>13.814628313205368</c:v>
                </c:pt>
                <c:pt idx="419" formatCode="0.00">
                  <c:v>14.512539309003508</c:v>
                </c:pt>
                <c:pt idx="420" formatCode="0.00">
                  <c:v>11.991062939894285</c:v>
                </c:pt>
                <c:pt idx="421" formatCode="0.00">
                  <c:v>10.397053972219801</c:v>
                </c:pt>
                <c:pt idx="422" formatCode="0.00">
                  <c:v>7.5977436011081636</c:v>
                </c:pt>
                <c:pt idx="423" formatCode="0.00">
                  <c:v>7.5768289537686542</c:v>
                </c:pt>
                <c:pt idx="424" formatCode="0.00">
                  <c:v>17.442481819014844</c:v>
                </c:pt>
                <c:pt idx="425" formatCode="0.00">
                  <c:v>11.639105179852955</c:v>
                </c:pt>
                <c:pt idx="426" formatCode="0.00">
                  <c:v>12.341666043702332</c:v>
                </c:pt>
                <c:pt idx="427" formatCode="0.00">
                  <c:v>9.8247334709574901</c:v>
                </c:pt>
                <c:pt idx="428" formatCode="0.00">
                  <c:v>8.2615618009675345</c:v>
                </c:pt>
                <c:pt idx="429" formatCode="0.00">
                  <c:v>5.4661247718831447</c:v>
                </c:pt>
                <c:pt idx="430" formatCode="0.00">
                  <c:v>5.448996177348242</c:v>
                </c:pt>
                <c:pt idx="431" formatCode="0.00">
                  <c:v>15.318349796922668</c:v>
                </c:pt>
                <c:pt idx="432" formatCode="0.00">
                  <c:v>9.5185905438160816</c:v>
                </c:pt>
                <c:pt idx="433" formatCode="0.00">
                  <c:v>10.224687297439644</c:v>
                </c:pt>
                <c:pt idx="434" formatCode="0.00">
                  <c:v>7.7112109341906105</c:v>
                </c:pt>
                <c:pt idx="435" formatCode="0.00">
                  <c:v>6.1742332676997407</c:v>
                </c:pt>
                <c:pt idx="436" formatCode="0.00">
                  <c:v>3.3817260343726829</c:v>
                </c:pt>
                <c:pt idx="437" formatCode="0.00">
                  <c:v>3.3674608694166821</c:v>
                </c:pt>
                <c:pt idx="438" formatCode="0.00">
                  <c:v>13.239612927959335</c:v>
                </c:pt>
                <c:pt idx="439" formatCode="0.00">
                  <c:v>7.4425884610404296</c:v>
                </c:pt>
                <c:pt idx="440" formatCode="0.00">
                  <c:v>8.1513576494733826</c:v>
                </c:pt>
                <c:pt idx="441" formatCode="0.00">
                  <c:v>5.640492635884641</c:v>
                </c:pt>
                <c:pt idx="442" formatCode="0.00">
                  <c:v>4.1260431788882954</c:v>
                </c:pt>
                <c:pt idx="443" formatCode="0.00">
                  <c:v>1.3357251290097025</c:v>
                </c:pt>
                <c:pt idx="444" formatCode="0.00">
                  <c:v>1.3235977869410149</c:v>
                </c:pt>
                <c:pt idx="445" formatCode="0.00">
                  <c:v>11.197837283140366</c:v>
                </c:pt>
                <c:pt idx="446" formatCode="0.00">
                  <c:v>5.4028508196749101</c:v>
                </c:pt>
                <c:pt idx="447" formatCode="0.00">
                  <c:v>6.113609504847382</c:v>
                </c:pt>
                <c:pt idx="448" formatCode="0.00">
                  <c:v>3.6046863859715259</c:v>
                </c:pt>
                <c:pt idx="449" formatCode="0.00">
                  <c:v>2.1098142628827361</c:v>
                </c:pt>
                <c:pt idx="450" formatCode="0.00">
                  <c:v>-0.67890650983567014</c:v>
                </c:pt>
                <c:pt idx="451" formatCode="0.00">
                  <c:v>-0.68947689365941756</c:v>
                </c:pt>
                <c:pt idx="452" formatCode="0.00">
                  <c:v>9.1862799481782531</c:v>
                </c:pt>
                <c:pt idx="453" formatCode="0.00">
                  <c:v>3.3927719079789682</c:v>
                </c:pt>
                <c:pt idx="454" formatCode="0.00">
                  <c:v>4.1049707686670445</c:v>
                </c:pt>
                <c:pt idx="455" formatCode="0.00">
                  <c:v>1.5974502370102144</c:v>
                </c:pt>
                <c:pt idx="456" formatCode="0.00">
                  <c:v>0.11974082460254465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6-464F-90AC-C0F329455249}"/>
            </c:ext>
          </c:extLst>
        </c:ser>
        <c:ser>
          <c:idx val="3"/>
          <c:order val="3"/>
          <c:tx>
            <c:strRef>
              <c:f>Linear_Forecast_Sheet!$E$1</c:f>
              <c:strCache>
                <c:ptCount val="1"/>
                <c:pt idx="0">
                  <c:v>Upper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Linear_Forecast_Sheet!$A$2:$A$458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Linear_Forecast_Sheet!$E$2:$E$458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61.742307572031876</c:v>
                </c:pt>
                <c:pt idx="366" formatCode="0.00">
                  <c:v>59.663080336552198</c:v>
                </c:pt>
                <c:pt idx="367" formatCode="0.00">
                  <c:v>60.352187543383543</c:v>
                </c:pt>
                <c:pt idx="368" formatCode="0.00">
                  <c:v>70.918661835731228</c:v>
                </c:pt>
                <c:pt idx="369" formatCode="0.00">
                  <c:v>65.807659287994213</c:v>
                </c:pt>
                <c:pt idx="370" formatCode="0.00">
                  <c:v>67.194810166304435</c:v>
                </c:pt>
                <c:pt idx="371" formatCode="0.00">
                  <c:v>65.355271230527634</c:v>
                </c:pt>
                <c:pt idx="372" formatCode="0.00">
                  <c:v>66.166808457810021</c:v>
                </c:pt>
                <c:pt idx="373" formatCode="0.00">
                  <c:v>64.008589659713536</c:v>
                </c:pt>
                <c:pt idx="374" formatCode="0.00">
                  <c:v>64.624207661005769</c:v>
                </c:pt>
                <c:pt idx="375" formatCode="0.00">
                  <c:v>75.122105630395339</c:v>
                </c:pt>
                <c:pt idx="376" formatCode="0.00">
                  <c:v>69.946935650356167</c:v>
                </c:pt>
                <c:pt idx="377" formatCode="0.00">
                  <c:v>71.273894020445738</c:v>
                </c:pt>
                <c:pt idx="378" formatCode="0.00">
                  <c:v>69.377761417025525</c:v>
                </c:pt>
                <c:pt idx="379" formatCode="0.00">
                  <c:v>69.966790320041824</c:v>
                </c:pt>
                <c:pt idx="380" formatCode="0.00">
                  <c:v>67.766998535015148</c:v>
                </c:pt>
                <c:pt idx="381" formatCode="0.00">
                  <c:v>68.34307886542706</c:v>
                </c:pt>
                <c:pt idx="382" formatCode="0.00">
                  <c:v>78.803325217021168</c:v>
                </c:pt>
                <c:pt idx="383" formatCode="0.00">
                  <c:v>73.592255289738858</c:v>
                </c:pt>
                <c:pt idx="384" formatCode="0.00">
                  <c:v>74.884944018927598</c:v>
                </c:pt>
                <c:pt idx="385" formatCode="0.00">
                  <c:v>72.9560621513846</c:v>
                </c:pt>
                <c:pt idx="386" formatCode="0.00">
                  <c:v>73.405638265176123</c:v>
                </c:pt>
                <c:pt idx="387" formatCode="0.00">
                  <c:v>71.180123780728891</c:v>
                </c:pt>
                <c:pt idx="388" formatCode="0.00">
                  <c:v>71.731473220850447</c:v>
                </c:pt>
                <c:pt idx="389" formatCode="0.00">
                  <c:v>82.167925083235232</c:v>
                </c:pt>
                <c:pt idx="390" formatCode="0.00">
                  <c:v>76.933945873175773</c:v>
                </c:pt>
                <c:pt idx="391" formatCode="0.00">
                  <c:v>78.204563141148142</c:v>
                </c:pt>
                <c:pt idx="392" formatCode="0.00">
                  <c:v>76.25440370161769</c:v>
                </c:pt>
                <c:pt idx="393" formatCode="0.00">
                  <c:v>76.606869045498883</c:v>
                </c:pt>
                <c:pt idx="394" formatCode="0.00">
                  <c:v>74.364015509486975</c:v>
                </c:pt>
                <c:pt idx="395" formatCode="0.00">
                  <c:v>74.898587638702168</c:v>
                </c:pt>
                <c:pt idx="396" formatCode="0.00">
                  <c:v>85.318798591897504</c:v>
                </c:pt>
                <c:pt idx="397" formatCode="0.00">
                  <c:v>80.069091090585587</c:v>
                </c:pt>
                <c:pt idx="398" formatCode="0.00">
                  <c:v>81.32447033611335</c:v>
                </c:pt>
                <c:pt idx="399" formatCode="0.00">
                  <c:v>79.359542119189001</c:v>
                </c:pt>
                <c:pt idx="400" formatCode="0.00">
                  <c:v>79.63985735991939</c:v>
                </c:pt>
                <c:pt idx="401" formatCode="0.00">
                  <c:v>77.384699722529803</c:v>
                </c:pt>
                <c:pt idx="402" formatCode="0.00">
                  <c:v>77.907317654495827</c:v>
                </c:pt>
                <c:pt idx="403" formatCode="0.00">
                  <c:v>88.315911089226233</c:v>
                </c:pt>
                <c:pt idx="404" formatCode="0.00">
                  <c:v>83.054910201843086</c:v>
                </c:pt>
                <c:pt idx="405" formatCode="0.00">
                  <c:v>84.299308282182409</c:v>
                </c:pt>
                <c:pt idx="406" formatCode="0.00">
                  <c:v>82.323699803694581</c:v>
                </c:pt>
                <c:pt idx="407" formatCode="0.00">
                  <c:v>82.548000460191304</c:v>
                </c:pt>
                <c:pt idx="408" formatCode="0.00">
                  <c:v>80.283824212238386</c:v>
                </c:pt>
                <c:pt idx="409" formatCode="0.00">
                  <c:v>80.797656240367473</c:v>
                </c:pt>
                <c:pt idx="410" formatCode="0.00">
                  <c:v>91.197688914996817</c:v>
                </c:pt>
                <c:pt idx="411" formatCode="0.00">
                  <c:v>85.928345181135569</c:v>
                </c:pt>
                <c:pt idx="412" formatCode="0.00">
                  <c:v>87.164611412840543</c:v>
                </c:pt>
                <c:pt idx="413" formatCode="0.00">
                  <c:v>85.181075464819145</c:v>
                </c:pt>
                <c:pt idx="414" formatCode="0.00">
                  <c:v>85.360482416472479</c:v>
                </c:pt>
                <c:pt idx="415" formatCode="0.00">
                  <c:v>83.089560949373322</c:v>
                </c:pt>
                <c:pt idx="416" formatCode="0.00">
                  <c:v>83.596810078658848</c:v>
                </c:pt>
                <c:pt idx="417" formatCode="0.00">
                  <c:v>93.990417551028457</c:v>
                </c:pt>
                <c:pt idx="418" formatCode="0.00">
                  <c:v>88.714801865421407</c:v>
                </c:pt>
                <c:pt idx="419" formatCode="0.00">
                  <c:v>89.944945118829992</c:v>
                </c:pt>
                <c:pt idx="420" formatCode="0.00">
                  <c:v>87.95543104976727</c:v>
                </c:pt>
                <c:pt idx="421" formatCode="0.00">
                  <c:v>88.097979799706593</c:v>
                </c:pt>
                <c:pt idx="422" formatCode="0.00">
                  <c:v>85.821956394368868</c:v>
                </c:pt>
                <c:pt idx="423" formatCode="0.00">
                  <c:v>86.324220964153199</c:v>
                </c:pt>
                <c:pt idx="424" formatCode="0.00">
                  <c:v>96.712958281608493</c:v>
                </c:pt>
                <c:pt idx="425" formatCode="0.00">
                  <c:v>91.432583972647336</c:v>
                </c:pt>
                <c:pt idx="426" formatCode="0.00">
                  <c:v>92.658077358004704</c:v>
                </c:pt>
                <c:pt idx="427" formatCode="0.00">
                  <c:v>90.66401949257758</c:v>
                </c:pt>
                <c:pt idx="428" formatCode="0.00">
                  <c:v>90.775730944832418</c:v>
                </c:pt>
                <c:pt idx="429" formatCode="0.00">
                  <c:v>88.495834197467417</c:v>
                </c:pt>
                <c:pt idx="430" formatCode="0.00">
                  <c:v>88.994312714447148</c:v>
                </c:pt>
                <c:pt idx="431" formatCode="0.00">
                  <c:v>99.379349277574192</c:v>
                </c:pt>
                <c:pt idx="432" formatCode="0.00">
                  <c:v>94.095357582557767</c:v>
                </c:pt>
                <c:pt idx="433" formatCode="0.00">
                  <c:v>95.317315078140936</c:v>
                </c:pt>
                <c:pt idx="434" formatCode="0.00">
                  <c:v>93.319801003218004</c:v>
                </c:pt>
                <c:pt idx="435" formatCode="0.00">
                  <c:v>93.405318451973727</c:v>
                </c:pt>
                <c:pt idx="436" formatCode="0.00">
                  <c:v>91.12249190885143</c:v>
                </c:pt>
                <c:pt idx="437" formatCode="0.00">
                  <c:v>91.618106996252237</c:v>
                </c:pt>
                <c:pt idx="438" formatCode="0.00">
                  <c:v>102.00034512041108</c:v>
                </c:pt>
                <c:pt idx="439" formatCode="0.00">
                  <c:v>96.713618639206942</c:v>
                </c:pt>
                <c:pt idx="440" formatCode="0.00">
                  <c:v>97.932903699980727</c:v>
                </c:pt>
                <c:pt idx="441" formatCode="0.00">
                  <c:v>95.93277827539751</c:v>
                </c:pt>
                <c:pt idx="442" formatCode="0.00">
                  <c:v>95.995767514658723</c:v>
                </c:pt>
                <c:pt idx="443" formatCode="0.00">
                  <c:v>93.710751788087933</c:v>
                </c:pt>
                <c:pt idx="444" formatCode="0.00">
                  <c:v>94.204229052601448</c:v>
                </c:pt>
                <c:pt idx="445" formatCode="0.00">
                  <c:v>104.58437973910358</c:v>
                </c:pt>
                <c:pt idx="446" formatCode="0.00">
                  <c:v>99.295615254446005</c:v>
                </c:pt>
                <c:pt idx="447" formatCode="0.00">
                  <c:v>100.51291081848026</c:v>
                </c:pt>
                <c:pt idx="448" formatCode="0.00">
                  <c:v>98.510843499184148</c:v>
                </c:pt>
                <c:pt idx="449" formatCode="0.00">
                  <c:v>98.554255404537813</c:v>
                </c:pt>
                <c:pt idx="450" formatCode="0.00">
                  <c:v>96.267642400806849</c:v>
                </c:pt>
                <c:pt idx="451" formatCode="0.00">
                  <c:v>96.759562707075418</c:v>
                </c:pt>
                <c:pt idx="452" formatCode="0.00">
                  <c:v>107.13819604793922</c:v>
                </c:pt>
                <c:pt idx="453" formatCode="0.00">
                  <c:v>101.84795314001548</c:v>
                </c:pt>
                <c:pt idx="454" formatCode="0.00">
                  <c:v>103.06380852853414</c:v>
                </c:pt>
                <c:pt idx="455" formatCode="0.00">
                  <c:v>101.060338622019</c:v>
                </c:pt>
                <c:pt idx="456" formatCode="0.00">
                  <c:v>101.08658781669155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6-464F-90AC-C0F32945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636367"/>
        <c:axId val="924637327"/>
      </c:lineChart>
      <c:catAx>
        <c:axId val="9246363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7327"/>
        <c:crosses val="autoZero"/>
        <c:auto val="1"/>
        <c:lblAlgn val="ctr"/>
        <c:lblOffset val="100"/>
        <c:noMultiLvlLbl val="0"/>
      </c:catAx>
      <c:valAx>
        <c:axId val="9246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2</xdr:row>
      <xdr:rowOff>0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1424940</xdr:colOff>
      <xdr:row>31</xdr:row>
      <xdr:rowOff>83820</xdr:rowOff>
    </xdr:from>
    <xdr:to>
      <xdr:col>12</xdr:col>
      <xdr:colOff>525780</xdr:colOff>
      <xdr:row>43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847450-161A-EEA8-C6AC-FB1819B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2</xdr:row>
      <xdr:rowOff>0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4D8F618D-9F66-46A3-BB3C-A087EE529E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51305" y="396240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1234440</xdr:colOff>
      <xdr:row>24</xdr:row>
      <xdr:rowOff>30480</xdr:rowOff>
    </xdr:from>
    <xdr:to>
      <xdr:col>12</xdr:col>
      <xdr:colOff>335280</xdr:colOff>
      <xdr:row>34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FE26B-831B-EF71-FBAD-659F788B5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2</xdr:row>
      <xdr:rowOff>0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AAFBD9EA-4A89-49E2-9EAE-2D922FD1DD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51305" y="396240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281940</xdr:colOff>
      <xdr:row>17</xdr:row>
      <xdr:rowOff>53340</xdr:rowOff>
    </xdr:from>
    <xdr:to>
      <xdr:col>11</xdr:col>
      <xdr:colOff>220980</xdr:colOff>
      <xdr:row>27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21E67-4C38-7D24-ABFB-9BB3FCA99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2</xdr:row>
      <xdr:rowOff>0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70B00BD4-F397-42F8-B9CF-7DBAB3511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51305" y="396240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1394460</xdr:colOff>
      <xdr:row>13</xdr:row>
      <xdr:rowOff>0</xdr:rowOff>
    </xdr:from>
    <xdr:to>
      <xdr:col>12</xdr:col>
      <xdr:colOff>495300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13E76-1137-66B3-ECDA-4B930D2DC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695325</xdr:colOff>
      <xdr:row>2</xdr:row>
      <xdr:rowOff>0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C49726BB-DAE1-4663-A31D-D3CC45EF6A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51305" y="396240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7620</xdr:colOff>
      <xdr:row>19</xdr:row>
      <xdr:rowOff>152400</xdr:rowOff>
    </xdr:from>
    <xdr:to>
      <xdr:col>12</xdr:col>
      <xdr:colOff>640080</xdr:colOff>
      <xdr:row>29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89988B-C2AD-91B6-0FC0-1609E9959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316230</xdr:colOff>
      <xdr:row>23</xdr:row>
      <xdr:rowOff>60960</xdr:rowOff>
    </xdr:from>
    <xdr:to>
      <xdr:col>12</xdr:col>
      <xdr:colOff>632460</xdr:colOff>
      <xdr:row>44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EA414-2AC2-77B0-DED1-B6C764280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369570</xdr:colOff>
      <xdr:row>12</xdr:row>
      <xdr:rowOff>38100</xdr:rowOff>
    </xdr:from>
    <xdr:to>
      <xdr:col>15</xdr:col>
      <xdr:colOff>41910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122AA-8E87-9D04-4EF6-E76DFDB50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1626870</xdr:colOff>
      <xdr:row>6</xdr:row>
      <xdr:rowOff>167640</xdr:rowOff>
    </xdr:from>
    <xdr:to>
      <xdr:col>11</xdr:col>
      <xdr:colOff>142875</xdr:colOff>
      <xdr:row>25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1479-7B1D-B826-E26B-02C32032C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943C3-01FA-4231-8DEA-143426E0E226}" name="Table1" displayName="Table1" ref="A1:E458" totalsRowShown="0">
  <autoFilter ref="A1:E458" xr:uid="{C25943C3-01FA-4231-8DEA-143426E0E226}"/>
  <tableColumns count="5">
    <tableColumn id="1" xr3:uid="{D748D0C1-F953-4B32-A990-6EF7BED9E8A3}" name="Date" dataDxfId="2"/>
    <tableColumn id="2" xr3:uid="{F6AB8BB6-777D-4BD5-A4C8-AF771C262D29}" name="Daily sales"/>
    <tableColumn id="3" xr3:uid="{228F56DD-9C1C-4A49-BAA1-F62EF4BDED48}" name="Forecast(Daily sales)">
      <calculatedColumnFormula>_xlfn.FORECAST.ETS(A2,$B$2:$B$366,$A$2:$A$366,1,1)</calculatedColumnFormula>
    </tableColumn>
    <tableColumn id="4" xr3:uid="{EB9E2E14-66C6-4EC9-AAE8-0ABA85E4BF7C}" name="Lower Confidence Bound(Daily sales)" dataDxfId="1">
      <calculatedColumnFormula>C2-_xlfn.FORECAST.ETS.CONFINT(A2,$B$2:$B$366,$A$2:$A$366,0.95,1,1)</calculatedColumnFormula>
    </tableColumn>
    <tableColumn id="5" xr3:uid="{42189B3C-E31D-4474-8F25-093C61E34468}" name="Upper Confidence Bound(Daily sales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15BD-A4B8-4CFE-9164-AFE98D1DCBEE}">
  <dimension ref="C1:R26"/>
  <sheetViews>
    <sheetView showGridLines="0" tabSelected="1" workbookViewId="0">
      <selection activeCell="Q15" sqref="Q15"/>
    </sheetView>
  </sheetViews>
  <sheetFormatPr defaultRowHeight="15.6"/>
  <cols>
    <col min="4" max="4" width="17.09765625" customWidth="1"/>
    <col min="6" max="6" width="9.796875" customWidth="1"/>
    <col min="7" max="7" width="5.5" bestFit="1" customWidth="1"/>
    <col min="8" max="8" width="8.8984375" customWidth="1"/>
    <col min="9" max="9" width="8.3984375" customWidth="1"/>
    <col min="11" max="11" width="21.5" bestFit="1" customWidth="1"/>
    <col min="13" max="13" width="8.19921875" customWidth="1"/>
    <col min="14" max="14" width="6.59765625" customWidth="1"/>
  </cols>
  <sheetData>
    <row r="1" spans="3:18" ht="28.8">
      <c r="C1" s="38"/>
      <c r="D1" s="50" t="s">
        <v>67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51"/>
      <c r="P1" s="43"/>
      <c r="Q1" s="28"/>
      <c r="R1" s="28"/>
    </row>
    <row r="2" spans="3:18">
      <c r="C2" s="38"/>
      <c r="D2" s="37"/>
      <c r="E2" s="38"/>
      <c r="F2" s="38"/>
      <c r="G2" s="38"/>
      <c r="H2" s="38"/>
      <c r="I2" s="38"/>
      <c r="J2" s="38"/>
      <c r="K2" s="38"/>
      <c r="L2" s="38"/>
      <c r="M2" s="38"/>
      <c r="N2" s="38"/>
      <c r="O2" s="35"/>
      <c r="P2" s="38"/>
    </row>
    <row r="3" spans="3:18">
      <c r="C3" s="38"/>
      <c r="D3" s="52" t="s">
        <v>63</v>
      </c>
      <c r="E3" s="30"/>
      <c r="F3" s="30"/>
      <c r="G3" s="30"/>
      <c r="H3" s="30"/>
      <c r="I3" s="38"/>
      <c r="J3" s="38"/>
      <c r="K3" s="38"/>
      <c r="L3" s="38"/>
      <c r="M3" s="38"/>
      <c r="N3" s="38"/>
      <c r="O3" s="35"/>
      <c r="P3" s="38"/>
    </row>
    <row r="4" spans="3:18">
      <c r="C4" s="38"/>
      <c r="D4" s="53" t="s">
        <v>68</v>
      </c>
      <c r="E4" s="30"/>
      <c r="F4" s="30"/>
      <c r="G4" s="30"/>
      <c r="H4" s="30"/>
      <c r="I4" s="38"/>
      <c r="J4" s="38"/>
      <c r="K4" s="38"/>
      <c r="L4" s="38"/>
      <c r="M4" s="38"/>
      <c r="N4" s="38"/>
      <c r="O4" s="35"/>
      <c r="P4" s="38"/>
    </row>
    <row r="5" spans="3:18">
      <c r="C5" s="38"/>
      <c r="D5" s="54" t="s">
        <v>69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5"/>
      <c r="P5" s="38"/>
    </row>
    <row r="6" spans="3:18">
      <c r="C6" s="38"/>
      <c r="D6" s="37"/>
      <c r="E6" s="38"/>
      <c r="F6" s="38"/>
      <c r="G6" s="30"/>
      <c r="H6" s="30"/>
      <c r="I6" s="38"/>
      <c r="J6" s="38"/>
      <c r="K6" s="39" t="s">
        <v>49</v>
      </c>
      <c r="L6" s="30"/>
      <c r="M6" s="30"/>
      <c r="N6" s="30"/>
      <c r="O6" s="31"/>
      <c r="P6" s="38"/>
    </row>
    <row r="7" spans="3:18">
      <c r="C7" s="38"/>
      <c r="D7" s="52" t="s">
        <v>64</v>
      </c>
      <c r="E7" s="44"/>
      <c r="F7" s="44"/>
      <c r="G7" s="30"/>
      <c r="H7" s="30"/>
      <c r="I7" s="38"/>
      <c r="J7" s="38"/>
      <c r="K7" s="38"/>
      <c r="L7" s="38"/>
      <c r="M7" s="38"/>
      <c r="N7" s="38"/>
      <c r="O7" s="35"/>
      <c r="P7" s="38"/>
    </row>
    <row r="8" spans="3:18">
      <c r="C8" s="38"/>
      <c r="D8" s="29" t="s">
        <v>43</v>
      </c>
      <c r="E8" s="30"/>
      <c r="F8" s="30"/>
      <c r="G8" s="30"/>
      <c r="H8" s="30"/>
      <c r="I8" s="38"/>
      <c r="J8" s="38"/>
      <c r="K8" s="45" t="s">
        <v>50</v>
      </c>
      <c r="L8" s="45" t="s">
        <v>7</v>
      </c>
      <c r="M8" s="45" t="s">
        <v>8</v>
      </c>
      <c r="N8" s="45" t="s">
        <v>9</v>
      </c>
      <c r="O8" s="55" t="s">
        <v>10</v>
      </c>
      <c r="P8" s="38"/>
    </row>
    <row r="9" spans="3:18">
      <c r="C9" s="38"/>
      <c r="D9" s="29" t="s">
        <v>44</v>
      </c>
      <c r="E9" s="30"/>
      <c r="F9" s="30"/>
      <c r="G9" s="30"/>
      <c r="H9" s="30"/>
      <c r="I9" s="38"/>
      <c r="J9" s="38"/>
      <c r="K9" s="30" t="s">
        <v>51</v>
      </c>
      <c r="L9" s="30">
        <v>7.27</v>
      </c>
      <c r="M9" s="30">
        <v>84.22</v>
      </c>
      <c r="N9" s="46">
        <v>0.18</v>
      </c>
      <c r="O9" s="56">
        <v>0.82</v>
      </c>
      <c r="P9" s="38"/>
    </row>
    <row r="10" spans="3:18">
      <c r="C10" s="38"/>
      <c r="D10" s="29" t="s">
        <v>45</v>
      </c>
      <c r="E10" s="30"/>
      <c r="F10" s="30"/>
      <c r="G10" s="30"/>
      <c r="H10" s="30"/>
      <c r="I10" s="38"/>
      <c r="J10" s="38"/>
      <c r="K10" s="30" t="s">
        <v>52</v>
      </c>
      <c r="L10" s="30">
        <v>6.28</v>
      </c>
      <c r="M10" s="30">
        <v>61.38</v>
      </c>
      <c r="N10" s="47">
        <v>0.1532</v>
      </c>
      <c r="O10" s="57">
        <v>0.8468</v>
      </c>
      <c r="P10" s="38"/>
    </row>
    <row r="11" spans="3:18">
      <c r="C11" s="38"/>
      <c r="D11" s="29" t="s">
        <v>46</v>
      </c>
      <c r="E11" s="30"/>
      <c r="F11" s="30"/>
      <c r="G11" s="30"/>
      <c r="H11" s="30"/>
      <c r="I11" s="38"/>
      <c r="J11" s="38"/>
      <c r="K11" s="30" t="s">
        <v>53</v>
      </c>
      <c r="L11" s="30">
        <v>5.83</v>
      </c>
      <c r="M11" s="30">
        <v>53.02</v>
      </c>
      <c r="N11" s="47">
        <v>0.1421</v>
      </c>
      <c r="O11" s="57">
        <v>0.8579</v>
      </c>
      <c r="P11" s="38"/>
    </row>
    <row r="12" spans="3:18">
      <c r="C12" s="38"/>
      <c r="D12" s="29" t="s">
        <v>47</v>
      </c>
      <c r="E12" s="30"/>
      <c r="F12" s="30"/>
      <c r="G12" s="30"/>
      <c r="H12" s="30"/>
      <c r="I12" s="38"/>
      <c r="J12" s="38"/>
      <c r="K12" s="30" t="s">
        <v>54</v>
      </c>
      <c r="L12" s="30">
        <v>5.75</v>
      </c>
      <c r="M12" s="30">
        <v>51.69</v>
      </c>
      <c r="N12" s="46">
        <v>0.14000000000000001</v>
      </c>
      <c r="O12" s="56">
        <v>0.86</v>
      </c>
      <c r="P12" s="38"/>
    </row>
    <row r="13" spans="3:18">
      <c r="C13" s="38"/>
      <c r="D13" s="29" t="s">
        <v>48</v>
      </c>
      <c r="E13" s="30"/>
      <c r="F13" s="30"/>
      <c r="G13" s="38"/>
      <c r="H13" s="38"/>
      <c r="I13" s="38"/>
      <c r="J13" s="38"/>
      <c r="K13" s="42" t="s">
        <v>65</v>
      </c>
      <c r="L13" s="30">
        <v>6.31</v>
      </c>
      <c r="M13" s="30">
        <v>65.91</v>
      </c>
      <c r="N13" s="46">
        <v>0.14000000000000001</v>
      </c>
      <c r="O13" s="56">
        <v>0.86</v>
      </c>
      <c r="P13" s="38"/>
    </row>
    <row r="14" spans="3:18">
      <c r="C14" s="38"/>
      <c r="D14" s="37"/>
      <c r="E14" s="38"/>
      <c r="F14" s="38"/>
      <c r="G14" s="38"/>
      <c r="H14" s="38"/>
      <c r="I14" s="38"/>
      <c r="J14" s="38"/>
      <c r="K14" s="48" t="s">
        <v>66</v>
      </c>
      <c r="L14" s="48">
        <v>5.63</v>
      </c>
      <c r="M14" s="48">
        <v>50.41</v>
      </c>
      <c r="N14" s="49">
        <v>0.14000000000000001</v>
      </c>
      <c r="O14" s="58">
        <v>0.86</v>
      </c>
      <c r="P14" s="38"/>
    </row>
    <row r="15" spans="3:18">
      <c r="C15" s="38"/>
      <c r="D15" s="37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5"/>
      <c r="P15" s="38"/>
    </row>
    <row r="16" spans="3:18">
      <c r="C16" s="38"/>
      <c r="D16" s="52" t="s">
        <v>62</v>
      </c>
      <c r="E16" s="30"/>
      <c r="F16" s="30"/>
      <c r="G16" s="30"/>
      <c r="H16" s="30"/>
      <c r="I16" s="38"/>
      <c r="J16" s="38"/>
      <c r="K16" s="38"/>
      <c r="L16" s="38"/>
      <c r="M16" s="38"/>
      <c r="N16" s="38"/>
      <c r="O16" s="35"/>
      <c r="P16" s="38"/>
    </row>
    <row r="17" spans="3:17">
      <c r="C17" s="38"/>
      <c r="D17" s="29" t="s">
        <v>55</v>
      </c>
      <c r="E17" s="30"/>
      <c r="F17" s="30"/>
      <c r="G17" s="30"/>
      <c r="H17" s="30"/>
      <c r="I17" s="38"/>
      <c r="J17" s="38"/>
      <c r="K17" s="38"/>
      <c r="L17" s="38"/>
      <c r="M17" s="38"/>
      <c r="N17" s="38"/>
      <c r="O17" s="35"/>
      <c r="P17" s="38"/>
    </row>
    <row r="18" spans="3:17">
      <c r="C18" s="38"/>
      <c r="D18" s="29" t="s">
        <v>56</v>
      </c>
      <c r="E18" s="30"/>
      <c r="F18" s="30"/>
      <c r="G18" s="30"/>
      <c r="H18" s="30"/>
      <c r="I18" s="38"/>
      <c r="J18" s="38"/>
      <c r="K18" s="38"/>
      <c r="L18" s="38"/>
      <c r="M18" s="38"/>
      <c r="N18" s="38"/>
      <c r="O18" s="35"/>
      <c r="P18" s="38"/>
    </row>
    <row r="19" spans="3:17">
      <c r="C19" s="38"/>
      <c r="D19" s="29" t="s">
        <v>57</v>
      </c>
      <c r="E19" s="30"/>
      <c r="F19" s="30"/>
      <c r="G19" s="30"/>
      <c r="H19" s="30"/>
      <c r="I19" s="38"/>
      <c r="J19" s="38"/>
      <c r="K19" s="38"/>
      <c r="L19" s="38"/>
      <c r="M19" s="38"/>
      <c r="N19" s="38"/>
      <c r="O19" s="35"/>
      <c r="P19" s="38"/>
    </row>
    <row r="20" spans="3:17">
      <c r="C20" s="38"/>
      <c r="D20" s="29" t="s">
        <v>58</v>
      </c>
      <c r="E20" s="30"/>
      <c r="F20" s="30"/>
      <c r="G20" s="30"/>
      <c r="H20" s="30"/>
      <c r="I20" s="38"/>
      <c r="J20" s="38"/>
      <c r="K20" s="38"/>
      <c r="L20" s="38"/>
      <c r="M20" s="38"/>
      <c r="N20" s="38"/>
      <c r="O20" s="35"/>
      <c r="P20" s="38"/>
    </row>
    <row r="21" spans="3:17">
      <c r="C21" s="38"/>
      <c r="D21" s="37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5"/>
      <c r="P21" s="38"/>
    </row>
    <row r="22" spans="3:17">
      <c r="C22" s="38"/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5"/>
      <c r="P22" s="38"/>
    </row>
    <row r="23" spans="3:17">
      <c r="C23" s="38"/>
      <c r="D23" s="59" t="s">
        <v>61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5"/>
      <c r="P23" s="38"/>
    </row>
    <row r="24" spans="3:17">
      <c r="C24" s="38"/>
      <c r="D24" s="29" t="s">
        <v>59</v>
      </c>
      <c r="E24" s="30"/>
      <c r="F24" s="30"/>
      <c r="G24" s="30"/>
      <c r="H24" s="30"/>
      <c r="I24" s="38"/>
      <c r="J24" s="38"/>
      <c r="K24" s="38"/>
      <c r="L24" s="38"/>
      <c r="M24" s="38"/>
      <c r="N24" s="38"/>
      <c r="O24" s="35"/>
      <c r="P24" s="40"/>
      <c r="Q24" s="26"/>
    </row>
    <row r="25" spans="3:17">
      <c r="C25" s="38"/>
      <c r="D25" s="60" t="s">
        <v>60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38"/>
    </row>
    <row r="26" spans="3:17">
      <c r="D26" s="32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</row>
  </sheetData>
  <mergeCells count="1"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K10" sqref="K10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14.09765625" customWidth="1"/>
    <col min="4" max="4" width="11" customWidth="1"/>
    <col min="5" max="5" width="12.8984375" customWidth="1"/>
    <col min="6" max="6" width="20.09765625" customWidth="1"/>
    <col min="7" max="7" width="22.8984375" customWidth="1"/>
    <col min="8" max="10" width="11" customWidth="1"/>
    <col min="11" max="11" width="19.296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G2" s="5"/>
    </row>
    <row r="3" spans="1:11" ht="15.75" customHeight="1">
      <c r="A3" s="3">
        <v>21552</v>
      </c>
      <c r="B3" s="4">
        <v>32</v>
      </c>
      <c r="C3">
        <f>B2</f>
        <v>35</v>
      </c>
      <c r="D3">
        <f>B3 - C3</f>
        <v>-3</v>
      </c>
      <c r="E3">
        <f>ABS(D3)</f>
        <v>3</v>
      </c>
      <c r="F3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>B3</f>
        <v>32</v>
      </c>
      <c r="D4">
        <f t="shared" ref="D4:D67" si="0">B4 - C4</f>
        <v>-2</v>
      </c>
      <c r="E4">
        <f t="shared" ref="E4:E67" si="1">ABS(D4)</f>
        <v>2</v>
      </c>
      <c r="F4">
        <f t="shared" ref="F4:F67" si="2">E4^2</f>
        <v>4</v>
      </c>
      <c r="G4" s="5">
        <f t="shared" ref="G4:G67" si="3">E4/B4</f>
        <v>6.6666666666666666E-2</v>
      </c>
    </row>
    <row r="5" spans="1:11" ht="15.75" customHeight="1">
      <c r="A5" s="3">
        <v>21554</v>
      </c>
      <c r="B5" s="4">
        <v>31</v>
      </c>
      <c r="C5">
        <f t="shared" ref="C5:C68" si="4">B4</f>
        <v>30</v>
      </c>
      <c r="D5">
        <f t="shared" si="0"/>
        <v>1</v>
      </c>
      <c r="E5">
        <f t="shared" si="1"/>
        <v>1</v>
      </c>
      <c r="F5">
        <f t="shared" si="2"/>
        <v>1</v>
      </c>
      <c r="G5" s="5">
        <f t="shared" si="3"/>
        <v>3.2258064516129031E-2</v>
      </c>
    </row>
    <row r="6" spans="1:11" ht="15.75" customHeight="1">
      <c r="A6" s="3">
        <v>21555</v>
      </c>
      <c r="B6" s="4">
        <v>44</v>
      </c>
      <c r="C6">
        <f t="shared" si="4"/>
        <v>31</v>
      </c>
      <c r="D6">
        <f t="shared" si="0"/>
        <v>13</v>
      </c>
      <c r="E6">
        <f t="shared" si="1"/>
        <v>13</v>
      </c>
      <c r="F6">
        <f t="shared" si="2"/>
        <v>169</v>
      </c>
      <c r="G6" s="5">
        <f t="shared" si="3"/>
        <v>0.29545454545454547</v>
      </c>
    </row>
    <row r="7" spans="1:11" ht="15.75" customHeight="1">
      <c r="A7" s="3">
        <v>21556</v>
      </c>
      <c r="B7" s="4">
        <v>29</v>
      </c>
      <c r="C7">
        <f t="shared" si="4"/>
        <v>44</v>
      </c>
      <c r="D7">
        <f t="shared" si="0"/>
        <v>-15</v>
      </c>
      <c r="E7">
        <f t="shared" si="1"/>
        <v>15</v>
      </c>
      <c r="F7">
        <f t="shared" si="2"/>
        <v>225</v>
      </c>
      <c r="G7" s="5">
        <f t="shared" si="3"/>
        <v>0.51724137931034486</v>
      </c>
    </row>
    <row r="8" spans="1:11" ht="15.75" customHeight="1">
      <c r="A8" s="3">
        <v>21557</v>
      </c>
      <c r="B8" s="4">
        <v>45</v>
      </c>
      <c r="C8">
        <f t="shared" si="4"/>
        <v>29</v>
      </c>
      <c r="D8">
        <f t="shared" si="0"/>
        <v>16</v>
      </c>
      <c r="E8">
        <f t="shared" si="1"/>
        <v>16</v>
      </c>
      <c r="F8">
        <f t="shared" si="2"/>
        <v>256</v>
      </c>
      <c r="G8" s="5">
        <f t="shared" si="3"/>
        <v>0.35555555555555557</v>
      </c>
      <c r="J8" s="6" t="s">
        <v>7</v>
      </c>
      <c r="K8" s="7">
        <f>AVERAGE(E3:E366)</f>
        <v>7.2719780219780219</v>
      </c>
    </row>
    <row r="9" spans="1:11" ht="15.75" customHeight="1">
      <c r="A9" s="3">
        <v>21558</v>
      </c>
      <c r="B9" s="4">
        <v>43</v>
      </c>
      <c r="C9">
        <f t="shared" si="4"/>
        <v>45</v>
      </c>
      <c r="D9">
        <f t="shared" si="0"/>
        <v>-2</v>
      </c>
      <c r="E9">
        <f t="shared" si="1"/>
        <v>2</v>
      </c>
      <c r="F9">
        <f t="shared" si="2"/>
        <v>4</v>
      </c>
      <c r="G9" s="5">
        <f t="shared" si="3"/>
        <v>4.6511627906976744E-2</v>
      </c>
      <c r="J9" s="2" t="s">
        <v>8</v>
      </c>
      <c r="K9" s="8">
        <f>AVERAGE(F3:F366)</f>
        <v>84.222527472527474</v>
      </c>
    </row>
    <row r="10" spans="1:11" ht="15.75" customHeight="1">
      <c r="A10" s="3">
        <v>21559</v>
      </c>
      <c r="B10" s="4">
        <v>38</v>
      </c>
      <c r="C10">
        <f t="shared" si="4"/>
        <v>43</v>
      </c>
      <c r="D10">
        <f t="shared" si="0"/>
        <v>-5</v>
      </c>
      <c r="E10">
        <f t="shared" si="1"/>
        <v>5</v>
      </c>
      <c r="F10">
        <f t="shared" si="2"/>
        <v>25</v>
      </c>
      <c r="G10" s="5">
        <f t="shared" si="3"/>
        <v>0.13157894736842105</v>
      </c>
      <c r="J10" s="2" t="s">
        <v>9</v>
      </c>
      <c r="K10" s="5">
        <f>AVERAGE(G3:G366)</f>
        <v>0.17526300048633245</v>
      </c>
    </row>
    <row r="11" spans="1:11" ht="15.75" customHeight="1">
      <c r="A11" s="3">
        <v>21560</v>
      </c>
      <c r="B11" s="4">
        <v>27</v>
      </c>
      <c r="C11">
        <f t="shared" si="4"/>
        <v>38</v>
      </c>
      <c r="D11">
        <f t="shared" si="0"/>
        <v>-11</v>
      </c>
      <c r="E11">
        <f t="shared" si="1"/>
        <v>11</v>
      </c>
      <c r="F11">
        <f t="shared" si="2"/>
        <v>121</v>
      </c>
      <c r="G11" s="5">
        <f t="shared" si="3"/>
        <v>0.40740740740740738</v>
      </c>
      <c r="J11" s="9" t="s">
        <v>10</v>
      </c>
      <c r="K11" s="10">
        <f>100% - K10</f>
        <v>0.82473699951366752</v>
      </c>
    </row>
    <row r="12" spans="1:11" ht="15.75" customHeight="1">
      <c r="A12" s="3">
        <v>21561</v>
      </c>
      <c r="B12" s="4">
        <v>38</v>
      </c>
      <c r="C12">
        <f t="shared" si="4"/>
        <v>27</v>
      </c>
      <c r="D12">
        <f t="shared" si="0"/>
        <v>11</v>
      </c>
      <c r="E12">
        <f t="shared" si="1"/>
        <v>11</v>
      </c>
      <c r="F12">
        <f t="shared" si="2"/>
        <v>121</v>
      </c>
      <c r="G12" s="5">
        <f t="shared" si="3"/>
        <v>0.28947368421052633</v>
      </c>
    </row>
    <row r="13" spans="1:11" ht="15.75" customHeight="1">
      <c r="A13" s="3">
        <v>21562</v>
      </c>
      <c r="B13" s="4">
        <v>33</v>
      </c>
      <c r="C13">
        <f t="shared" si="4"/>
        <v>38</v>
      </c>
      <c r="D13">
        <f t="shared" si="0"/>
        <v>-5</v>
      </c>
      <c r="E13">
        <f t="shared" si="1"/>
        <v>5</v>
      </c>
      <c r="F13">
        <f t="shared" si="2"/>
        <v>25</v>
      </c>
      <c r="G13" s="5">
        <f t="shared" si="3"/>
        <v>0.15151515151515152</v>
      </c>
    </row>
    <row r="14" spans="1:11" ht="15.75" customHeight="1">
      <c r="A14" s="3">
        <v>21563</v>
      </c>
      <c r="B14" s="4">
        <v>55</v>
      </c>
      <c r="C14">
        <f t="shared" si="4"/>
        <v>33</v>
      </c>
      <c r="D14">
        <f t="shared" si="0"/>
        <v>22</v>
      </c>
      <c r="E14">
        <f t="shared" si="1"/>
        <v>22</v>
      </c>
      <c r="F14">
        <f t="shared" si="2"/>
        <v>484</v>
      </c>
      <c r="G14" s="5">
        <f t="shared" si="3"/>
        <v>0.4</v>
      </c>
    </row>
    <row r="15" spans="1:11" ht="15.75" customHeight="1">
      <c r="A15" s="3">
        <v>21564</v>
      </c>
      <c r="B15" s="4">
        <v>47</v>
      </c>
      <c r="C15">
        <f t="shared" si="4"/>
        <v>55</v>
      </c>
      <c r="D15">
        <f t="shared" si="0"/>
        <v>-8</v>
      </c>
      <c r="E15">
        <f t="shared" si="1"/>
        <v>8</v>
      </c>
      <c r="F15">
        <f t="shared" si="2"/>
        <v>64</v>
      </c>
      <c r="G15" s="5">
        <f t="shared" si="3"/>
        <v>0.1702127659574468</v>
      </c>
    </row>
    <row r="16" spans="1:11" ht="15.75" customHeight="1">
      <c r="A16" s="3">
        <v>21565</v>
      </c>
      <c r="B16" s="4">
        <v>45</v>
      </c>
      <c r="C16">
        <f t="shared" si="4"/>
        <v>47</v>
      </c>
      <c r="D16">
        <f t="shared" si="0"/>
        <v>-2</v>
      </c>
      <c r="E16">
        <f t="shared" si="1"/>
        <v>2</v>
      </c>
      <c r="F16">
        <f t="shared" si="2"/>
        <v>4</v>
      </c>
      <c r="G16" s="5">
        <f t="shared" si="3"/>
        <v>4.4444444444444446E-2</v>
      </c>
    </row>
    <row r="17" spans="1:7" ht="15.75" customHeight="1">
      <c r="A17" s="3">
        <v>21566</v>
      </c>
      <c r="B17" s="4">
        <v>37</v>
      </c>
      <c r="C17">
        <f t="shared" si="4"/>
        <v>45</v>
      </c>
      <c r="D17">
        <f t="shared" si="0"/>
        <v>-8</v>
      </c>
      <c r="E17">
        <f t="shared" si="1"/>
        <v>8</v>
      </c>
      <c r="F17">
        <f t="shared" si="2"/>
        <v>64</v>
      </c>
      <c r="G17" s="5">
        <f t="shared" si="3"/>
        <v>0.21621621621621623</v>
      </c>
    </row>
    <row r="18" spans="1:7" ht="15.75" customHeight="1">
      <c r="A18" s="3">
        <v>21567</v>
      </c>
      <c r="B18" s="4">
        <v>50</v>
      </c>
      <c r="C18">
        <f t="shared" si="4"/>
        <v>37</v>
      </c>
      <c r="D18">
        <f t="shared" si="0"/>
        <v>13</v>
      </c>
      <c r="E18">
        <f t="shared" si="1"/>
        <v>13</v>
      </c>
      <c r="F18">
        <f t="shared" si="2"/>
        <v>169</v>
      </c>
      <c r="G18" s="5">
        <f t="shared" si="3"/>
        <v>0.26</v>
      </c>
    </row>
    <row r="19" spans="1:7" ht="15.75" customHeight="1">
      <c r="A19" s="3">
        <v>21568</v>
      </c>
      <c r="B19" s="4">
        <v>43</v>
      </c>
      <c r="C19">
        <f t="shared" si="4"/>
        <v>50</v>
      </c>
      <c r="D19">
        <f t="shared" si="0"/>
        <v>-7</v>
      </c>
      <c r="E19">
        <f t="shared" si="1"/>
        <v>7</v>
      </c>
      <c r="F19">
        <f t="shared" si="2"/>
        <v>49</v>
      </c>
      <c r="G19" s="5">
        <f t="shared" si="3"/>
        <v>0.16279069767441862</v>
      </c>
    </row>
    <row r="20" spans="1:7" ht="15.75" customHeight="1">
      <c r="A20" s="3">
        <v>21569</v>
      </c>
      <c r="B20" s="4">
        <v>41</v>
      </c>
      <c r="C20">
        <f t="shared" si="4"/>
        <v>43</v>
      </c>
      <c r="D20">
        <f t="shared" si="0"/>
        <v>-2</v>
      </c>
      <c r="E20">
        <f t="shared" si="1"/>
        <v>2</v>
      </c>
      <c r="F20">
        <f t="shared" si="2"/>
        <v>4</v>
      </c>
      <c r="G20" s="5">
        <f t="shared" si="3"/>
        <v>4.878048780487805E-2</v>
      </c>
    </row>
    <row r="21" spans="1:7" ht="15.75" customHeight="1">
      <c r="A21" s="3">
        <v>21570</v>
      </c>
      <c r="B21" s="4">
        <v>52</v>
      </c>
      <c r="C21">
        <f t="shared" si="4"/>
        <v>41</v>
      </c>
      <c r="D21">
        <f t="shared" si="0"/>
        <v>11</v>
      </c>
      <c r="E21">
        <f t="shared" si="1"/>
        <v>11</v>
      </c>
      <c r="F21">
        <f t="shared" si="2"/>
        <v>121</v>
      </c>
      <c r="G21" s="5">
        <f t="shared" si="3"/>
        <v>0.21153846153846154</v>
      </c>
    </row>
    <row r="22" spans="1:7" ht="15.75" customHeight="1">
      <c r="A22" s="3">
        <v>21571</v>
      </c>
      <c r="B22" s="4">
        <v>34</v>
      </c>
      <c r="C22">
        <f t="shared" si="4"/>
        <v>52</v>
      </c>
      <c r="D22">
        <f t="shared" si="0"/>
        <v>-18</v>
      </c>
      <c r="E22">
        <f t="shared" si="1"/>
        <v>18</v>
      </c>
      <c r="F22">
        <f t="shared" si="2"/>
        <v>324</v>
      </c>
      <c r="G22" s="5">
        <f t="shared" si="3"/>
        <v>0.52941176470588236</v>
      </c>
    </row>
    <row r="23" spans="1:7" ht="15.75" customHeight="1">
      <c r="A23" s="3">
        <v>21572</v>
      </c>
      <c r="B23" s="4">
        <v>53</v>
      </c>
      <c r="C23">
        <f t="shared" si="4"/>
        <v>34</v>
      </c>
      <c r="D23">
        <f t="shared" si="0"/>
        <v>19</v>
      </c>
      <c r="E23">
        <f t="shared" si="1"/>
        <v>19</v>
      </c>
      <c r="F23">
        <f t="shared" si="2"/>
        <v>361</v>
      </c>
      <c r="G23" s="5">
        <f t="shared" si="3"/>
        <v>0.35849056603773582</v>
      </c>
    </row>
    <row r="24" spans="1:7" ht="15.75" customHeight="1">
      <c r="A24" s="3">
        <v>21573</v>
      </c>
      <c r="B24" s="4">
        <v>39</v>
      </c>
      <c r="C24">
        <f t="shared" si="4"/>
        <v>53</v>
      </c>
      <c r="D24">
        <f t="shared" si="0"/>
        <v>-14</v>
      </c>
      <c r="E24">
        <f t="shared" si="1"/>
        <v>14</v>
      </c>
      <c r="F24">
        <f t="shared" si="2"/>
        <v>196</v>
      </c>
      <c r="G24" s="5">
        <f t="shared" si="3"/>
        <v>0.35897435897435898</v>
      </c>
    </row>
    <row r="25" spans="1:7" ht="15.75" customHeight="1">
      <c r="A25" s="3">
        <v>21574</v>
      </c>
      <c r="B25" s="4">
        <v>32</v>
      </c>
      <c r="C25">
        <f t="shared" si="4"/>
        <v>39</v>
      </c>
      <c r="D25">
        <f t="shared" si="0"/>
        <v>-7</v>
      </c>
      <c r="E25">
        <f t="shared" si="1"/>
        <v>7</v>
      </c>
      <c r="F25">
        <f t="shared" si="2"/>
        <v>49</v>
      </c>
      <c r="G25" s="5">
        <f t="shared" si="3"/>
        <v>0.21875</v>
      </c>
    </row>
    <row r="26" spans="1:7" ht="15.75" customHeight="1">
      <c r="A26" s="3">
        <v>21575</v>
      </c>
      <c r="B26" s="4">
        <v>37</v>
      </c>
      <c r="C26">
        <f t="shared" si="4"/>
        <v>32</v>
      </c>
      <c r="D26">
        <f t="shared" si="0"/>
        <v>5</v>
      </c>
      <c r="E26">
        <f t="shared" si="1"/>
        <v>5</v>
      </c>
      <c r="F26">
        <f t="shared" si="2"/>
        <v>25</v>
      </c>
      <c r="G26" s="5">
        <f t="shared" si="3"/>
        <v>0.13513513513513514</v>
      </c>
    </row>
    <row r="27" spans="1:7" ht="15.75" customHeight="1">
      <c r="A27" s="3">
        <v>21576</v>
      </c>
      <c r="B27" s="4">
        <v>43</v>
      </c>
      <c r="C27">
        <f t="shared" si="4"/>
        <v>37</v>
      </c>
      <c r="D27">
        <f t="shared" si="0"/>
        <v>6</v>
      </c>
      <c r="E27">
        <f t="shared" si="1"/>
        <v>6</v>
      </c>
      <c r="F27">
        <f t="shared" si="2"/>
        <v>36</v>
      </c>
      <c r="G27" s="5">
        <f t="shared" si="3"/>
        <v>0.13953488372093023</v>
      </c>
    </row>
    <row r="28" spans="1:7" ht="15.75" customHeight="1">
      <c r="A28" s="3">
        <v>21577</v>
      </c>
      <c r="B28" s="4">
        <v>39</v>
      </c>
      <c r="C28">
        <f t="shared" si="4"/>
        <v>43</v>
      </c>
      <c r="D28">
        <f t="shared" si="0"/>
        <v>-4</v>
      </c>
      <c r="E28">
        <f t="shared" si="1"/>
        <v>4</v>
      </c>
      <c r="F28">
        <f t="shared" si="2"/>
        <v>16</v>
      </c>
      <c r="G28" s="5">
        <f t="shared" si="3"/>
        <v>0.10256410256410256</v>
      </c>
    </row>
    <row r="29" spans="1:7" ht="15.75" customHeight="1">
      <c r="A29" s="3">
        <v>21578</v>
      </c>
      <c r="B29" s="4">
        <v>35</v>
      </c>
      <c r="C29">
        <f t="shared" si="4"/>
        <v>39</v>
      </c>
      <c r="D29">
        <f t="shared" si="0"/>
        <v>-4</v>
      </c>
      <c r="E29">
        <f t="shared" si="1"/>
        <v>4</v>
      </c>
      <c r="F29">
        <f t="shared" si="2"/>
        <v>16</v>
      </c>
      <c r="G29" s="5">
        <f t="shared" si="3"/>
        <v>0.11428571428571428</v>
      </c>
    </row>
    <row r="30" spans="1:7" ht="15.75" customHeight="1">
      <c r="A30" s="3">
        <v>21579</v>
      </c>
      <c r="B30" s="4">
        <v>44</v>
      </c>
      <c r="C30">
        <f t="shared" si="4"/>
        <v>35</v>
      </c>
      <c r="D30">
        <f t="shared" si="0"/>
        <v>9</v>
      </c>
      <c r="E30">
        <f t="shared" si="1"/>
        <v>9</v>
      </c>
      <c r="F30">
        <f t="shared" si="2"/>
        <v>81</v>
      </c>
      <c r="G30" s="5">
        <f t="shared" si="3"/>
        <v>0.20454545454545456</v>
      </c>
    </row>
    <row r="31" spans="1:7" ht="15.75" customHeight="1">
      <c r="A31" s="3">
        <v>21580</v>
      </c>
      <c r="B31" s="4">
        <v>38</v>
      </c>
      <c r="C31">
        <f t="shared" si="4"/>
        <v>44</v>
      </c>
      <c r="D31">
        <f t="shared" si="0"/>
        <v>-6</v>
      </c>
      <c r="E31">
        <f t="shared" si="1"/>
        <v>6</v>
      </c>
      <c r="F31">
        <f t="shared" si="2"/>
        <v>36</v>
      </c>
      <c r="G31" s="5">
        <f t="shared" si="3"/>
        <v>0.15789473684210525</v>
      </c>
    </row>
    <row r="32" spans="1:7" ht="15.75" customHeight="1">
      <c r="A32" s="3">
        <v>21581</v>
      </c>
      <c r="B32" s="4">
        <v>24</v>
      </c>
      <c r="C32">
        <f t="shared" si="4"/>
        <v>38</v>
      </c>
      <c r="D32">
        <f t="shared" si="0"/>
        <v>-14</v>
      </c>
      <c r="E32">
        <f t="shared" si="1"/>
        <v>14</v>
      </c>
      <c r="F32">
        <f t="shared" si="2"/>
        <v>196</v>
      </c>
      <c r="G32" s="5">
        <f t="shared" si="3"/>
        <v>0.58333333333333337</v>
      </c>
    </row>
    <row r="33" spans="1:7" ht="15.75" customHeight="1">
      <c r="A33" s="3">
        <v>21582</v>
      </c>
      <c r="B33" s="4">
        <v>23</v>
      </c>
      <c r="C33">
        <f t="shared" si="4"/>
        <v>24</v>
      </c>
      <c r="D33">
        <f t="shared" si="0"/>
        <v>-1</v>
      </c>
      <c r="E33">
        <f t="shared" si="1"/>
        <v>1</v>
      </c>
      <c r="F33">
        <f t="shared" si="2"/>
        <v>1</v>
      </c>
      <c r="G33" s="5">
        <f t="shared" si="3"/>
        <v>4.3478260869565216E-2</v>
      </c>
    </row>
    <row r="34" spans="1:7" ht="15.75" customHeight="1">
      <c r="A34" s="3">
        <v>21583</v>
      </c>
      <c r="B34" s="4">
        <v>31</v>
      </c>
      <c r="C34">
        <f t="shared" si="4"/>
        <v>23</v>
      </c>
      <c r="D34">
        <f t="shared" si="0"/>
        <v>8</v>
      </c>
      <c r="E34">
        <f t="shared" si="1"/>
        <v>8</v>
      </c>
      <c r="F34">
        <f t="shared" si="2"/>
        <v>64</v>
      </c>
      <c r="G34" s="5">
        <f t="shared" si="3"/>
        <v>0.25806451612903225</v>
      </c>
    </row>
    <row r="35" spans="1:7" ht="15.75" customHeight="1">
      <c r="A35" s="3">
        <v>21584</v>
      </c>
      <c r="B35" s="4">
        <v>44</v>
      </c>
      <c r="C35">
        <f t="shared" si="4"/>
        <v>31</v>
      </c>
      <c r="D35">
        <f t="shared" si="0"/>
        <v>13</v>
      </c>
      <c r="E35">
        <f t="shared" si="1"/>
        <v>13</v>
      </c>
      <c r="F35">
        <f t="shared" si="2"/>
        <v>169</v>
      </c>
      <c r="G35" s="5">
        <f t="shared" si="3"/>
        <v>0.29545454545454547</v>
      </c>
    </row>
    <row r="36" spans="1:7" ht="15.75" customHeight="1">
      <c r="A36" s="3">
        <v>21585</v>
      </c>
      <c r="B36" s="4">
        <v>38</v>
      </c>
      <c r="C36">
        <f t="shared" si="4"/>
        <v>44</v>
      </c>
      <c r="D36">
        <f t="shared" si="0"/>
        <v>-6</v>
      </c>
      <c r="E36">
        <f t="shared" si="1"/>
        <v>6</v>
      </c>
      <c r="F36">
        <f t="shared" si="2"/>
        <v>36</v>
      </c>
      <c r="G36" s="5">
        <f t="shared" si="3"/>
        <v>0.15789473684210525</v>
      </c>
    </row>
    <row r="37" spans="1:7" ht="15.75" customHeight="1">
      <c r="A37" s="3">
        <v>21586</v>
      </c>
      <c r="B37" s="4">
        <v>50</v>
      </c>
      <c r="C37">
        <f t="shared" si="4"/>
        <v>38</v>
      </c>
      <c r="D37">
        <f t="shared" si="0"/>
        <v>12</v>
      </c>
      <c r="E37">
        <f t="shared" si="1"/>
        <v>12</v>
      </c>
      <c r="F37">
        <f t="shared" si="2"/>
        <v>144</v>
      </c>
      <c r="G37" s="5">
        <f t="shared" si="3"/>
        <v>0.24</v>
      </c>
    </row>
    <row r="38" spans="1:7" ht="15.75" customHeight="1">
      <c r="A38" s="3">
        <v>21587</v>
      </c>
      <c r="B38" s="4">
        <v>38</v>
      </c>
      <c r="C38">
        <f t="shared" si="4"/>
        <v>50</v>
      </c>
      <c r="D38">
        <f t="shared" si="0"/>
        <v>-12</v>
      </c>
      <c r="E38">
        <f t="shared" si="1"/>
        <v>12</v>
      </c>
      <c r="F38">
        <f t="shared" si="2"/>
        <v>144</v>
      </c>
      <c r="G38" s="5">
        <f t="shared" si="3"/>
        <v>0.31578947368421051</v>
      </c>
    </row>
    <row r="39" spans="1:7" ht="15.75" customHeight="1">
      <c r="A39" s="3">
        <v>21588</v>
      </c>
      <c r="B39" s="4">
        <v>51</v>
      </c>
      <c r="C39">
        <f t="shared" si="4"/>
        <v>38</v>
      </c>
      <c r="D39">
        <f t="shared" si="0"/>
        <v>13</v>
      </c>
      <c r="E39">
        <f t="shared" si="1"/>
        <v>13</v>
      </c>
      <c r="F39">
        <f t="shared" si="2"/>
        <v>169</v>
      </c>
      <c r="G39" s="5">
        <f t="shared" si="3"/>
        <v>0.25490196078431371</v>
      </c>
    </row>
    <row r="40" spans="1:7" ht="15.75" customHeight="1">
      <c r="A40" s="3">
        <v>21589</v>
      </c>
      <c r="B40" s="4">
        <v>31</v>
      </c>
      <c r="C40">
        <f t="shared" si="4"/>
        <v>51</v>
      </c>
      <c r="D40">
        <f t="shared" si="0"/>
        <v>-20</v>
      </c>
      <c r="E40">
        <f t="shared" si="1"/>
        <v>20</v>
      </c>
      <c r="F40">
        <f t="shared" si="2"/>
        <v>400</v>
      </c>
      <c r="G40" s="5">
        <f t="shared" si="3"/>
        <v>0.64516129032258063</v>
      </c>
    </row>
    <row r="41" spans="1:7" ht="15.75" customHeight="1">
      <c r="A41" s="3">
        <v>21590</v>
      </c>
      <c r="B41" s="4">
        <v>31</v>
      </c>
      <c r="C41">
        <f t="shared" si="4"/>
        <v>31</v>
      </c>
      <c r="D41">
        <f t="shared" si="0"/>
        <v>0</v>
      </c>
      <c r="E41">
        <f t="shared" si="1"/>
        <v>0</v>
      </c>
      <c r="F41">
        <f t="shared" si="2"/>
        <v>0</v>
      </c>
      <c r="G41" s="5">
        <f t="shared" si="3"/>
        <v>0</v>
      </c>
    </row>
    <row r="42" spans="1:7" ht="15.75" customHeight="1">
      <c r="A42" s="3">
        <v>21591</v>
      </c>
      <c r="B42" s="4">
        <v>51</v>
      </c>
      <c r="C42">
        <f t="shared" si="4"/>
        <v>31</v>
      </c>
      <c r="D42">
        <f t="shared" si="0"/>
        <v>20</v>
      </c>
      <c r="E42">
        <f t="shared" si="1"/>
        <v>20</v>
      </c>
      <c r="F42">
        <f t="shared" si="2"/>
        <v>400</v>
      </c>
      <c r="G42" s="5">
        <f t="shared" si="3"/>
        <v>0.39215686274509803</v>
      </c>
    </row>
    <row r="43" spans="1:7" ht="15.75" customHeight="1">
      <c r="A43" s="3">
        <v>21592</v>
      </c>
      <c r="B43" s="4">
        <v>36</v>
      </c>
      <c r="C43">
        <f t="shared" si="4"/>
        <v>51</v>
      </c>
      <c r="D43">
        <f t="shared" si="0"/>
        <v>-15</v>
      </c>
      <c r="E43">
        <f t="shared" si="1"/>
        <v>15</v>
      </c>
      <c r="F43">
        <f t="shared" si="2"/>
        <v>225</v>
      </c>
      <c r="G43" s="5">
        <f t="shared" si="3"/>
        <v>0.41666666666666669</v>
      </c>
    </row>
    <row r="44" spans="1:7" ht="15.75" customHeight="1">
      <c r="A44" s="3">
        <v>21593</v>
      </c>
      <c r="B44" s="4">
        <v>45</v>
      </c>
      <c r="C44">
        <f t="shared" si="4"/>
        <v>36</v>
      </c>
      <c r="D44">
        <f t="shared" si="0"/>
        <v>9</v>
      </c>
      <c r="E44">
        <f t="shared" si="1"/>
        <v>9</v>
      </c>
      <c r="F44">
        <f t="shared" si="2"/>
        <v>81</v>
      </c>
      <c r="G44" s="5">
        <f t="shared" si="3"/>
        <v>0.2</v>
      </c>
    </row>
    <row r="45" spans="1:7" ht="15.75" customHeight="1">
      <c r="A45" s="3">
        <v>21594</v>
      </c>
      <c r="B45" s="4">
        <v>51</v>
      </c>
      <c r="C45">
        <f t="shared" si="4"/>
        <v>45</v>
      </c>
      <c r="D45">
        <f t="shared" si="0"/>
        <v>6</v>
      </c>
      <c r="E45">
        <f t="shared" si="1"/>
        <v>6</v>
      </c>
      <c r="F45">
        <f t="shared" si="2"/>
        <v>36</v>
      </c>
      <c r="G45" s="5">
        <f t="shared" si="3"/>
        <v>0.11764705882352941</v>
      </c>
    </row>
    <row r="46" spans="1:7" ht="15.75" customHeight="1">
      <c r="A46" s="3">
        <v>21595</v>
      </c>
      <c r="B46" s="4">
        <v>34</v>
      </c>
      <c r="C46">
        <f t="shared" si="4"/>
        <v>51</v>
      </c>
      <c r="D46">
        <f t="shared" si="0"/>
        <v>-17</v>
      </c>
      <c r="E46">
        <f t="shared" si="1"/>
        <v>17</v>
      </c>
      <c r="F46">
        <f t="shared" si="2"/>
        <v>289</v>
      </c>
      <c r="G46" s="5">
        <f t="shared" si="3"/>
        <v>0.5</v>
      </c>
    </row>
    <row r="47" spans="1:7" ht="15.75" customHeight="1">
      <c r="A47" s="3">
        <v>21596</v>
      </c>
      <c r="B47" s="4">
        <v>52</v>
      </c>
      <c r="C47">
        <f t="shared" si="4"/>
        <v>34</v>
      </c>
      <c r="D47">
        <f t="shared" si="0"/>
        <v>18</v>
      </c>
      <c r="E47">
        <f t="shared" si="1"/>
        <v>18</v>
      </c>
      <c r="F47">
        <f t="shared" si="2"/>
        <v>324</v>
      </c>
      <c r="G47" s="5">
        <f t="shared" si="3"/>
        <v>0.34615384615384615</v>
      </c>
    </row>
    <row r="48" spans="1:7" ht="15.75" customHeight="1">
      <c r="A48" s="3">
        <v>21597</v>
      </c>
      <c r="B48" s="4">
        <v>47</v>
      </c>
      <c r="C48">
        <f t="shared" si="4"/>
        <v>52</v>
      </c>
      <c r="D48">
        <f t="shared" si="0"/>
        <v>-5</v>
      </c>
      <c r="E48">
        <f t="shared" si="1"/>
        <v>5</v>
      </c>
      <c r="F48">
        <f t="shared" si="2"/>
        <v>25</v>
      </c>
      <c r="G48" s="5">
        <f t="shared" si="3"/>
        <v>0.10638297872340426</v>
      </c>
    </row>
    <row r="49" spans="1:7" ht="15.75" customHeight="1">
      <c r="A49" s="3">
        <v>21598</v>
      </c>
      <c r="B49" s="4">
        <v>45</v>
      </c>
      <c r="C49">
        <f t="shared" si="4"/>
        <v>47</v>
      </c>
      <c r="D49">
        <f t="shared" si="0"/>
        <v>-2</v>
      </c>
      <c r="E49">
        <f t="shared" si="1"/>
        <v>2</v>
      </c>
      <c r="F49">
        <f t="shared" si="2"/>
        <v>4</v>
      </c>
      <c r="G49" s="5">
        <f t="shared" si="3"/>
        <v>4.4444444444444446E-2</v>
      </c>
    </row>
    <row r="50" spans="1:7" ht="15.75" customHeight="1">
      <c r="A50" s="3">
        <v>21599</v>
      </c>
      <c r="B50" s="4">
        <v>46</v>
      </c>
      <c r="C50">
        <f t="shared" si="4"/>
        <v>45</v>
      </c>
      <c r="D50">
        <f t="shared" si="0"/>
        <v>1</v>
      </c>
      <c r="E50">
        <f t="shared" si="1"/>
        <v>1</v>
      </c>
      <c r="F50">
        <f t="shared" si="2"/>
        <v>1</v>
      </c>
      <c r="G50" s="5">
        <f t="shared" si="3"/>
        <v>2.1739130434782608E-2</v>
      </c>
    </row>
    <row r="51" spans="1:7" ht="15.75" customHeight="1">
      <c r="A51" s="3">
        <v>21600</v>
      </c>
      <c r="B51" s="4">
        <v>39</v>
      </c>
      <c r="C51">
        <f t="shared" si="4"/>
        <v>46</v>
      </c>
      <c r="D51">
        <f t="shared" si="0"/>
        <v>-7</v>
      </c>
      <c r="E51">
        <f t="shared" si="1"/>
        <v>7</v>
      </c>
      <c r="F51">
        <f t="shared" si="2"/>
        <v>49</v>
      </c>
      <c r="G51" s="5">
        <f t="shared" si="3"/>
        <v>0.17948717948717949</v>
      </c>
    </row>
    <row r="52" spans="1:7" ht="15.75" customHeight="1">
      <c r="A52" s="3">
        <v>21601</v>
      </c>
      <c r="B52" s="4">
        <v>48</v>
      </c>
      <c r="C52">
        <f t="shared" si="4"/>
        <v>39</v>
      </c>
      <c r="D52">
        <f t="shared" si="0"/>
        <v>9</v>
      </c>
      <c r="E52">
        <f t="shared" si="1"/>
        <v>9</v>
      </c>
      <c r="F52">
        <f t="shared" si="2"/>
        <v>81</v>
      </c>
      <c r="G52" s="5">
        <f t="shared" si="3"/>
        <v>0.1875</v>
      </c>
    </row>
    <row r="53" spans="1:7" ht="15.75" customHeight="1">
      <c r="A53" s="3">
        <v>21602</v>
      </c>
      <c r="B53" s="4">
        <v>37</v>
      </c>
      <c r="C53">
        <f t="shared" si="4"/>
        <v>48</v>
      </c>
      <c r="D53">
        <f t="shared" si="0"/>
        <v>-11</v>
      </c>
      <c r="E53">
        <f t="shared" si="1"/>
        <v>11</v>
      </c>
      <c r="F53">
        <f t="shared" si="2"/>
        <v>121</v>
      </c>
      <c r="G53" s="5">
        <f t="shared" si="3"/>
        <v>0.29729729729729731</v>
      </c>
    </row>
    <row r="54" spans="1:7" ht="15.75" customHeight="1">
      <c r="A54" s="3">
        <v>21603</v>
      </c>
      <c r="B54" s="4">
        <v>35</v>
      </c>
      <c r="C54">
        <f t="shared" si="4"/>
        <v>37</v>
      </c>
      <c r="D54">
        <f t="shared" si="0"/>
        <v>-2</v>
      </c>
      <c r="E54">
        <f t="shared" si="1"/>
        <v>2</v>
      </c>
      <c r="F54">
        <f t="shared" si="2"/>
        <v>4</v>
      </c>
      <c r="G54" s="5">
        <f t="shared" si="3"/>
        <v>5.7142857142857141E-2</v>
      </c>
    </row>
    <row r="55" spans="1:7" ht="15.75" customHeight="1">
      <c r="A55" s="3">
        <v>21604</v>
      </c>
      <c r="B55" s="4">
        <v>52</v>
      </c>
      <c r="C55">
        <f t="shared" si="4"/>
        <v>35</v>
      </c>
      <c r="D55">
        <f t="shared" si="0"/>
        <v>17</v>
      </c>
      <c r="E55">
        <f t="shared" si="1"/>
        <v>17</v>
      </c>
      <c r="F55">
        <f t="shared" si="2"/>
        <v>289</v>
      </c>
      <c r="G55" s="5">
        <f t="shared" si="3"/>
        <v>0.32692307692307693</v>
      </c>
    </row>
    <row r="56" spans="1:7" ht="15.75" customHeight="1">
      <c r="A56" s="3">
        <v>21605</v>
      </c>
      <c r="B56" s="4">
        <v>42</v>
      </c>
      <c r="C56">
        <f t="shared" si="4"/>
        <v>52</v>
      </c>
      <c r="D56">
        <f t="shared" si="0"/>
        <v>-10</v>
      </c>
      <c r="E56">
        <f t="shared" si="1"/>
        <v>10</v>
      </c>
      <c r="F56">
        <f t="shared" si="2"/>
        <v>100</v>
      </c>
      <c r="G56" s="5">
        <f t="shared" si="3"/>
        <v>0.23809523809523808</v>
      </c>
    </row>
    <row r="57" spans="1:7" ht="15.75" customHeight="1">
      <c r="A57" s="3">
        <v>21606</v>
      </c>
      <c r="B57" s="4">
        <v>45</v>
      </c>
      <c r="C57">
        <f t="shared" si="4"/>
        <v>42</v>
      </c>
      <c r="D57">
        <f t="shared" si="0"/>
        <v>3</v>
      </c>
      <c r="E57">
        <f t="shared" si="1"/>
        <v>3</v>
      </c>
      <c r="F57">
        <f t="shared" si="2"/>
        <v>9</v>
      </c>
      <c r="G57" s="5">
        <f t="shared" si="3"/>
        <v>6.6666666666666666E-2</v>
      </c>
    </row>
    <row r="58" spans="1:7" ht="15.75" customHeight="1">
      <c r="A58" s="3">
        <v>21607</v>
      </c>
      <c r="B58" s="4">
        <v>39</v>
      </c>
      <c r="C58">
        <f t="shared" si="4"/>
        <v>45</v>
      </c>
      <c r="D58">
        <f t="shared" si="0"/>
        <v>-6</v>
      </c>
      <c r="E58">
        <f t="shared" si="1"/>
        <v>6</v>
      </c>
      <c r="F58">
        <f t="shared" si="2"/>
        <v>36</v>
      </c>
      <c r="G58" s="5">
        <f t="shared" si="3"/>
        <v>0.15384615384615385</v>
      </c>
    </row>
    <row r="59" spans="1:7" ht="15.75" customHeight="1">
      <c r="A59" s="3">
        <v>21608</v>
      </c>
      <c r="B59" s="4">
        <v>37</v>
      </c>
      <c r="C59">
        <f t="shared" si="4"/>
        <v>39</v>
      </c>
      <c r="D59">
        <f t="shared" si="0"/>
        <v>-2</v>
      </c>
      <c r="E59">
        <f t="shared" si="1"/>
        <v>2</v>
      </c>
      <c r="F59">
        <f t="shared" si="2"/>
        <v>4</v>
      </c>
      <c r="G59" s="5">
        <f t="shared" si="3"/>
        <v>5.4054054054054057E-2</v>
      </c>
    </row>
    <row r="60" spans="1:7" ht="15.75" customHeight="1">
      <c r="A60" s="3">
        <v>21609</v>
      </c>
      <c r="B60" s="4">
        <v>30</v>
      </c>
      <c r="C60">
        <f t="shared" si="4"/>
        <v>37</v>
      </c>
      <c r="D60">
        <f t="shared" si="0"/>
        <v>-7</v>
      </c>
      <c r="E60">
        <f t="shared" si="1"/>
        <v>7</v>
      </c>
      <c r="F60">
        <f t="shared" si="2"/>
        <v>49</v>
      </c>
      <c r="G60" s="5">
        <f t="shared" si="3"/>
        <v>0.23333333333333334</v>
      </c>
    </row>
    <row r="61" spans="1:7" ht="15.75" customHeight="1">
      <c r="A61" s="3">
        <v>21610</v>
      </c>
      <c r="B61" s="4">
        <v>35</v>
      </c>
      <c r="C61">
        <f t="shared" si="4"/>
        <v>30</v>
      </c>
      <c r="D61">
        <f t="shared" si="0"/>
        <v>5</v>
      </c>
      <c r="E61">
        <f t="shared" si="1"/>
        <v>5</v>
      </c>
      <c r="F61">
        <f t="shared" si="2"/>
        <v>25</v>
      </c>
      <c r="G61" s="5">
        <f t="shared" si="3"/>
        <v>0.14285714285714285</v>
      </c>
    </row>
    <row r="62" spans="1:7" ht="15.75" customHeight="1">
      <c r="A62" s="3">
        <v>21611</v>
      </c>
      <c r="B62" s="4">
        <v>28</v>
      </c>
      <c r="C62">
        <f t="shared" si="4"/>
        <v>35</v>
      </c>
      <c r="D62">
        <f t="shared" si="0"/>
        <v>-7</v>
      </c>
      <c r="E62">
        <f t="shared" si="1"/>
        <v>7</v>
      </c>
      <c r="F62">
        <f t="shared" si="2"/>
        <v>49</v>
      </c>
      <c r="G62" s="5">
        <f t="shared" si="3"/>
        <v>0.25</v>
      </c>
    </row>
    <row r="63" spans="1:7" ht="15.75" customHeight="1">
      <c r="A63" s="3">
        <v>21612</v>
      </c>
      <c r="B63" s="4">
        <v>45</v>
      </c>
      <c r="C63">
        <f t="shared" si="4"/>
        <v>28</v>
      </c>
      <c r="D63">
        <f t="shared" si="0"/>
        <v>17</v>
      </c>
      <c r="E63">
        <f t="shared" si="1"/>
        <v>17</v>
      </c>
      <c r="F63">
        <f t="shared" si="2"/>
        <v>289</v>
      </c>
      <c r="G63" s="5">
        <f t="shared" si="3"/>
        <v>0.37777777777777777</v>
      </c>
    </row>
    <row r="64" spans="1:7" ht="15.75" customHeight="1">
      <c r="A64" s="3">
        <v>21613</v>
      </c>
      <c r="B64" s="4">
        <v>34</v>
      </c>
      <c r="C64">
        <f t="shared" si="4"/>
        <v>45</v>
      </c>
      <c r="D64">
        <f t="shared" si="0"/>
        <v>-11</v>
      </c>
      <c r="E64">
        <f t="shared" si="1"/>
        <v>11</v>
      </c>
      <c r="F64">
        <f t="shared" si="2"/>
        <v>121</v>
      </c>
      <c r="G64" s="5">
        <f t="shared" si="3"/>
        <v>0.3235294117647059</v>
      </c>
    </row>
    <row r="65" spans="1:7" ht="15.75" customHeight="1">
      <c r="A65" s="3">
        <v>21614</v>
      </c>
      <c r="B65" s="4">
        <v>36</v>
      </c>
      <c r="C65">
        <f t="shared" si="4"/>
        <v>34</v>
      </c>
      <c r="D65">
        <f t="shared" si="0"/>
        <v>2</v>
      </c>
      <c r="E65">
        <f t="shared" si="1"/>
        <v>2</v>
      </c>
      <c r="F65">
        <f t="shared" si="2"/>
        <v>4</v>
      </c>
      <c r="G65" s="5">
        <f t="shared" si="3"/>
        <v>5.5555555555555552E-2</v>
      </c>
    </row>
    <row r="66" spans="1:7" ht="15.75" customHeight="1">
      <c r="A66" s="3">
        <v>21615</v>
      </c>
      <c r="B66" s="4">
        <v>50</v>
      </c>
      <c r="C66">
        <f t="shared" si="4"/>
        <v>36</v>
      </c>
      <c r="D66">
        <f t="shared" si="0"/>
        <v>14</v>
      </c>
      <c r="E66">
        <f t="shared" si="1"/>
        <v>14</v>
      </c>
      <c r="F66">
        <f t="shared" si="2"/>
        <v>196</v>
      </c>
      <c r="G66" s="5">
        <f t="shared" si="3"/>
        <v>0.28000000000000003</v>
      </c>
    </row>
    <row r="67" spans="1:7" ht="15.75" customHeight="1">
      <c r="A67" s="3">
        <v>21616</v>
      </c>
      <c r="B67" s="4">
        <v>44</v>
      </c>
      <c r="C67">
        <f t="shared" si="4"/>
        <v>50</v>
      </c>
      <c r="D67">
        <f t="shared" si="0"/>
        <v>-6</v>
      </c>
      <c r="E67">
        <f t="shared" si="1"/>
        <v>6</v>
      </c>
      <c r="F67">
        <f t="shared" si="2"/>
        <v>36</v>
      </c>
      <c r="G67" s="5">
        <f t="shared" si="3"/>
        <v>0.13636363636363635</v>
      </c>
    </row>
    <row r="68" spans="1:7" ht="15.75" customHeight="1">
      <c r="A68" s="3">
        <v>21617</v>
      </c>
      <c r="B68" s="4">
        <v>39</v>
      </c>
      <c r="C68">
        <f t="shared" si="4"/>
        <v>44</v>
      </c>
      <c r="D68">
        <f t="shared" ref="D68:D131" si="5">B68 - C68</f>
        <v>-5</v>
      </c>
      <c r="E68">
        <f t="shared" ref="E68:E131" si="6">ABS(D68)</f>
        <v>5</v>
      </c>
      <c r="F68">
        <f t="shared" ref="F68:F131" si="7">E68^2</f>
        <v>25</v>
      </c>
      <c r="G68" s="5">
        <f t="shared" ref="G68:G131" si="8">E68/B68</f>
        <v>0.12820512820512819</v>
      </c>
    </row>
    <row r="69" spans="1:7" ht="15.75" customHeight="1">
      <c r="A69" s="3">
        <v>21618</v>
      </c>
      <c r="B69" s="4">
        <v>32</v>
      </c>
      <c r="C69">
        <f t="shared" ref="C69:C132" si="9">B68</f>
        <v>39</v>
      </c>
      <c r="D69">
        <f t="shared" si="5"/>
        <v>-7</v>
      </c>
      <c r="E69">
        <f t="shared" si="6"/>
        <v>7</v>
      </c>
      <c r="F69">
        <f t="shared" si="7"/>
        <v>49</v>
      </c>
      <c r="G69" s="5">
        <f t="shared" si="8"/>
        <v>0.21875</v>
      </c>
    </row>
    <row r="70" spans="1:7" ht="15.75" customHeight="1">
      <c r="A70" s="3">
        <v>21619</v>
      </c>
      <c r="B70" s="4">
        <v>39</v>
      </c>
      <c r="C70">
        <f t="shared" si="9"/>
        <v>32</v>
      </c>
      <c r="D70">
        <f t="shared" si="5"/>
        <v>7</v>
      </c>
      <c r="E70">
        <f t="shared" si="6"/>
        <v>7</v>
      </c>
      <c r="F70">
        <f t="shared" si="7"/>
        <v>49</v>
      </c>
      <c r="G70" s="5">
        <f t="shared" si="8"/>
        <v>0.17948717948717949</v>
      </c>
    </row>
    <row r="71" spans="1:7" ht="15.75" customHeight="1">
      <c r="A71" s="3">
        <v>21620</v>
      </c>
      <c r="B71" s="4">
        <v>45</v>
      </c>
      <c r="C71">
        <f t="shared" si="9"/>
        <v>39</v>
      </c>
      <c r="D71">
        <f t="shared" si="5"/>
        <v>6</v>
      </c>
      <c r="E71">
        <f t="shared" si="6"/>
        <v>6</v>
      </c>
      <c r="F71">
        <f t="shared" si="7"/>
        <v>36</v>
      </c>
      <c r="G71" s="5">
        <f t="shared" si="8"/>
        <v>0.13333333333333333</v>
      </c>
    </row>
    <row r="72" spans="1:7" ht="15.75" customHeight="1">
      <c r="A72" s="3">
        <v>21621</v>
      </c>
      <c r="B72" s="4">
        <v>43</v>
      </c>
      <c r="C72">
        <f t="shared" si="9"/>
        <v>45</v>
      </c>
      <c r="D72">
        <f t="shared" si="5"/>
        <v>-2</v>
      </c>
      <c r="E72">
        <f t="shared" si="6"/>
        <v>2</v>
      </c>
      <c r="F72">
        <f t="shared" si="7"/>
        <v>4</v>
      </c>
      <c r="G72" s="5">
        <f t="shared" si="8"/>
        <v>4.6511627906976744E-2</v>
      </c>
    </row>
    <row r="73" spans="1:7" ht="15.75" customHeight="1">
      <c r="A73" s="3">
        <v>21622</v>
      </c>
      <c r="B73" s="4">
        <v>39</v>
      </c>
      <c r="C73">
        <f t="shared" si="9"/>
        <v>43</v>
      </c>
      <c r="D73">
        <f t="shared" si="5"/>
        <v>-4</v>
      </c>
      <c r="E73">
        <f t="shared" si="6"/>
        <v>4</v>
      </c>
      <c r="F73">
        <f t="shared" si="7"/>
        <v>16</v>
      </c>
      <c r="G73" s="5">
        <f t="shared" si="8"/>
        <v>0.10256410256410256</v>
      </c>
    </row>
    <row r="74" spans="1:7" ht="15.75" customHeight="1">
      <c r="A74" s="3">
        <v>21623</v>
      </c>
      <c r="B74" s="4">
        <v>31</v>
      </c>
      <c r="C74">
        <f t="shared" si="9"/>
        <v>39</v>
      </c>
      <c r="D74">
        <f t="shared" si="5"/>
        <v>-8</v>
      </c>
      <c r="E74">
        <f t="shared" si="6"/>
        <v>8</v>
      </c>
      <c r="F74">
        <f t="shared" si="7"/>
        <v>64</v>
      </c>
      <c r="G74" s="5">
        <f t="shared" si="8"/>
        <v>0.25806451612903225</v>
      </c>
    </row>
    <row r="75" spans="1:7" ht="15.75" customHeight="1">
      <c r="A75" s="3">
        <v>21624</v>
      </c>
      <c r="B75" s="4">
        <v>27</v>
      </c>
      <c r="C75">
        <f t="shared" si="9"/>
        <v>31</v>
      </c>
      <c r="D75">
        <f t="shared" si="5"/>
        <v>-4</v>
      </c>
      <c r="E75">
        <f t="shared" si="6"/>
        <v>4</v>
      </c>
      <c r="F75">
        <f t="shared" si="7"/>
        <v>16</v>
      </c>
      <c r="G75" s="5">
        <f t="shared" si="8"/>
        <v>0.14814814814814814</v>
      </c>
    </row>
    <row r="76" spans="1:7" ht="15.75" customHeight="1">
      <c r="A76" s="3">
        <v>21625</v>
      </c>
      <c r="B76" s="4">
        <v>30</v>
      </c>
      <c r="C76">
        <f t="shared" si="9"/>
        <v>27</v>
      </c>
      <c r="D76">
        <f t="shared" si="5"/>
        <v>3</v>
      </c>
      <c r="E76">
        <f t="shared" si="6"/>
        <v>3</v>
      </c>
      <c r="F76">
        <f t="shared" si="7"/>
        <v>9</v>
      </c>
      <c r="G76" s="5">
        <f t="shared" si="8"/>
        <v>0.1</v>
      </c>
    </row>
    <row r="77" spans="1:7" ht="15.75" customHeight="1">
      <c r="A77" s="3">
        <v>21626</v>
      </c>
      <c r="B77" s="4">
        <v>42</v>
      </c>
      <c r="C77">
        <f t="shared" si="9"/>
        <v>30</v>
      </c>
      <c r="D77">
        <f t="shared" si="5"/>
        <v>12</v>
      </c>
      <c r="E77">
        <f t="shared" si="6"/>
        <v>12</v>
      </c>
      <c r="F77">
        <f t="shared" si="7"/>
        <v>144</v>
      </c>
      <c r="G77" s="5">
        <f t="shared" si="8"/>
        <v>0.2857142857142857</v>
      </c>
    </row>
    <row r="78" spans="1:7" ht="15.75" customHeight="1">
      <c r="A78" s="3">
        <v>21627</v>
      </c>
      <c r="B78" s="4">
        <v>46</v>
      </c>
      <c r="C78">
        <f t="shared" si="9"/>
        <v>42</v>
      </c>
      <c r="D78">
        <f t="shared" si="5"/>
        <v>4</v>
      </c>
      <c r="E78">
        <f t="shared" si="6"/>
        <v>4</v>
      </c>
      <c r="F78">
        <f t="shared" si="7"/>
        <v>16</v>
      </c>
      <c r="G78" s="5">
        <f t="shared" si="8"/>
        <v>8.6956521739130432E-2</v>
      </c>
    </row>
    <row r="79" spans="1:7" ht="15.75" customHeight="1">
      <c r="A79" s="3">
        <v>21628</v>
      </c>
      <c r="B79" s="4">
        <v>41</v>
      </c>
      <c r="C79">
        <f t="shared" si="9"/>
        <v>46</v>
      </c>
      <c r="D79">
        <f t="shared" si="5"/>
        <v>-5</v>
      </c>
      <c r="E79">
        <f t="shared" si="6"/>
        <v>5</v>
      </c>
      <c r="F79">
        <f t="shared" si="7"/>
        <v>25</v>
      </c>
      <c r="G79" s="5">
        <f t="shared" si="8"/>
        <v>0.12195121951219512</v>
      </c>
    </row>
    <row r="80" spans="1:7" ht="15.75" customHeight="1">
      <c r="A80" s="3">
        <v>21629</v>
      </c>
      <c r="B80" s="4">
        <v>36</v>
      </c>
      <c r="C80">
        <f t="shared" si="9"/>
        <v>41</v>
      </c>
      <c r="D80">
        <f t="shared" si="5"/>
        <v>-5</v>
      </c>
      <c r="E80">
        <f t="shared" si="6"/>
        <v>5</v>
      </c>
      <c r="F80">
        <f t="shared" si="7"/>
        <v>25</v>
      </c>
      <c r="G80" s="5">
        <f t="shared" si="8"/>
        <v>0.1388888888888889</v>
      </c>
    </row>
    <row r="81" spans="1:7" ht="15.75" customHeight="1">
      <c r="A81" s="3">
        <v>21630</v>
      </c>
      <c r="B81" s="4">
        <v>45</v>
      </c>
      <c r="C81">
        <f t="shared" si="9"/>
        <v>36</v>
      </c>
      <c r="D81">
        <f t="shared" si="5"/>
        <v>9</v>
      </c>
      <c r="E81">
        <f t="shared" si="6"/>
        <v>9</v>
      </c>
      <c r="F81">
        <f t="shared" si="7"/>
        <v>81</v>
      </c>
      <c r="G81" s="5">
        <f t="shared" si="8"/>
        <v>0.2</v>
      </c>
    </row>
    <row r="82" spans="1:7" ht="15.75" customHeight="1">
      <c r="A82" s="3">
        <v>21631</v>
      </c>
      <c r="B82" s="4">
        <v>46</v>
      </c>
      <c r="C82">
        <f t="shared" si="9"/>
        <v>45</v>
      </c>
      <c r="D82">
        <f t="shared" si="5"/>
        <v>1</v>
      </c>
      <c r="E82">
        <f t="shared" si="6"/>
        <v>1</v>
      </c>
      <c r="F82">
        <f t="shared" si="7"/>
        <v>1</v>
      </c>
      <c r="G82" s="5">
        <f t="shared" si="8"/>
        <v>2.1739130434782608E-2</v>
      </c>
    </row>
    <row r="83" spans="1:7" ht="15.75" customHeight="1">
      <c r="A83" s="3">
        <v>21632</v>
      </c>
      <c r="B83" s="4">
        <v>43</v>
      </c>
      <c r="C83">
        <f t="shared" si="9"/>
        <v>46</v>
      </c>
      <c r="D83">
        <f t="shared" si="5"/>
        <v>-3</v>
      </c>
      <c r="E83">
        <f t="shared" si="6"/>
        <v>3</v>
      </c>
      <c r="F83">
        <f t="shared" si="7"/>
        <v>9</v>
      </c>
      <c r="G83" s="5">
        <f t="shared" si="8"/>
        <v>6.9767441860465115E-2</v>
      </c>
    </row>
    <row r="84" spans="1:7" ht="15.75" customHeight="1">
      <c r="A84" s="3">
        <v>21633</v>
      </c>
      <c r="B84" s="4">
        <v>38</v>
      </c>
      <c r="C84">
        <f t="shared" si="9"/>
        <v>43</v>
      </c>
      <c r="D84">
        <f t="shared" si="5"/>
        <v>-5</v>
      </c>
      <c r="E84">
        <f t="shared" si="6"/>
        <v>5</v>
      </c>
      <c r="F84">
        <f t="shared" si="7"/>
        <v>25</v>
      </c>
      <c r="G84" s="5">
        <f t="shared" si="8"/>
        <v>0.13157894736842105</v>
      </c>
    </row>
    <row r="85" spans="1:7" ht="15.75" customHeight="1">
      <c r="A85" s="3">
        <v>21634</v>
      </c>
      <c r="B85" s="4">
        <v>34</v>
      </c>
      <c r="C85">
        <f t="shared" si="9"/>
        <v>38</v>
      </c>
      <c r="D85">
        <f t="shared" si="5"/>
        <v>-4</v>
      </c>
      <c r="E85">
        <f t="shared" si="6"/>
        <v>4</v>
      </c>
      <c r="F85">
        <f t="shared" si="7"/>
        <v>16</v>
      </c>
      <c r="G85" s="5">
        <f t="shared" si="8"/>
        <v>0.11764705882352941</v>
      </c>
    </row>
    <row r="86" spans="1:7" ht="15.75" customHeight="1">
      <c r="A86" s="3">
        <v>21635</v>
      </c>
      <c r="B86" s="4">
        <v>35</v>
      </c>
      <c r="C86">
        <f t="shared" si="9"/>
        <v>34</v>
      </c>
      <c r="D86">
        <f t="shared" si="5"/>
        <v>1</v>
      </c>
      <c r="E86">
        <f t="shared" si="6"/>
        <v>1</v>
      </c>
      <c r="F86">
        <f t="shared" si="7"/>
        <v>1</v>
      </c>
      <c r="G86" s="5">
        <f t="shared" si="8"/>
        <v>2.8571428571428571E-2</v>
      </c>
    </row>
    <row r="87" spans="1:7" ht="15.75" customHeight="1">
      <c r="A87" s="3">
        <v>21636</v>
      </c>
      <c r="B87" s="4">
        <v>56</v>
      </c>
      <c r="C87">
        <f t="shared" si="9"/>
        <v>35</v>
      </c>
      <c r="D87">
        <f t="shared" si="5"/>
        <v>21</v>
      </c>
      <c r="E87">
        <f t="shared" si="6"/>
        <v>21</v>
      </c>
      <c r="F87">
        <f t="shared" si="7"/>
        <v>441</v>
      </c>
      <c r="G87" s="5">
        <f t="shared" si="8"/>
        <v>0.375</v>
      </c>
    </row>
    <row r="88" spans="1:7" ht="15.75" customHeight="1">
      <c r="A88" s="3">
        <v>21637</v>
      </c>
      <c r="B88" s="4">
        <v>36</v>
      </c>
      <c r="C88">
        <f t="shared" si="9"/>
        <v>56</v>
      </c>
      <c r="D88">
        <f t="shared" si="5"/>
        <v>-20</v>
      </c>
      <c r="E88">
        <f t="shared" si="6"/>
        <v>20</v>
      </c>
      <c r="F88">
        <f t="shared" si="7"/>
        <v>400</v>
      </c>
      <c r="G88" s="5">
        <f t="shared" si="8"/>
        <v>0.55555555555555558</v>
      </c>
    </row>
    <row r="89" spans="1:7" ht="15.75" customHeight="1">
      <c r="A89" s="3">
        <v>21638</v>
      </c>
      <c r="B89" s="4">
        <v>32</v>
      </c>
      <c r="C89">
        <f t="shared" si="9"/>
        <v>36</v>
      </c>
      <c r="D89">
        <f t="shared" si="5"/>
        <v>-4</v>
      </c>
      <c r="E89">
        <f t="shared" si="6"/>
        <v>4</v>
      </c>
      <c r="F89">
        <f t="shared" si="7"/>
        <v>16</v>
      </c>
      <c r="G89" s="5">
        <f t="shared" si="8"/>
        <v>0.125</v>
      </c>
    </row>
    <row r="90" spans="1:7" ht="15.75" customHeight="1">
      <c r="A90" s="3">
        <v>21639</v>
      </c>
      <c r="B90" s="4">
        <v>50</v>
      </c>
      <c r="C90">
        <f t="shared" si="9"/>
        <v>32</v>
      </c>
      <c r="D90">
        <f t="shared" si="5"/>
        <v>18</v>
      </c>
      <c r="E90">
        <f t="shared" si="6"/>
        <v>18</v>
      </c>
      <c r="F90">
        <f t="shared" si="7"/>
        <v>324</v>
      </c>
      <c r="G90" s="5">
        <f t="shared" si="8"/>
        <v>0.36</v>
      </c>
    </row>
    <row r="91" spans="1:7" ht="15.75" customHeight="1">
      <c r="A91" s="3">
        <v>21640</v>
      </c>
      <c r="B91" s="4">
        <v>41</v>
      </c>
      <c r="C91">
        <f t="shared" si="9"/>
        <v>50</v>
      </c>
      <c r="D91">
        <f t="shared" si="5"/>
        <v>-9</v>
      </c>
      <c r="E91">
        <f t="shared" si="6"/>
        <v>9</v>
      </c>
      <c r="F91">
        <f t="shared" si="7"/>
        <v>81</v>
      </c>
      <c r="G91" s="5">
        <f t="shared" si="8"/>
        <v>0.21951219512195122</v>
      </c>
    </row>
    <row r="92" spans="1:7" ht="15.75" customHeight="1">
      <c r="A92" s="3">
        <v>21641</v>
      </c>
      <c r="B92" s="4">
        <v>39</v>
      </c>
      <c r="C92">
        <f t="shared" si="9"/>
        <v>41</v>
      </c>
      <c r="D92">
        <f t="shared" si="5"/>
        <v>-2</v>
      </c>
      <c r="E92">
        <f t="shared" si="6"/>
        <v>2</v>
      </c>
      <c r="F92">
        <f t="shared" si="7"/>
        <v>4</v>
      </c>
      <c r="G92" s="5">
        <f t="shared" si="8"/>
        <v>5.128205128205128E-2</v>
      </c>
    </row>
    <row r="93" spans="1:7" ht="15.75" customHeight="1">
      <c r="A93" s="3">
        <v>21642</v>
      </c>
      <c r="B93" s="4">
        <v>41</v>
      </c>
      <c r="C93">
        <f t="shared" si="9"/>
        <v>39</v>
      </c>
      <c r="D93">
        <f t="shared" si="5"/>
        <v>2</v>
      </c>
      <c r="E93">
        <f t="shared" si="6"/>
        <v>2</v>
      </c>
      <c r="F93">
        <f t="shared" si="7"/>
        <v>4</v>
      </c>
      <c r="G93" s="5">
        <f t="shared" si="8"/>
        <v>4.878048780487805E-2</v>
      </c>
    </row>
    <row r="94" spans="1:7" ht="15.75" customHeight="1">
      <c r="A94" s="3">
        <v>21643</v>
      </c>
      <c r="B94" s="4">
        <v>47</v>
      </c>
      <c r="C94">
        <f t="shared" si="9"/>
        <v>41</v>
      </c>
      <c r="D94">
        <f t="shared" si="5"/>
        <v>6</v>
      </c>
      <c r="E94">
        <f t="shared" si="6"/>
        <v>6</v>
      </c>
      <c r="F94">
        <f t="shared" si="7"/>
        <v>36</v>
      </c>
      <c r="G94" s="5">
        <f t="shared" si="8"/>
        <v>0.1276595744680851</v>
      </c>
    </row>
    <row r="95" spans="1:7" ht="15.75" customHeight="1">
      <c r="A95" s="3">
        <v>21644</v>
      </c>
      <c r="B95" s="4">
        <v>34</v>
      </c>
      <c r="C95">
        <f t="shared" si="9"/>
        <v>47</v>
      </c>
      <c r="D95">
        <f t="shared" si="5"/>
        <v>-13</v>
      </c>
      <c r="E95">
        <f t="shared" si="6"/>
        <v>13</v>
      </c>
      <c r="F95">
        <f t="shared" si="7"/>
        <v>169</v>
      </c>
      <c r="G95" s="5">
        <f t="shared" si="8"/>
        <v>0.38235294117647056</v>
      </c>
    </row>
    <row r="96" spans="1:7" ht="15.75" customHeight="1">
      <c r="A96" s="3">
        <v>21645</v>
      </c>
      <c r="B96" s="4">
        <v>36</v>
      </c>
      <c r="C96">
        <f t="shared" si="9"/>
        <v>34</v>
      </c>
      <c r="D96">
        <f t="shared" si="5"/>
        <v>2</v>
      </c>
      <c r="E96">
        <f t="shared" si="6"/>
        <v>2</v>
      </c>
      <c r="F96">
        <f t="shared" si="7"/>
        <v>4</v>
      </c>
      <c r="G96" s="5">
        <f t="shared" si="8"/>
        <v>5.5555555555555552E-2</v>
      </c>
    </row>
    <row r="97" spans="1:7" ht="15.75" customHeight="1">
      <c r="A97" s="3">
        <v>21646</v>
      </c>
      <c r="B97" s="4">
        <v>33</v>
      </c>
      <c r="C97">
        <f t="shared" si="9"/>
        <v>36</v>
      </c>
      <c r="D97">
        <f t="shared" si="5"/>
        <v>-3</v>
      </c>
      <c r="E97">
        <f t="shared" si="6"/>
        <v>3</v>
      </c>
      <c r="F97">
        <f t="shared" si="7"/>
        <v>9</v>
      </c>
      <c r="G97" s="5">
        <f t="shared" si="8"/>
        <v>9.0909090909090912E-2</v>
      </c>
    </row>
    <row r="98" spans="1:7" ht="15.75" customHeight="1">
      <c r="A98" s="3">
        <v>21647</v>
      </c>
      <c r="B98" s="4">
        <v>35</v>
      </c>
      <c r="C98">
        <f t="shared" si="9"/>
        <v>33</v>
      </c>
      <c r="D98">
        <f t="shared" si="5"/>
        <v>2</v>
      </c>
      <c r="E98">
        <f t="shared" si="6"/>
        <v>2</v>
      </c>
      <c r="F98">
        <f t="shared" si="7"/>
        <v>4</v>
      </c>
      <c r="G98" s="5">
        <f t="shared" si="8"/>
        <v>5.7142857142857141E-2</v>
      </c>
    </row>
    <row r="99" spans="1:7" ht="15.75" customHeight="1">
      <c r="A99" s="3">
        <v>21648</v>
      </c>
      <c r="B99" s="4">
        <v>38</v>
      </c>
      <c r="C99">
        <f t="shared" si="9"/>
        <v>35</v>
      </c>
      <c r="D99">
        <f t="shared" si="5"/>
        <v>3</v>
      </c>
      <c r="E99">
        <f t="shared" si="6"/>
        <v>3</v>
      </c>
      <c r="F99">
        <f t="shared" si="7"/>
        <v>9</v>
      </c>
      <c r="G99" s="5">
        <f t="shared" si="8"/>
        <v>7.8947368421052627E-2</v>
      </c>
    </row>
    <row r="100" spans="1:7" ht="15.75" customHeight="1">
      <c r="A100" s="3">
        <v>21649</v>
      </c>
      <c r="B100" s="4">
        <v>38</v>
      </c>
      <c r="C100">
        <f t="shared" si="9"/>
        <v>38</v>
      </c>
      <c r="D100">
        <f t="shared" si="5"/>
        <v>0</v>
      </c>
      <c r="E100">
        <f t="shared" si="6"/>
        <v>0</v>
      </c>
      <c r="F100">
        <f t="shared" si="7"/>
        <v>0</v>
      </c>
      <c r="G100" s="5">
        <f t="shared" si="8"/>
        <v>0</v>
      </c>
    </row>
    <row r="101" spans="1:7" ht="15.75" customHeight="1">
      <c r="A101" s="3">
        <v>21650</v>
      </c>
      <c r="B101" s="4">
        <v>34</v>
      </c>
      <c r="C101">
        <f t="shared" si="9"/>
        <v>38</v>
      </c>
      <c r="D101">
        <f t="shared" si="5"/>
        <v>-4</v>
      </c>
      <c r="E101">
        <f t="shared" si="6"/>
        <v>4</v>
      </c>
      <c r="F101">
        <f t="shared" si="7"/>
        <v>16</v>
      </c>
      <c r="G101" s="5">
        <f t="shared" si="8"/>
        <v>0.11764705882352941</v>
      </c>
    </row>
    <row r="102" spans="1:7" ht="15.75" customHeight="1">
      <c r="A102" s="3">
        <v>21651</v>
      </c>
      <c r="B102" s="4">
        <v>53</v>
      </c>
      <c r="C102">
        <f t="shared" si="9"/>
        <v>34</v>
      </c>
      <c r="D102">
        <f t="shared" si="5"/>
        <v>19</v>
      </c>
      <c r="E102">
        <f t="shared" si="6"/>
        <v>19</v>
      </c>
      <c r="F102">
        <f t="shared" si="7"/>
        <v>361</v>
      </c>
      <c r="G102" s="5">
        <f t="shared" si="8"/>
        <v>0.35849056603773582</v>
      </c>
    </row>
    <row r="103" spans="1:7" ht="15.75" customHeight="1">
      <c r="A103" s="3">
        <v>21652</v>
      </c>
      <c r="B103" s="4">
        <v>34</v>
      </c>
      <c r="C103">
        <f t="shared" si="9"/>
        <v>53</v>
      </c>
      <c r="D103">
        <f t="shared" si="5"/>
        <v>-19</v>
      </c>
      <c r="E103">
        <f t="shared" si="6"/>
        <v>19</v>
      </c>
      <c r="F103">
        <f t="shared" si="7"/>
        <v>361</v>
      </c>
      <c r="G103" s="5">
        <f t="shared" si="8"/>
        <v>0.55882352941176472</v>
      </c>
    </row>
    <row r="104" spans="1:7" ht="15.75" customHeight="1">
      <c r="A104" s="3">
        <v>21653</v>
      </c>
      <c r="B104" s="4">
        <v>34</v>
      </c>
      <c r="C104">
        <f t="shared" si="9"/>
        <v>34</v>
      </c>
      <c r="D104">
        <f t="shared" si="5"/>
        <v>0</v>
      </c>
      <c r="E104">
        <f t="shared" si="6"/>
        <v>0</v>
      </c>
      <c r="F104">
        <f t="shared" si="7"/>
        <v>0</v>
      </c>
      <c r="G104" s="5">
        <f t="shared" si="8"/>
        <v>0</v>
      </c>
    </row>
    <row r="105" spans="1:7" ht="15.75" customHeight="1">
      <c r="A105" s="3">
        <v>21654</v>
      </c>
      <c r="B105" s="4">
        <v>38</v>
      </c>
      <c r="C105">
        <f t="shared" si="9"/>
        <v>34</v>
      </c>
      <c r="D105">
        <f t="shared" si="5"/>
        <v>4</v>
      </c>
      <c r="E105">
        <f t="shared" si="6"/>
        <v>4</v>
      </c>
      <c r="F105">
        <f t="shared" si="7"/>
        <v>16</v>
      </c>
      <c r="G105" s="5">
        <f t="shared" si="8"/>
        <v>0.10526315789473684</v>
      </c>
    </row>
    <row r="106" spans="1:7" ht="15.75" customHeight="1">
      <c r="A106" s="3">
        <v>21655</v>
      </c>
      <c r="B106" s="4">
        <v>35</v>
      </c>
      <c r="C106">
        <f t="shared" si="9"/>
        <v>38</v>
      </c>
      <c r="D106">
        <f t="shared" si="5"/>
        <v>-3</v>
      </c>
      <c r="E106">
        <f t="shared" si="6"/>
        <v>3</v>
      </c>
      <c r="F106">
        <f t="shared" si="7"/>
        <v>9</v>
      </c>
      <c r="G106" s="5">
        <f t="shared" si="8"/>
        <v>8.5714285714285715E-2</v>
      </c>
    </row>
    <row r="107" spans="1:7" ht="15.75" customHeight="1">
      <c r="A107" s="3">
        <v>21656</v>
      </c>
      <c r="B107" s="4">
        <v>32</v>
      </c>
      <c r="C107">
        <f t="shared" si="9"/>
        <v>35</v>
      </c>
      <c r="D107">
        <f t="shared" si="5"/>
        <v>-3</v>
      </c>
      <c r="E107">
        <f t="shared" si="6"/>
        <v>3</v>
      </c>
      <c r="F107">
        <f t="shared" si="7"/>
        <v>9</v>
      </c>
      <c r="G107" s="5">
        <f t="shared" si="8"/>
        <v>9.375E-2</v>
      </c>
    </row>
    <row r="108" spans="1:7" ht="15.75" customHeight="1">
      <c r="A108" s="3">
        <v>21657</v>
      </c>
      <c r="B108" s="4">
        <v>42</v>
      </c>
      <c r="C108">
        <f t="shared" si="9"/>
        <v>32</v>
      </c>
      <c r="D108">
        <f t="shared" si="5"/>
        <v>10</v>
      </c>
      <c r="E108">
        <f t="shared" si="6"/>
        <v>10</v>
      </c>
      <c r="F108">
        <f t="shared" si="7"/>
        <v>100</v>
      </c>
      <c r="G108" s="5">
        <f t="shared" si="8"/>
        <v>0.23809523809523808</v>
      </c>
    </row>
    <row r="109" spans="1:7" ht="15.75" customHeight="1">
      <c r="A109" s="3">
        <v>21658</v>
      </c>
      <c r="B109" s="4">
        <v>34</v>
      </c>
      <c r="C109">
        <f t="shared" si="9"/>
        <v>42</v>
      </c>
      <c r="D109">
        <f t="shared" si="5"/>
        <v>-8</v>
      </c>
      <c r="E109">
        <f t="shared" si="6"/>
        <v>8</v>
      </c>
      <c r="F109">
        <f t="shared" si="7"/>
        <v>64</v>
      </c>
      <c r="G109" s="5">
        <f t="shared" si="8"/>
        <v>0.23529411764705882</v>
      </c>
    </row>
    <row r="110" spans="1:7" ht="15.75" customHeight="1">
      <c r="A110" s="3">
        <v>21659</v>
      </c>
      <c r="B110" s="4">
        <v>46</v>
      </c>
      <c r="C110">
        <f t="shared" si="9"/>
        <v>34</v>
      </c>
      <c r="D110">
        <f t="shared" si="5"/>
        <v>12</v>
      </c>
      <c r="E110">
        <f t="shared" si="6"/>
        <v>12</v>
      </c>
      <c r="F110">
        <f t="shared" si="7"/>
        <v>144</v>
      </c>
      <c r="G110" s="5">
        <f t="shared" si="8"/>
        <v>0.2608695652173913</v>
      </c>
    </row>
    <row r="111" spans="1:7" ht="15.75" customHeight="1">
      <c r="A111" s="3">
        <v>21660</v>
      </c>
      <c r="B111" s="4">
        <v>30</v>
      </c>
      <c r="C111">
        <f t="shared" si="9"/>
        <v>46</v>
      </c>
      <c r="D111">
        <f t="shared" si="5"/>
        <v>-16</v>
      </c>
      <c r="E111">
        <f t="shared" si="6"/>
        <v>16</v>
      </c>
      <c r="F111">
        <f t="shared" si="7"/>
        <v>256</v>
      </c>
      <c r="G111" s="5">
        <f t="shared" si="8"/>
        <v>0.53333333333333333</v>
      </c>
    </row>
    <row r="112" spans="1:7" ht="15.75" customHeight="1">
      <c r="A112" s="3">
        <v>21661</v>
      </c>
      <c r="B112" s="4">
        <v>46</v>
      </c>
      <c r="C112">
        <f t="shared" si="9"/>
        <v>30</v>
      </c>
      <c r="D112">
        <f t="shared" si="5"/>
        <v>16</v>
      </c>
      <c r="E112">
        <f t="shared" si="6"/>
        <v>16</v>
      </c>
      <c r="F112">
        <f t="shared" si="7"/>
        <v>256</v>
      </c>
      <c r="G112" s="5">
        <f t="shared" si="8"/>
        <v>0.34782608695652173</v>
      </c>
    </row>
    <row r="113" spans="1:7" ht="15.75" customHeight="1">
      <c r="A113" s="3">
        <v>21662</v>
      </c>
      <c r="B113" s="4">
        <v>45</v>
      </c>
      <c r="C113">
        <f t="shared" si="9"/>
        <v>46</v>
      </c>
      <c r="D113">
        <f t="shared" si="5"/>
        <v>-1</v>
      </c>
      <c r="E113">
        <f t="shared" si="6"/>
        <v>1</v>
      </c>
      <c r="F113">
        <f t="shared" si="7"/>
        <v>1</v>
      </c>
      <c r="G113" s="5">
        <f t="shared" si="8"/>
        <v>2.2222222222222223E-2</v>
      </c>
    </row>
    <row r="114" spans="1:7" ht="15.75" customHeight="1">
      <c r="A114" s="3">
        <v>21663</v>
      </c>
      <c r="B114" s="4">
        <v>54</v>
      </c>
      <c r="C114">
        <f t="shared" si="9"/>
        <v>45</v>
      </c>
      <c r="D114">
        <f t="shared" si="5"/>
        <v>9</v>
      </c>
      <c r="E114">
        <f t="shared" si="6"/>
        <v>9</v>
      </c>
      <c r="F114">
        <f t="shared" si="7"/>
        <v>81</v>
      </c>
      <c r="G114" s="5">
        <f t="shared" si="8"/>
        <v>0.16666666666666666</v>
      </c>
    </row>
    <row r="115" spans="1:7" ht="15.75" customHeight="1">
      <c r="A115" s="3">
        <v>21664</v>
      </c>
      <c r="B115" s="4">
        <v>34</v>
      </c>
      <c r="C115">
        <f t="shared" si="9"/>
        <v>54</v>
      </c>
      <c r="D115">
        <f t="shared" si="5"/>
        <v>-20</v>
      </c>
      <c r="E115">
        <f t="shared" si="6"/>
        <v>20</v>
      </c>
      <c r="F115">
        <f t="shared" si="7"/>
        <v>400</v>
      </c>
      <c r="G115" s="5">
        <f t="shared" si="8"/>
        <v>0.58823529411764708</v>
      </c>
    </row>
    <row r="116" spans="1:7" ht="15.75" customHeight="1">
      <c r="A116" s="3">
        <v>21665</v>
      </c>
      <c r="B116" s="4">
        <v>37</v>
      </c>
      <c r="C116">
        <f t="shared" si="9"/>
        <v>34</v>
      </c>
      <c r="D116">
        <f t="shared" si="5"/>
        <v>3</v>
      </c>
      <c r="E116">
        <f t="shared" si="6"/>
        <v>3</v>
      </c>
      <c r="F116">
        <f t="shared" si="7"/>
        <v>9</v>
      </c>
      <c r="G116" s="5">
        <f t="shared" si="8"/>
        <v>8.1081081081081086E-2</v>
      </c>
    </row>
    <row r="117" spans="1:7" ht="15.75" customHeight="1">
      <c r="A117" s="3">
        <v>21666</v>
      </c>
      <c r="B117" s="4">
        <v>35</v>
      </c>
      <c r="C117">
        <f t="shared" si="9"/>
        <v>37</v>
      </c>
      <c r="D117">
        <f t="shared" si="5"/>
        <v>-2</v>
      </c>
      <c r="E117">
        <f t="shared" si="6"/>
        <v>2</v>
      </c>
      <c r="F117">
        <f t="shared" si="7"/>
        <v>4</v>
      </c>
      <c r="G117" s="5">
        <f t="shared" si="8"/>
        <v>5.7142857142857141E-2</v>
      </c>
    </row>
    <row r="118" spans="1:7" ht="15.75" customHeight="1">
      <c r="A118" s="3">
        <v>21667</v>
      </c>
      <c r="B118" s="4">
        <v>40</v>
      </c>
      <c r="C118">
        <f t="shared" si="9"/>
        <v>35</v>
      </c>
      <c r="D118">
        <f t="shared" si="5"/>
        <v>5</v>
      </c>
      <c r="E118">
        <f t="shared" si="6"/>
        <v>5</v>
      </c>
      <c r="F118">
        <f t="shared" si="7"/>
        <v>25</v>
      </c>
      <c r="G118" s="5">
        <f t="shared" si="8"/>
        <v>0.125</v>
      </c>
    </row>
    <row r="119" spans="1:7" ht="15.75" customHeight="1">
      <c r="A119" s="3">
        <v>21668</v>
      </c>
      <c r="B119" s="4">
        <v>42</v>
      </c>
      <c r="C119">
        <f t="shared" si="9"/>
        <v>40</v>
      </c>
      <c r="D119">
        <f t="shared" si="5"/>
        <v>2</v>
      </c>
      <c r="E119">
        <f t="shared" si="6"/>
        <v>2</v>
      </c>
      <c r="F119">
        <f t="shared" si="7"/>
        <v>4</v>
      </c>
      <c r="G119" s="5">
        <f t="shared" si="8"/>
        <v>4.7619047619047616E-2</v>
      </c>
    </row>
    <row r="120" spans="1:7" ht="15.75" customHeight="1">
      <c r="A120" s="3">
        <v>21669</v>
      </c>
      <c r="B120" s="4">
        <v>58</v>
      </c>
      <c r="C120">
        <f t="shared" si="9"/>
        <v>42</v>
      </c>
      <c r="D120">
        <f t="shared" si="5"/>
        <v>16</v>
      </c>
      <c r="E120">
        <f t="shared" si="6"/>
        <v>16</v>
      </c>
      <c r="F120">
        <f t="shared" si="7"/>
        <v>256</v>
      </c>
      <c r="G120" s="5">
        <f t="shared" si="8"/>
        <v>0.27586206896551724</v>
      </c>
    </row>
    <row r="121" spans="1:7" ht="15.75" customHeight="1">
      <c r="A121" s="3">
        <v>21670</v>
      </c>
      <c r="B121" s="4">
        <v>51</v>
      </c>
      <c r="C121">
        <f t="shared" si="9"/>
        <v>58</v>
      </c>
      <c r="D121">
        <f t="shared" si="5"/>
        <v>-7</v>
      </c>
      <c r="E121">
        <f t="shared" si="6"/>
        <v>7</v>
      </c>
      <c r="F121">
        <f t="shared" si="7"/>
        <v>49</v>
      </c>
      <c r="G121" s="5">
        <f t="shared" si="8"/>
        <v>0.13725490196078433</v>
      </c>
    </row>
    <row r="122" spans="1:7" ht="15.75" customHeight="1">
      <c r="A122" s="3">
        <v>21671</v>
      </c>
      <c r="B122" s="4">
        <v>32</v>
      </c>
      <c r="C122">
        <f t="shared" si="9"/>
        <v>51</v>
      </c>
      <c r="D122">
        <f t="shared" si="5"/>
        <v>-19</v>
      </c>
      <c r="E122">
        <f t="shared" si="6"/>
        <v>19</v>
      </c>
      <c r="F122">
        <f t="shared" si="7"/>
        <v>361</v>
      </c>
      <c r="G122" s="5">
        <f t="shared" si="8"/>
        <v>0.59375</v>
      </c>
    </row>
    <row r="123" spans="1:7" ht="15.75" customHeight="1">
      <c r="A123" s="3">
        <v>21672</v>
      </c>
      <c r="B123" s="4">
        <v>35</v>
      </c>
      <c r="C123">
        <f t="shared" si="9"/>
        <v>32</v>
      </c>
      <c r="D123">
        <f t="shared" si="5"/>
        <v>3</v>
      </c>
      <c r="E123">
        <f t="shared" si="6"/>
        <v>3</v>
      </c>
      <c r="F123">
        <f t="shared" si="7"/>
        <v>9</v>
      </c>
      <c r="G123" s="5">
        <f t="shared" si="8"/>
        <v>8.5714285714285715E-2</v>
      </c>
    </row>
    <row r="124" spans="1:7" ht="15.75" customHeight="1">
      <c r="A124" s="3">
        <v>21673</v>
      </c>
      <c r="B124" s="4">
        <v>38</v>
      </c>
      <c r="C124">
        <f t="shared" si="9"/>
        <v>35</v>
      </c>
      <c r="D124">
        <f t="shared" si="5"/>
        <v>3</v>
      </c>
      <c r="E124">
        <f t="shared" si="6"/>
        <v>3</v>
      </c>
      <c r="F124">
        <f t="shared" si="7"/>
        <v>9</v>
      </c>
      <c r="G124" s="5">
        <f t="shared" si="8"/>
        <v>7.8947368421052627E-2</v>
      </c>
    </row>
    <row r="125" spans="1:7" ht="15.75" customHeight="1">
      <c r="A125" s="3">
        <v>21674</v>
      </c>
      <c r="B125" s="4">
        <v>33</v>
      </c>
      <c r="C125">
        <f t="shared" si="9"/>
        <v>38</v>
      </c>
      <c r="D125">
        <f t="shared" si="5"/>
        <v>-5</v>
      </c>
      <c r="E125">
        <f t="shared" si="6"/>
        <v>5</v>
      </c>
      <c r="F125">
        <f t="shared" si="7"/>
        <v>25</v>
      </c>
      <c r="G125" s="5">
        <f t="shared" si="8"/>
        <v>0.15151515151515152</v>
      </c>
    </row>
    <row r="126" spans="1:7" ht="15.75" customHeight="1">
      <c r="A126" s="3">
        <v>21675</v>
      </c>
      <c r="B126" s="4">
        <v>39</v>
      </c>
      <c r="C126">
        <f t="shared" si="9"/>
        <v>33</v>
      </c>
      <c r="D126">
        <f t="shared" si="5"/>
        <v>6</v>
      </c>
      <c r="E126">
        <f t="shared" si="6"/>
        <v>6</v>
      </c>
      <c r="F126">
        <f t="shared" si="7"/>
        <v>36</v>
      </c>
      <c r="G126" s="5">
        <f t="shared" si="8"/>
        <v>0.15384615384615385</v>
      </c>
    </row>
    <row r="127" spans="1:7" ht="15.75" customHeight="1">
      <c r="A127" s="3">
        <v>21676</v>
      </c>
      <c r="B127" s="4">
        <v>47</v>
      </c>
      <c r="C127">
        <f t="shared" si="9"/>
        <v>39</v>
      </c>
      <c r="D127">
        <f t="shared" si="5"/>
        <v>8</v>
      </c>
      <c r="E127">
        <f t="shared" si="6"/>
        <v>8</v>
      </c>
      <c r="F127">
        <f t="shared" si="7"/>
        <v>64</v>
      </c>
      <c r="G127" s="5">
        <f t="shared" si="8"/>
        <v>0.1702127659574468</v>
      </c>
    </row>
    <row r="128" spans="1:7" ht="15.75" customHeight="1">
      <c r="A128" s="3">
        <v>21677</v>
      </c>
      <c r="B128" s="4">
        <v>38</v>
      </c>
      <c r="C128">
        <f t="shared" si="9"/>
        <v>47</v>
      </c>
      <c r="D128">
        <f t="shared" si="5"/>
        <v>-9</v>
      </c>
      <c r="E128">
        <f t="shared" si="6"/>
        <v>9</v>
      </c>
      <c r="F128">
        <f t="shared" si="7"/>
        <v>81</v>
      </c>
      <c r="G128" s="5">
        <f t="shared" si="8"/>
        <v>0.23684210526315788</v>
      </c>
    </row>
    <row r="129" spans="1:7" ht="15.75" customHeight="1">
      <c r="A129" s="3">
        <v>21678</v>
      </c>
      <c r="B129" s="4">
        <v>52</v>
      </c>
      <c r="C129">
        <f t="shared" si="9"/>
        <v>38</v>
      </c>
      <c r="D129">
        <f t="shared" si="5"/>
        <v>14</v>
      </c>
      <c r="E129">
        <f t="shared" si="6"/>
        <v>14</v>
      </c>
      <c r="F129">
        <f t="shared" si="7"/>
        <v>196</v>
      </c>
      <c r="G129" s="5">
        <f t="shared" si="8"/>
        <v>0.26923076923076922</v>
      </c>
    </row>
    <row r="130" spans="1:7" ht="15.75" customHeight="1">
      <c r="A130" s="3">
        <v>21679</v>
      </c>
      <c r="B130" s="4">
        <v>30</v>
      </c>
      <c r="C130">
        <f t="shared" si="9"/>
        <v>52</v>
      </c>
      <c r="D130">
        <f t="shared" si="5"/>
        <v>-22</v>
      </c>
      <c r="E130">
        <f t="shared" si="6"/>
        <v>22</v>
      </c>
      <c r="F130">
        <f t="shared" si="7"/>
        <v>484</v>
      </c>
      <c r="G130" s="5">
        <f t="shared" si="8"/>
        <v>0.73333333333333328</v>
      </c>
    </row>
    <row r="131" spans="1:7" ht="15.75" customHeight="1">
      <c r="A131" s="3">
        <v>21680</v>
      </c>
      <c r="B131" s="4">
        <v>34</v>
      </c>
      <c r="C131">
        <f t="shared" si="9"/>
        <v>30</v>
      </c>
      <c r="D131">
        <f t="shared" si="5"/>
        <v>4</v>
      </c>
      <c r="E131">
        <f t="shared" si="6"/>
        <v>4</v>
      </c>
      <c r="F131">
        <f t="shared" si="7"/>
        <v>16</v>
      </c>
      <c r="G131" s="5">
        <f t="shared" si="8"/>
        <v>0.11764705882352941</v>
      </c>
    </row>
    <row r="132" spans="1:7" ht="15.75" customHeight="1">
      <c r="A132" s="3">
        <v>21681</v>
      </c>
      <c r="B132" s="4">
        <v>40</v>
      </c>
      <c r="C132">
        <f t="shared" si="9"/>
        <v>34</v>
      </c>
      <c r="D132">
        <f t="shared" ref="D132:D195" si="10">B132 - C132</f>
        <v>6</v>
      </c>
      <c r="E132">
        <f t="shared" ref="E132:E195" si="11">ABS(D132)</f>
        <v>6</v>
      </c>
      <c r="F132">
        <f t="shared" ref="F132:F195" si="12">E132^2</f>
        <v>36</v>
      </c>
      <c r="G132" s="5">
        <f t="shared" ref="G132:G195" si="13">E132/B132</f>
        <v>0.15</v>
      </c>
    </row>
    <row r="133" spans="1:7" ht="15.75" customHeight="1">
      <c r="A133" s="3">
        <v>21682</v>
      </c>
      <c r="B133" s="4">
        <v>35</v>
      </c>
      <c r="C133">
        <f t="shared" ref="C133:C196" si="14">B132</f>
        <v>40</v>
      </c>
      <c r="D133">
        <f t="shared" si="10"/>
        <v>-5</v>
      </c>
      <c r="E133">
        <f t="shared" si="11"/>
        <v>5</v>
      </c>
      <c r="F133">
        <f t="shared" si="12"/>
        <v>25</v>
      </c>
      <c r="G133" s="5">
        <f t="shared" si="13"/>
        <v>0.14285714285714285</v>
      </c>
    </row>
    <row r="134" spans="1:7" ht="15.75" customHeight="1">
      <c r="A134" s="3">
        <v>21683</v>
      </c>
      <c r="B134" s="4">
        <v>42</v>
      </c>
      <c r="C134">
        <f t="shared" si="14"/>
        <v>35</v>
      </c>
      <c r="D134">
        <f t="shared" si="10"/>
        <v>7</v>
      </c>
      <c r="E134">
        <f t="shared" si="11"/>
        <v>7</v>
      </c>
      <c r="F134">
        <f t="shared" si="12"/>
        <v>49</v>
      </c>
      <c r="G134" s="5">
        <f t="shared" si="13"/>
        <v>0.16666666666666666</v>
      </c>
    </row>
    <row r="135" spans="1:7" ht="15.75" customHeight="1">
      <c r="A135" s="3">
        <v>21684</v>
      </c>
      <c r="B135" s="4">
        <v>41</v>
      </c>
      <c r="C135">
        <f t="shared" si="14"/>
        <v>42</v>
      </c>
      <c r="D135">
        <f t="shared" si="10"/>
        <v>-1</v>
      </c>
      <c r="E135">
        <f t="shared" si="11"/>
        <v>1</v>
      </c>
      <c r="F135">
        <f t="shared" si="12"/>
        <v>1</v>
      </c>
      <c r="G135" s="5">
        <f t="shared" si="13"/>
        <v>2.4390243902439025E-2</v>
      </c>
    </row>
    <row r="136" spans="1:7" ht="15.75" customHeight="1">
      <c r="A136" s="3">
        <v>21685</v>
      </c>
      <c r="B136" s="4">
        <v>42</v>
      </c>
      <c r="C136">
        <f t="shared" si="14"/>
        <v>41</v>
      </c>
      <c r="D136">
        <f t="shared" si="10"/>
        <v>1</v>
      </c>
      <c r="E136">
        <f t="shared" si="11"/>
        <v>1</v>
      </c>
      <c r="F136">
        <f t="shared" si="12"/>
        <v>1</v>
      </c>
      <c r="G136" s="5">
        <f t="shared" si="13"/>
        <v>2.3809523809523808E-2</v>
      </c>
    </row>
    <row r="137" spans="1:7" ht="15.75" customHeight="1">
      <c r="A137" s="3">
        <v>21686</v>
      </c>
      <c r="B137" s="4">
        <v>38</v>
      </c>
      <c r="C137">
        <f t="shared" si="14"/>
        <v>42</v>
      </c>
      <c r="D137">
        <f t="shared" si="10"/>
        <v>-4</v>
      </c>
      <c r="E137">
        <f t="shared" si="11"/>
        <v>4</v>
      </c>
      <c r="F137">
        <f t="shared" si="12"/>
        <v>16</v>
      </c>
      <c r="G137" s="5">
        <f t="shared" si="13"/>
        <v>0.10526315789473684</v>
      </c>
    </row>
    <row r="138" spans="1:7" ht="15.75" customHeight="1">
      <c r="A138" s="3">
        <v>21687</v>
      </c>
      <c r="B138" s="4">
        <v>24</v>
      </c>
      <c r="C138">
        <f t="shared" si="14"/>
        <v>38</v>
      </c>
      <c r="D138">
        <f t="shared" si="10"/>
        <v>-14</v>
      </c>
      <c r="E138">
        <f t="shared" si="11"/>
        <v>14</v>
      </c>
      <c r="F138">
        <f t="shared" si="12"/>
        <v>196</v>
      </c>
      <c r="G138" s="5">
        <f t="shared" si="13"/>
        <v>0.58333333333333337</v>
      </c>
    </row>
    <row r="139" spans="1:7" ht="15.75" customHeight="1">
      <c r="A139" s="3">
        <v>21688</v>
      </c>
      <c r="B139" s="4">
        <v>34</v>
      </c>
      <c r="C139">
        <f t="shared" si="14"/>
        <v>24</v>
      </c>
      <c r="D139">
        <f t="shared" si="10"/>
        <v>10</v>
      </c>
      <c r="E139">
        <f t="shared" si="11"/>
        <v>10</v>
      </c>
      <c r="F139">
        <f t="shared" si="12"/>
        <v>100</v>
      </c>
      <c r="G139" s="5">
        <f t="shared" si="13"/>
        <v>0.29411764705882354</v>
      </c>
    </row>
    <row r="140" spans="1:7" ht="15.75" customHeight="1">
      <c r="A140" s="3">
        <v>21689</v>
      </c>
      <c r="B140" s="4">
        <v>43</v>
      </c>
      <c r="C140">
        <f t="shared" si="14"/>
        <v>34</v>
      </c>
      <c r="D140">
        <f t="shared" si="10"/>
        <v>9</v>
      </c>
      <c r="E140">
        <f t="shared" si="11"/>
        <v>9</v>
      </c>
      <c r="F140">
        <f t="shared" si="12"/>
        <v>81</v>
      </c>
      <c r="G140" s="5">
        <f t="shared" si="13"/>
        <v>0.20930232558139536</v>
      </c>
    </row>
    <row r="141" spans="1:7" ht="15.75" customHeight="1">
      <c r="A141" s="3">
        <v>21690</v>
      </c>
      <c r="B141" s="4">
        <v>36</v>
      </c>
      <c r="C141">
        <f t="shared" si="14"/>
        <v>43</v>
      </c>
      <c r="D141">
        <f t="shared" si="10"/>
        <v>-7</v>
      </c>
      <c r="E141">
        <f t="shared" si="11"/>
        <v>7</v>
      </c>
      <c r="F141">
        <f t="shared" si="12"/>
        <v>49</v>
      </c>
      <c r="G141" s="5">
        <f t="shared" si="13"/>
        <v>0.19444444444444445</v>
      </c>
    </row>
    <row r="142" spans="1:7" ht="15.75" customHeight="1">
      <c r="A142" s="3">
        <v>21691</v>
      </c>
      <c r="B142" s="4">
        <v>55</v>
      </c>
      <c r="C142">
        <f t="shared" si="14"/>
        <v>36</v>
      </c>
      <c r="D142">
        <f t="shared" si="10"/>
        <v>19</v>
      </c>
      <c r="E142">
        <f t="shared" si="11"/>
        <v>19</v>
      </c>
      <c r="F142">
        <f t="shared" si="12"/>
        <v>361</v>
      </c>
      <c r="G142" s="5">
        <f t="shared" si="13"/>
        <v>0.34545454545454546</v>
      </c>
    </row>
    <row r="143" spans="1:7" ht="15.75" customHeight="1">
      <c r="A143" s="3">
        <v>21692</v>
      </c>
      <c r="B143" s="4">
        <v>41</v>
      </c>
      <c r="C143">
        <f t="shared" si="14"/>
        <v>55</v>
      </c>
      <c r="D143">
        <f t="shared" si="10"/>
        <v>-14</v>
      </c>
      <c r="E143">
        <f t="shared" si="11"/>
        <v>14</v>
      </c>
      <c r="F143">
        <f t="shared" si="12"/>
        <v>196</v>
      </c>
      <c r="G143" s="5">
        <f t="shared" si="13"/>
        <v>0.34146341463414637</v>
      </c>
    </row>
    <row r="144" spans="1:7" ht="15.75" customHeight="1">
      <c r="A144" s="3">
        <v>21693</v>
      </c>
      <c r="B144" s="4">
        <v>45</v>
      </c>
      <c r="C144">
        <f t="shared" si="14"/>
        <v>41</v>
      </c>
      <c r="D144">
        <f t="shared" si="10"/>
        <v>4</v>
      </c>
      <c r="E144">
        <f t="shared" si="11"/>
        <v>4</v>
      </c>
      <c r="F144">
        <f t="shared" si="12"/>
        <v>16</v>
      </c>
      <c r="G144" s="5">
        <f t="shared" si="13"/>
        <v>8.8888888888888892E-2</v>
      </c>
    </row>
    <row r="145" spans="1:7" ht="15.75" customHeight="1">
      <c r="A145" s="3">
        <v>21694</v>
      </c>
      <c r="B145" s="4">
        <v>41</v>
      </c>
      <c r="C145">
        <f t="shared" si="14"/>
        <v>45</v>
      </c>
      <c r="D145">
        <f t="shared" si="10"/>
        <v>-4</v>
      </c>
      <c r="E145">
        <f t="shared" si="11"/>
        <v>4</v>
      </c>
      <c r="F145">
        <f t="shared" si="12"/>
        <v>16</v>
      </c>
      <c r="G145" s="5">
        <f t="shared" si="13"/>
        <v>9.7560975609756101E-2</v>
      </c>
    </row>
    <row r="146" spans="1:7" ht="15.75" customHeight="1">
      <c r="A146" s="3">
        <v>21695</v>
      </c>
      <c r="B146" s="4">
        <v>37</v>
      </c>
      <c r="C146">
        <f t="shared" si="14"/>
        <v>41</v>
      </c>
      <c r="D146">
        <f t="shared" si="10"/>
        <v>-4</v>
      </c>
      <c r="E146">
        <f t="shared" si="11"/>
        <v>4</v>
      </c>
      <c r="F146">
        <f t="shared" si="12"/>
        <v>16</v>
      </c>
      <c r="G146" s="5">
        <f t="shared" si="13"/>
        <v>0.10810810810810811</v>
      </c>
    </row>
    <row r="147" spans="1:7" ht="15.75" customHeight="1">
      <c r="A147" s="3">
        <v>21696</v>
      </c>
      <c r="B147" s="4">
        <v>43</v>
      </c>
      <c r="C147">
        <f t="shared" si="14"/>
        <v>37</v>
      </c>
      <c r="D147">
        <f t="shared" si="10"/>
        <v>6</v>
      </c>
      <c r="E147">
        <f t="shared" si="11"/>
        <v>6</v>
      </c>
      <c r="F147">
        <f t="shared" si="12"/>
        <v>36</v>
      </c>
      <c r="G147" s="5">
        <f t="shared" si="13"/>
        <v>0.13953488372093023</v>
      </c>
    </row>
    <row r="148" spans="1:7" ht="15.75" customHeight="1">
      <c r="A148" s="3">
        <v>21697</v>
      </c>
      <c r="B148" s="4">
        <v>39</v>
      </c>
      <c r="C148">
        <f t="shared" si="14"/>
        <v>43</v>
      </c>
      <c r="D148">
        <f t="shared" si="10"/>
        <v>-4</v>
      </c>
      <c r="E148">
        <f t="shared" si="11"/>
        <v>4</v>
      </c>
      <c r="F148">
        <f t="shared" si="12"/>
        <v>16</v>
      </c>
      <c r="G148" s="5">
        <f t="shared" si="13"/>
        <v>0.10256410256410256</v>
      </c>
    </row>
    <row r="149" spans="1:7" ht="15.75" customHeight="1">
      <c r="A149" s="3">
        <v>21698</v>
      </c>
      <c r="B149" s="4">
        <v>33</v>
      </c>
      <c r="C149">
        <f t="shared" si="14"/>
        <v>39</v>
      </c>
      <c r="D149">
        <f t="shared" si="10"/>
        <v>-6</v>
      </c>
      <c r="E149">
        <f t="shared" si="11"/>
        <v>6</v>
      </c>
      <c r="F149">
        <f t="shared" si="12"/>
        <v>36</v>
      </c>
      <c r="G149" s="5">
        <f t="shared" si="13"/>
        <v>0.18181818181818182</v>
      </c>
    </row>
    <row r="150" spans="1:7" ht="15.75" customHeight="1">
      <c r="A150" s="3">
        <v>21699</v>
      </c>
      <c r="B150" s="4">
        <v>43</v>
      </c>
      <c r="C150">
        <f t="shared" si="14"/>
        <v>33</v>
      </c>
      <c r="D150">
        <f t="shared" si="10"/>
        <v>10</v>
      </c>
      <c r="E150">
        <f t="shared" si="11"/>
        <v>10</v>
      </c>
      <c r="F150">
        <f t="shared" si="12"/>
        <v>100</v>
      </c>
      <c r="G150" s="5">
        <f t="shared" si="13"/>
        <v>0.23255813953488372</v>
      </c>
    </row>
    <row r="151" spans="1:7" ht="15.75" customHeight="1">
      <c r="A151" s="3">
        <v>21700</v>
      </c>
      <c r="B151" s="4">
        <v>40</v>
      </c>
      <c r="C151">
        <f t="shared" si="14"/>
        <v>43</v>
      </c>
      <c r="D151">
        <f t="shared" si="10"/>
        <v>-3</v>
      </c>
      <c r="E151">
        <f t="shared" si="11"/>
        <v>3</v>
      </c>
      <c r="F151">
        <f t="shared" si="12"/>
        <v>9</v>
      </c>
      <c r="G151" s="5">
        <f t="shared" si="13"/>
        <v>7.4999999999999997E-2</v>
      </c>
    </row>
    <row r="152" spans="1:7" ht="15.75" customHeight="1">
      <c r="A152" s="3">
        <v>21701</v>
      </c>
      <c r="B152" s="4">
        <v>38</v>
      </c>
      <c r="C152">
        <f t="shared" si="14"/>
        <v>40</v>
      </c>
      <c r="D152">
        <f t="shared" si="10"/>
        <v>-2</v>
      </c>
      <c r="E152">
        <f t="shared" si="11"/>
        <v>2</v>
      </c>
      <c r="F152">
        <f t="shared" si="12"/>
        <v>4</v>
      </c>
      <c r="G152" s="5">
        <f t="shared" si="13"/>
        <v>5.2631578947368418E-2</v>
      </c>
    </row>
    <row r="153" spans="1:7" ht="15.75" customHeight="1">
      <c r="A153" s="3">
        <v>21702</v>
      </c>
      <c r="B153" s="4">
        <v>45</v>
      </c>
      <c r="C153">
        <f t="shared" si="14"/>
        <v>38</v>
      </c>
      <c r="D153">
        <f t="shared" si="10"/>
        <v>7</v>
      </c>
      <c r="E153">
        <f t="shared" si="11"/>
        <v>7</v>
      </c>
      <c r="F153">
        <f t="shared" si="12"/>
        <v>49</v>
      </c>
      <c r="G153" s="5">
        <f t="shared" si="13"/>
        <v>0.15555555555555556</v>
      </c>
    </row>
    <row r="154" spans="1:7" ht="15.75" customHeight="1">
      <c r="A154" s="3">
        <v>21703</v>
      </c>
      <c r="B154" s="4">
        <v>46</v>
      </c>
      <c r="C154">
        <f t="shared" si="14"/>
        <v>45</v>
      </c>
      <c r="D154">
        <f t="shared" si="10"/>
        <v>1</v>
      </c>
      <c r="E154">
        <f t="shared" si="11"/>
        <v>1</v>
      </c>
      <c r="F154">
        <f t="shared" si="12"/>
        <v>1</v>
      </c>
      <c r="G154" s="5">
        <f t="shared" si="13"/>
        <v>2.1739130434782608E-2</v>
      </c>
    </row>
    <row r="155" spans="1:7" ht="15.75" customHeight="1">
      <c r="A155" s="3">
        <v>21704</v>
      </c>
      <c r="B155" s="4">
        <v>34</v>
      </c>
      <c r="C155">
        <f t="shared" si="14"/>
        <v>46</v>
      </c>
      <c r="D155">
        <f t="shared" si="10"/>
        <v>-12</v>
      </c>
      <c r="E155">
        <f t="shared" si="11"/>
        <v>12</v>
      </c>
      <c r="F155">
        <f t="shared" si="12"/>
        <v>144</v>
      </c>
      <c r="G155" s="5">
        <f t="shared" si="13"/>
        <v>0.35294117647058826</v>
      </c>
    </row>
    <row r="156" spans="1:7" ht="15.75" customHeight="1">
      <c r="A156" s="3">
        <v>21705</v>
      </c>
      <c r="B156" s="4">
        <v>35</v>
      </c>
      <c r="C156">
        <f t="shared" si="14"/>
        <v>34</v>
      </c>
      <c r="D156">
        <f t="shared" si="10"/>
        <v>1</v>
      </c>
      <c r="E156">
        <f t="shared" si="11"/>
        <v>1</v>
      </c>
      <c r="F156">
        <f t="shared" si="12"/>
        <v>1</v>
      </c>
      <c r="G156" s="5">
        <f t="shared" si="13"/>
        <v>2.8571428571428571E-2</v>
      </c>
    </row>
    <row r="157" spans="1:7" ht="15.75" customHeight="1">
      <c r="A157" s="3">
        <v>21706</v>
      </c>
      <c r="B157" s="4">
        <v>48</v>
      </c>
      <c r="C157">
        <f t="shared" si="14"/>
        <v>35</v>
      </c>
      <c r="D157">
        <f t="shared" si="10"/>
        <v>13</v>
      </c>
      <c r="E157">
        <f t="shared" si="11"/>
        <v>13</v>
      </c>
      <c r="F157">
        <f t="shared" si="12"/>
        <v>169</v>
      </c>
      <c r="G157" s="5">
        <f t="shared" si="13"/>
        <v>0.27083333333333331</v>
      </c>
    </row>
    <row r="158" spans="1:7" ht="15.75" customHeight="1">
      <c r="A158" s="3">
        <v>21707</v>
      </c>
      <c r="B158" s="4">
        <v>51</v>
      </c>
      <c r="C158">
        <f t="shared" si="14"/>
        <v>48</v>
      </c>
      <c r="D158">
        <f t="shared" si="10"/>
        <v>3</v>
      </c>
      <c r="E158">
        <f t="shared" si="11"/>
        <v>3</v>
      </c>
      <c r="F158">
        <f t="shared" si="12"/>
        <v>9</v>
      </c>
      <c r="G158" s="5">
        <f t="shared" si="13"/>
        <v>5.8823529411764705E-2</v>
      </c>
    </row>
    <row r="159" spans="1:7" ht="15.75" customHeight="1">
      <c r="A159" s="3">
        <v>21708</v>
      </c>
      <c r="B159" s="4">
        <v>36</v>
      </c>
      <c r="C159">
        <f t="shared" si="14"/>
        <v>51</v>
      </c>
      <c r="D159">
        <f t="shared" si="10"/>
        <v>-15</v>
      </c>
      <c r="E159">
        <f t="shared" si="11"/>
        <v>15</v>
      </c>
      <c r="F159">
        <f t="shared" si="12"/>
        <v>225</v>
      </c>
      <c r="G159" s="5">
        <f t="shared" si="13"/>
        <v>0.41666666666666669</v>
      </c>
    </row>
    <row r="160" spans="1:7" ht="15.75" customHeight="1">
      <c r="A160" s="3">
        <v>21709</v>
      </c>
      <c r="B160" s="4">
        <v>33</v>
      </c>
      <c r="C160">
        <f t="shared" si="14"/>
        <v>36</v>
      </c>
      <c r="D160">
        <f t="shared" si="10"/>
        <v>-3</v>
      </c>
      <c r="E160">
        <f t="shared" si="11"/>
        <v>3</v>
      </c>
      <c r="F160">
        <f t="shared" si="12"/>
        <v>9</v>
      </c>
      <c r="G160" s="5">
        <f t="shared" si="13"/>
        <v>9.0909090909090912E-2</v>
      </c>
    </row>
    <row r="161" spans="1:7" ht="15.75" customHeight="1">
      <c r="A161" s="3">
        <v>21710</v>
      </c>
      <c r="B161" s="4">
        <v>46</v>
      </c>
      <c r="C161">
        <f t="shared" si="14"/>
        <v>33</v>
      </c>
      <c r="D161">
        <f t="shared" si="10"/>
        <v>13</v>
      </c>
      <c r="E161">
        <f t="shared" si="11"/>
        <v>13</v>
      </c>
      <c r="F161">
        <f t="shared" si="12"/>
        <v>169</v>
      </c>
      <c r="G161" s="5">
        <f t="shared" si="13"/>
        <v>0.28260869565217389</v>
      </c>
    </row>
    <row r="162" spans="1:7" ht="15.75" customHeight="1">
      <c r="A162" s="3">
        <v>21711</v>
      </c>
      <c r="B162" s="4">
        <v>42</v>
      </c>
      <c r="C162">
        <f t="shared" si="14"/>
        <v>46</v>
      </c>
      <c r="D162">
        <f t="shared" si="10"/>
        <v>-4</v>
      </c>
      <c r="E162">
        <f t="shared" si="11"/>
        <v>4</v>
      </c>
      <c r="F162">
        <f t="shared" si="12"/>
        <v>16</v>
      </c>
      <c r="G162" s="5">
        <f t="shared" si="13"/>
        <v>9.5238095238095233E-2</v>
      </c>
    </row>
    <row r="163" spans="1:7" ht="15.75" customHeight="1">
      <c r="A163" s="3">
        <v>21712</v>
      </c>
      <c r="B163" s="4">
        <v>48</v>
      </c>
      <c r="C163">
        <f t="shared" si="14"/>
        <v>42</v>
      </c>
      <c r="D163">
        <f t="shared" si="10"/>
        <v>6</v>
      </c>
      <c r="E163">
        <f t="shared" si="11"/>
        <v>6</v>
      </c>
      <c r="F163">
        <f t="shared" si="12"/>
        <v>36</v>
      </c>
      <c r="G163" s="5">
        <f t="shared" si="13"/>
        <v>0.125</v>
      </c>
    </row>
    <row r="164" spans="1:7" ht="15.75" customHeight="1">
      <c r="A164" s="3">
        <v>21713</v>
      </c>
      <c r="B164" s="4">
        <v>34</v>
      </c>
      <c r="C164">
        <f t="shared" si="14"/>
        <v>48</v>
      </c>
      <c r="D164">
        <f t="shared" si="10"/>
        <v>-14</v>
      </c>
      <c r="E164">
        <f t="shared" si="11"/>
        <v>14</v>
      </c>
      <c r="F164">
        <f t="shared" si="12"/>
        <v>196</v>
      </c>
      <c r="G164" s="5">
        <f t="shared" si="13"/>
        <v>0.41176470588235292</v>
      </c>
    </row>
    <row r="165" spans="1:7" ht="15.75" customHeight="1">
      <c r="A165" s="3">
        <v>21714</v>
      </c>
      <c r="B165" s="4">
        <v>41</v>
      </c>
      <c r="C165">
        <f t="shared" si="14"/>
        <v>34</v>
      </c>
      <c r="D165">
        <f t="shared" si="10"/>
        <v>7</v>
      </c>
      <c r="E165">
        <f t="shared" si="11"/>
        <v>7</v>
      </c>
      <c r="F165">
        <f t="shared" si="12"/>
        <v>49</v>
      </c>
      <c r="G165" s="5">
        <f t="shared" si="13"/>
        <v>0.17073170731707318</v>
      </c>
    </row>
    <row r="166" spans="1:7" ht="15.75" customHeight="1">
      <c r="A166" s="3">
        <v>21715</v>
      </c>
      <c r="B166" s="4">
        <v>35</v>
      </c>
      <c r="C166">
        <f t="shared" si="14"/>
        <v>41</v>
      </c>
      <c r="D166">
        <f t="shared" si="10"/>
        <v>-6</v>
      </c>
      <c r="E166">
        <f t="shared" si="11"/>
        <v>6</v>
      </c>
      <c r="F166">
        <f t="shared" si="12"/>
        <v>36</v>
      </c>
      <c r="G166" s="5">
        <f t="shared" si="13"/>
        <v>0.17142857142857143</v>
      </c>
    </row>
    <row r="167" spans="1:7" ht="15.75" customHeight="1">
      <c r="A167" s="3">
        <v>21716</v>
      </c>
      <c r="B167" s="4">
        <v>40</v>
      </c>
      <c r="C167">
        <f t="shared" si="14"/>
        <v>35</v>
      </c>
      <c r="D167">
        <f t="shared" si="10"/>
        <v>5</v>
      </c>
      <c r="E167">
        <f t="shared" si="11"/>
        <v>5</v>
      </c>
      <c r="F167">
        <f t="shared" si="12"/>
        <v>25</v>
      </c>
      <c r="G167" s="5">
        <f t="shared" si="13"/>
        <v>0.125</v>
      </c>
    </row>
    <row r="168" spans="1:7" ht="15.75" customHeight="1">
      <c r="A168" s="3">
        <v>21717</v>
      </c>
      <c r="B168" s="4">
        <v>34</v>
      </c>
      <c r="C168">
        <f t="shared" si="14"/>
        <v>40</v>
      </c>
      <c r="D168">
        <f t="shared" si="10"/>
        <v>-6</v>
      </c>
      <c r="E168">
        <f t="shared" si="11"/>
        <v>6</v>
      </c>
      <c r="F168">
        <f t="shared" si="12"/>
        <v>36</v>
      </c>
      <c r="G168" s="5">
        <f t="shared" si="13"/>
        <v>0.17647058823529413</v>
      </c>
    </row>
    <row r="169" spans="1:7" ht="15.75" customHeight="1">
      <c r="A169" s="3">
        <v>21718</v>
      </c>
      <c r="B169" s="4">
        <v>30</v>
      </c>
      <c r="C169">
        <f t="shared" si="14"/>
        <v>34</v>
      </c>
      <c r="D169">
        <f t="shared" si="10"/>
        <v>-4</v>
      </c>
      <c r="E169">
        <f t="shared" si="11"/>
        <v>4</v>
      </c>
      <c r="F169">
        <f t="shared" si="12"/>
        <v>16</v>
      </c>
      <c r="G169" s="5">
        <f t="shared" si="13"/>
        <v>0.13333333333333333</v>
      </c>
    </row>
    <row r="170" spans="1:7" ht="15.75" customHeight="1">
      <c r="A170" s="3">
        <v>21719</v>
      </c>
      <c r="B170" s="4">
        <v>36</v>
      </c>
      <c r="C170">
        <f t="shared" si="14"/>
        <v>30</v>
      </c>
      <c r="D170">
        <f t="shared" si="10"/>
        <v>6</v>
      </c>
      <c r="E170">
        <f t="shared" si="11"/>
        <v>6</v>
      </c>
      <c r="F170">
        <f t="shared" si="12"/>
        <v>36</v>
      </c>
      <c r="G170" s="5">
        <f t="shared" si="13"/>
        <v>0.16666666666666666</v>
      </c>
    </row>
    <row r="171" spans="1:7" ht="15.75" customHeight="1">
      <c r="A171" s="3">
        <v>21720</v>
      </c>
      <c r="B171" s="4">
        <v>40</v>
      </c>
      <c r="C171">
        <f t="shared" si="14"/>
        <v>36</v>
      </c>
      <c r="D171">
        <f t="shared" si="10"/>
        <v>4</v>
      </c>
      <c r="E171">
        <f t="shared" si="11"/>
        <v>4</v>
      </c>
      <c r="F171">
        <f t="shared" si="12"/>
        <v>16</v>
      </c>
      <c r="G171" s="5">
        <f t="shared" si="13"/>
        <v>0.1</v>
      </c>
    </row>
    <row r="172" spans="1:7" ht="15.75" customHeight="1">
      <c r="A172" s="3">
        <v>21721</v>
      </c>
      <c r="B172" s="4">
        <v>39</v>
      </c>
      <c r="C172">
        <f t="shared" si="14"/>
        <v>40</v>
      </c>
      <c r="D172">
        <f t="shared" si="10"/>
        <v>-1</v>
      </c>
      <c r="E172">
        <f t="shared" si="11"/>
        <v>1</v>
      </c>
      <c r="F172">
        <f t="shared" si="12"/>
        <v>1</v>
      </c>
      <c r="G172" s="5">
        <f t="shared" si="13"/>
        <v>2.564102564102564E-2</v>
      </c>
    </row>
    <row r="173" spans="1:7" ht="15.75" customHeight="1">
      <c r="A173" s="3">
        <v>21722</v>
      </c>
      <c r="B173" s="4">
        <v>45</v>
      </c>
      <c r="C173">
        <f t="shared" si="14"/>
        <v>39</v>
      </c>
      <c r="D173">
        <f t="shared" si="10"/>
        <v>6</v>
      </c>
      <c r="E173">
        <f t="shared" si="11"/>
        <v>6</v>
      </c>
      <c r="F173">
        <f t="shared" si="12"/>
        <v>36</v>
      </c>
      <c r="G173" s="5">
        <f t="shared" si="13"/>
        <v>0.13333333333333333</v>
      </c>
    </row>
    <row r="174" spans="1:7" ht="15.75" customHeight="1">
      <c r="A174" s="3">
        <v>21723</v>
      </c>
      <c r="B174" s="4">
        <v>38</v>
      </c>
      <c r="C174">
        <f t="shared" si="14"/>
        <v>45</v>
      </c>
      <c r="D174">
        <f t="shared" si="10"/>
        <v>-7</v>
      </c>
      <c r="E174">
        <f t="shared" si="11"/>
        <v>7</v>
      </c>
      <c r="F174">
        <f t="shared" si="12"/>
        <v>49</v>
      </c>
      <c r="G174" s="5">
        <f t="shared" si="13"/>
        <v>0.18421052631578946</v>
      </c>
    </row>
    <row r="175" spans="1:7" ht="15.75" customHeight="1">
      <c r="A175" s="3">
        <v>21724</v>
      </c>
      <c r="B175" s="4">
        <v>47</v>
      </c>
      <c r="C175">
        <f t="shared" si="14"/>
        <v>38</v>
      </c>
      <c r="D175">
        <f t="shared" si="10"/>
        <v>9</v>
      </c>
      <c r="E175">
        <f t="shared" si="11"/>
        <v>9</v>
      </c>
      <c r="F175">
        <f t="shared" si="12"/>
        <v>81</v>
      </c>
      <c r="G175" s="5">
        <f t="shared" si="13"/>
        <v>0.19148936170212766</v>
      </c>
    </row>
    <row r="176" spans="1:7" ht="15.75" customHeight="1">
      <c r="A176" s="3">
        <v>21725</v>
      </c>
      <c r="B176" s="4">
        <v>33</v>
      </c>
      <c r="C176">
        <f t="shared" si="14"/>
        <v>47</v>
      </c>
      <c r="D176">
        <f t="shared" si="10"/>
        <v>-14</v>
      </c>
      <c r="E176">
        <f t="shared" si="11"/>
        <v>14</v>
      </c>
      <c r="F176">
        <f t="shared" si="12"/>
        <v>196</v>
      </c>
      <c r="G176" s="5">
        <f t="shared" si="13"/>
        <v>0.42424242424242425</v>
      </c>
    </row>
    <row r="177" spans="1:7" ht="15.75" customHeight="1">
      <c r="A177" s="3">
        <v>21726</v>
      </c>
      <c r="B177" s="4">
        <v>30</v>
      </c>
      <c r="C177">
        <f t="shared" si="14"/>
        <v>33</v>
      </c>
      <c r="D177">
        <f t="shared" si="10"/>
        <v>-3</v>
      </c>
      <c r="E177">
        <f t="shared" si="11"/>
        <v>3</v>
      </c>
      <c r="F177">
        <f t="shared" si="12"/>
        <v>9</v>
      </c>
      <c r="G177" s="5">
        <f t="shared" si="13"/>
        <v>0.1</v>
      </c>
    </row>
    <row r="178" spans="1:7" ht="15.75" customHeight="1">
      <c r="A178" s="3">
        <v>21727</v>
      </c>
      <c r="B178" s="4">
        <v>42</v>
      </c>
      <c r="C178">
        <f t="shared" si="14"/>
        <v>30</v>
      </c>
      <c r="D178">
        <f t="shared" si="10"/>
        <v>12</v>
      </c>
      <c r="E178">
        <f t="shared" si="11"/>
        <v>12</v>
      </c>
      <c r="F178">
        <f t="shared" si="12"/>
        <v>144</v>
      </c>
      <c r="G178" s="5">
        <f t="shared" si="13"/>
        <v>0.2857142857142857</v>
      </c>
    </row>
    <row r="179" spans="1:7" ht="15.75" customHeight="1">
      <c r="A179" s="3">
        <v>21728</v>
      </c>
      <c r="B179" s="4">
        <v>43</v>
      </c>
      <c r="C179">
        <f t="shared" si="14"/>
        <v>42</v>
      </c>
      <c r="D179">
        <f t="shared" si="10"/>
        <v>1</v>
      </c>
      <c r="E179">
        <f t="shared" si="11"/>
        <v>1</v>
      </c>
      <c r="F179">
        <f t="shared" si="12"/>
        <v>1</v>
      </c>
      <c r="G179" s="5">
        <f t="shared" si="13"/>
        <v>2.3255813953488372E-2</v>
      </c>
    </row>
    <row r="180" spans="1:7" ht="15.75" customHeight="1">
      <c r="A180" s="3">
        <v>21729</v>
      </c>
      <c r="B180" s="4">
        <v>41</v>
      </c>
      <c r="C180">
        <f t="shared" si="14"/>
        <v>43</v>
      </c>
      <c r="D180">
        <f t="shared" si="10"/>
        <v>-2</v>
      </c>
      <c r="E180">
        <f t="shared" si="11"/>
        <v>2</v>
      </c>
      <c r="F180">
        <f t="shared" si="12"/>
        <v>4</v>
      </c>
      <c r="G180" s="5">
        <f t="shared" si="13"/>
        <v>4.878048780487805E-2</v>
      </c>
    </row>
    <row r="181" spans="1:7" ht="15.75" customHeight="1">
      <c r="A181" s="3">
        <v>21730</v>
      </c>
      <c r="B181" s="4">
        <v>41</v>
      </c>
      <c r="C181">
        <f t="shared" si="14"/>
        <v>41</v>
      </c>
      <c r="D181">
        <f t="shared" si="10"/>
        <v>0</v>
      </c>
      <c r="E181">
        <f t="shared" si="11"/>
        <v>0</v>
      </c>
      <c r="F181">
        <f t="shared" si="12"/>
        <v>0</v>
      </c>
      <c r="G181" s="5">
        <f t="shared" si="13"/>
        <v>0</v>
      </c>
    </row>
    <row r="182" spans="1:7" ht="15.75" customHeight="1">
      <c r="A182" s="3">
        <v>21731</v>
      </c>
      <c r="B182" s="4">
        <v>59</v>
      </c>
      <c r="C182">
        <f t="shared" si="14"/>
        <v>41</v>
      </c>
      <c r="D182">
        <f t="shared" si="10"/>
        <v>18</v>
      </c>
      <c r="E182">
        <f t="shared" si="11"/>
        <v>18</v>
      </c>
      <c r="F182">
        <f t="shared" si="12"/>
        <v>324</v>
      </c>
      <c r="G182" s="5">
        <f t="shared" si="13"/>
        <v>0.30508474576271188</v>
      </c>
    </row>
    <row r="183" spans="1:7" ht="15.75" customHeight="1">
      <c r="A183" s="3">
        <v>21732</v>
      </c>
      <c r="B183" s="4">
        <v>43</v>
      </c>
      <c r="C183">
        <f t="shared" si="14"/>
        <v>59</v>
      </c>
      <c r="D183">
        <f t="shared" si="10"/>
        <v>-16</v>
      </c>
      <c r="E183">
        <f t="shared" si="11"/>
        <v>16</v>
      </c>
      <c r="F183">
        <f t="shared" si="12"/>
        <v>256</v>
      </c>
      <c r="G183" s="5">
        <f t="shared" si="13"/>
        <v>0.37209302325581395</v>
      </c>
    </row>
    <row r="184" spans="1:7" ht="15.75" customHeight="1">
      <c r="A184" s="3">
        <v>21733</v>
      </c>
      <c r="B184" s="4">
        <v>45</v>
      </c>
      <c r="C184">
        <f t="shared" si="14"/>
        <v>43</v>
      </c>
      <c r="D184">
        <f t="shared" si="10"/>
        <v>2</v>
      </c>
      <c r="E184">
        <f t="shared" si="11"/>
        <v>2</v>
      </c>
      <c r="F184">
        <f t="shared" si="12"/>
        <v>4</v>
      </c>
      <c r="G184" s="5">
        <f t="shared" si="13"/>
        <v>4.4444444444444446E-2</v>
      </c>
    </row>
    <row r="185" spans="1:7" ht="15.75" customHeight="1">
      <c r="A185" s="3">
        <v>21734</v>
      </c>
      <c r="B185" s="4">
        <v>38</v>
      </c>
      <c r="C185">
        <f t="shared" si="14"/>
        <v>45</v>
      </c>
      <c r="D185">
        <f t="shared" si="10"/>
        <v>-7</v>
      </c>
      <c r="E185">
        <f t="shared" si="11"/>
        <v>7</v>
      </c>
      <c r="F185">
        <f t="shared" si="12"/>
        <v>49</v>
      </c>
      <c r="G185" s="5">
        <f t="shared" si="13"/>
        <v>0.18421052631578946</v>
      </c>
    </row>
    <row r="186" spans="1:7" ht="15.75" customHeight="1">
      <c r="A186" s="3">
        <v>21735</v>
      </c>
      <c r="B186" s="4">
        <v>37</v>
      </c>
      <c r="C186">
        <f t="shared" si="14"/>
        <v>38</v>
      </c>
      <c r="D186">
        <f t="shared" si="10"/>
        <v>-1</v>
      </c>
      <c r="E186">
        <f t="shared" si="11"/>
        <v>1</v>
      </c>
      <c r="F186">
        <f t="shared" si="12"/>
        <v>1</v>
      </c>
      <c r="G186" s="5">
        <f t="shared" si="13"/>
        <v>2.7027027027027029E-2</v>
      </c>
    </row>
    <row r="187" spans="1:7" ht="15.75" customHeight="1">
      <c r="A187" s="3">
        <v>21736</v>
      </c>
      <c r="B187" s="4">
        <v>45</v>
      </c>
      <c r="C187">
        <f t="shared" si="14"/>
        <v>37</v>
      </c>
      <c r="D187">
        <f t="shared" si="10"/>
        <v>8</v>
      </c>
      <c r="E187">
        <f t="shared" si="11"/>
        <v>8</v>
      </c>
      <c r="F187">
        <f t="shared" si="12"/>
        <v>64</v>
      </c>
      <c r="G187" s="5">
        <f t="shared" si="13"/>
        <v>0.17777777777777778</v>
      </c>
    </row>
    <row r="188" spans="1:7" ht="15.75" customHeight="1">
      <c r="A188" s="3">
        <v>21737</v>
      </c>
      <c r="B188" s="4">
        <v>42</v>
      </c>
      <c r="C188">
        <f t="shared" si="14"/>
        <v>45</v>
      </c>
      <c r="D188">
        <f t="shared" si="10"/>
        <v>-3</v>
      </c>
      <c r="E188">
        <f t="shared" si="11"/>
        <v>3</v>
      </c>
      <c r="F188">
        <f t="shared" si="12"/>
        <v>9</v>
      </c>
      <c r="G188" s="5">
        <f t="shared" si="13"/>
        <v>7.1428571428571425E-2</v>
      </c>
    </row>
    <row r="189" spans="1:7" ht="15.75" customHeight="1">
      <c r="A189" s="3">
        <v>21738</v>
      </c>
      <c r="B189" s="4">
        <v>57</v>
      </c>
      <c r="C189">
        <f t="shared" si="14"/>
        <v>42</v>
      </c>
      <c r="D189">
        <f t="shared" si="10"/>
        <v>15</v>
      </c>
      <c r="E189">
        <f t="shared" si="11"/>
        <v>15</v>
      </c>
      <c r="F189">
        <f t="shared" si="12"/>
        <v>225</v>
      </c>
      <c r="G189" s="5">
        <f t="shared" si="13"/>
        <v>0.26315789473684209</v>
      </c>
    </row>
    <row r="190" spans="1:7" ht="15.75" customHeight="1">
      <c r="A190" s="3">
        <v>21739</v>
      </c>
      <c r="B190" s="4">
        <v>46</v>
      </c>
      <c r="C190">
        <f t="shared" si="14"/>
        <v>57</v>
      </c>
      <c r="D190">
        <f t="shared" si="10"/>
        <v>-11</v>
      </c>
      <c r="E190">
        <f t="shared" si="11"/>
        <v>11</v>
      </c>
      <c r="F190">
        <f t="shared" si="12"/>
        <v>121</v>
      </c>
      <c r="G190" s="5">
        <f t="shared" si="13"/>
        <v>0.2391304347826087</v>
      </c>
    </row>
    <row r="191" spans="1:7" ht="15.75" customHeight="1">
      <c r="A191" s="3">
        <v>21740</v>
      </c>
      <c r="B191" s="4">
        <v>51</v>
      </c>
      <c r="C191">
        <f t="shared" si="14"/>
        <v>46</v>
      </c>
      <c r="D191">
        <f t="shared" si="10"/>
        <v>5</v>
      </c>
      <c r="E191">
        <f t="shared" si="11"/>
        <v>5</v>
      </c>
      <c r="F191">
        <f t="shared" si="12"/>
        <v>25</v>
      </c>
      <c r="G191" s="5">
        <f t="shared" si="13"/>
        <v>9.8039215686274508E-2</v>
      </c>
    </row>
    <row r="192" spans="1:7" ht="15.75" customHeight="1">
      <c r="A192" s="3">
        <v>21741</v>
      </c>
      <c r="B192" s="4">
        <v>41</v>
      </c>
      <c r="C192">
        <f t="shared" si="14"/>
        <v>51</v>
      </c>
      <c r="D192">
        <f t="shared" si="10"/>
        <v>-10</v>
      </c>
      <c r="E192">
        <f t="shared" si="11"/>
        <v>10</v>
      </c>
      <c r="F192">
        <f t="shared" si="12"/>
        <v>100</v>
      </c>
      <c r="G192" s="5">
        <f t="shared" si="13"/>
        <v>0.24390243902439024</v>
      </c>
    </row>
    <row r="193" spans="1:7" ht="15.75" customHeight="1">
      <c r="A193" s="3">
        <v>21742</v>
      </c>
      <c r="B193" s="4">
        <v>47</v>
      </c>
      <c r="C193">
        <f t="shared" si="14"/>
        <v>41</v>
      </c>
      <c r="D193">
        <f t="shared" si="10"/>
        <v>6</v>
      </c>
      <c r="E193">
        <f t="shared" si="11"/>
        <v>6</v>
      </c>
      <c r="F193">
        <f t="shared" si="12"/>
        <v>36</v>
      </c>
      <c r="G193" s="5">
        <f t="shared" si="13"/>
        <v>0.1276595744680851</v>
      </c>
    </row>
    <row r="194" spans="1:7" ht="15.75" customHeight="1">
      <c r="A194" s="3">
        <v>21743</v>
      </c>
      <c r="B194" s="4">
        <v>26</v>
      </c>
      <c r="C194">
        <f t="shared" si="14"/>
        <v>47</v>
      </c>
      <c r="D194">
        <f t="shared" si="10"/>
        <v>-21</v>
      </c>
      <c r="E194">
        <f t="shared" si="11"/>
        <v>21</v>
      </c>
      <c r="F194">
        <f t="shared" si="12"/>
        <v>441</v>
      </c>
      <c r="G194" s="5">
        <f t="shared" si="13"/>
        <v>0.80769230769230771</v>
      </c>
    </row>
    <row r="195" spans="1:7" ht="15.75" customHeight="1">
      <c r="A195" s="3">
        <v>21744</v>
      </c>
      <c r="B195" s="4">
        <v>35</v>
      </c>
      <c r="C195">
        <f t="shared" si="14"/>
        <v>26</v>
      </c>
      <c r="D195">
        <f t="shared" si="10"/>
        <v>9</v>
      </c>
      <c r="E195">
        <f t="shared" si="11"/>
        <v>9</v>
      </c>
      <c r="F195">
        <f t="shared" si="12"/>
        <v>81</v>
      </c>
      <c r="G195" s="5">
        <f t="shared" si="13"/>
        <v>0.25714285714285712</v>
      </c>
    </row>
    <row r="196" spans="1:7" ht="15.75" customHeight="1">
      <c r="A196" s="3">
        <v>21745</v>
      </c>
      <c r="B196" s="4">
        <v>44</v>
      </c>
      <c r="C196">
        <f t="shared" si="14"/>
        <v>35</v>
      </c>
      <c r="D196">
        <f t="shared" ref="D196:D259" si="15">B196 - C196</f>
        <v>9</v>
      </c>
      <c r="E196">
        <f t="shared" ref="E196:E259" si="16">ABS(D196)</f>
        <v>9</v>
      </c>
      <c r="F196">
        <f t="shared" ref="F196:F259" si="17">E196^2</f>
        <v>81</v>
      </c>
      <c r="G196" s="5">
        <f t="shared" ref="G196:G259" si="18">E196/B196</f>
        <v>0.20454545454545456</v>
      </c>
    </row>
    <row r="197" spans="1:7" ht="15.75" customHeight="1">
      <c r="A197" s="3">
        <v>21746</v>
      </c>
      <c r="B197" s="4">
        <v>41</v>
      </c>
      <c r="C197">
        <f t="shared" ref="C197:C260" si="19">B196</f>
        <v>44</v>
      </c>
      <c r="D197">
        <f t="shared" si="15"/>
        <v>-3</v>
      </c>
      <c r="E197">
        <f t="shared" si="16"/>
        <v>3</v>
      </c>
      <c r="F197">
        <f t="shared" si="17"/>
        <v>9</v>
      </c>
      <c r="G197" s="5">
        <f t="shared" si="18"/>
        <v>7.3170731707317069E-2</v>
      </c>
    </row>
    <row r="198" spans="1:7" ht="15.75" customHeight="1">
      <c r="A198" s="3">
        <v>21747</v>
      </c>
      <c r="B198" s="4">
        <v>42</v>
      </c>
      <c r="C198">
        <f t="shared" si="19"/>
        <v>41</v>
      </c>
      <c r="D198">
        <f t="shared" si="15"/>
        <v>1</v>
      </c>
      <c r="E198">
        <f t="shared" si="16"/>
        <v>1</v>
      </c>
      <c r="F198">
        <f t="shared" si="17"/>
        <v>1</v>
      </c>
      <c r="G198" s="5">
        <f t="shared" si="18"/>
        <v>2.3809523809523808E-2</v>
      </c>
    </row>
    <row r="199" spans="1:7" ht="15.75" customHeight="1">
      <c r="A199" s="3">
        <v>21748</v>
      </c>
      <c r="B199" s="4">
        <v>36</v>
      </c>
      <c r="C199">
        <f t="shared" si="19"/>
        <v>42</v>
      </c>
      <c r="D199">
        <f t="shared" si="15"/>
        <v>-6</v>
      </c>
      <c r="E199">
        <f t="shared" si="16"/>
        <v>6</v>
      </c>
      <c r="F199">
        <f t="shared" si="17"/>
        <v>36</v>
      </c>
      <c r="G199" s="5">
        <f t="shared" si="18"/>
        <v>0.16666666666666666</v>
      </c>
    </row>
    <row r="200" spans="1:7" ht="15.75" customHeight="1">
      <c r="A200" s="3">
        <v>21749</v>
      </c>
      <c r="B200" s="4">
        <v>45</v>
      </c>
      <c r="C200">
        <f t="shared" si="19"/>
        <v>36</v>
      </c>
      <c r="D200">
        <f t="shared" si="15"/>
        <v>9</v>
      </c>
      <c r="E200">
        <f t="shared" si="16"/>
        <v>9</v>
      </c>
      <c r="F200">
        <f t="shared" si="17"/>
        <v>81</v>
      </c>
      <c r="G200" s="5">
        <f t="shared" si="18"/>
        <v>0.2</v>
      </c>
    </row>
    <row r="201" spans="1:7" ht="15.75" customHeight="1">
      <c r="A201" s="3">
        <v>21750</v>
      </c>
      <c r="B201" s="4">
        <v>45</v>
      </c>
      <c r="C201">
        <f t="shared" si="19"/>
        <v>45</v>
      </c>
      <c r="D201">
        <f t="shared" si="15"/>
        <v>0</v>
      </c>
      <c r="E201">
        <f t="shared" si="16"/>
        <v>0</v>
      </c>
      <c r="F201">
        <f t="shared" si="17"/>
        <v>0</v>
      </c>
      <c r="G201" s="5">
        <f t="shared" si="18"/>
        <v>0</v>
      </c>
    </row>
    <row r="202" spans="1:7" ht="15.75" customHeight="1">
      <c r="A202" s="3">
        <v>21751</v>
      </c>
      <c r="B202" s="4">
        <v>45</v>
      </c>
      <c r="C202">
        <f t="shared" si="19"/>
        <v>45</v>
      </c>
      <c r="D202">
        <f t="shared" si="15"/>
        <v>0</v>
      </c>
      <c r="E202">
        <f t="shared" si="16"/>
        <v>0</v>
      </c>
      <c r="F202">
        <f t="shared" si="17"/>
        <v>0</v>
      </c>
      <c r="G202" s="5">
        <f t="shared" si="18"/>
        <v>0</v>
      </c>
    </row>
    <row r="203" spans="1:7" ht="15.75" customHeight="1">
      <c r="A203" s="3">
        <v>21752</v>
      </c>
      <c r="B203" s="4">
        <v>47</v>
      </c>
      <c r="C203">
        <f t="shared" si="19"/>
        <v>45</v>
      </c>
      <c r="D203">
        <f t="shared" si="15"/>
        <v>2</v>
      </c>
      <c r="E203">
        <f t="shared" si="16"/>
        <v>2</v>
      </c>
      <c r="F203">
        <f t="shared" si="17"/>
        <v>4</v>
      </c>
      <c r="G203" s="5">
        <f t="shared" si="18"/>
        <v>4.2553191489361701E-2</v>
      </c>
    </row>
    <row r="204" spans="1:7" ht="15.75" customHeight="1">
      <c r="A204" s="3">
        <v>21753</v>
      </c>
      <c r="B204" s="4">
        <v>38</v>
      </c>
      <c r="C204">
        <f t="shared" si="19"/>
        <v>47</v>
      </c>
      <c r="D204">
        <f t="shared" si="15"/>
        <v>-9</v>
      </c>
      <c r="E204">
        <f t="shared" si="16"/>
        <v>9</v>
      </c>
      <c r="F204">
        <f t="shared" si="17"/>
        <v>81</v>
      </c>
      <c r="G204" s="5">
        <f t="shared" si="18"/>
        <v>0.23684210526315788</v>
      </c>
    </row>
    <row r="205" spans="1:7" ht="15.75" customHeight="1">
      <c r="A205" s="3">
        <v>21754</v>
      </c>
      <c r="B205" s="4">
        <v>42</v>
      </c>
      <c r="C205">
        <f t="shared" si="19"/>
        <v>38</v>
      </c>
      <c r="D205">
        <f t="shared" si="15"/>
        <v>4</v>
      </c>
      <c r="E205">
        <f t="shared" si="16"/>
        <v>4</v>
      </c>
      <c r="F205">
        <f t="shared" si="17"/>
        <v>16</v>
      </c>
      <c r="G205" s="5">
        <f t="shared" si="18"/>
        <v>9.5238095238095233E-2</v>
      </c>
    </row>
    <row r="206" spans="1:7" ht="15.75" customHeight="1">
      <c r="A206" s="3">
        <v>21755</v>
      </c>
      <c r="B206" s="4">
        <v>35</v>
      </c>
      <c r="C206">
        <f t="shared" si="19"/>
        <v>42</v>
      </c>
      <c r="D206">
        <f t="shared" si="15"/>
        <v>-7</v>
      </c>
      <c r="E206">
        <f t="shared" si="16"/>
        <v>7</v>
      </c>
      <c r="F206">
        <f t="shared" si="17"/>
        <v>49</v>
      </c>
      <c r="G206" s="5">
        <f t="shared" si="18"/>
        <v>0.2</v>
      </c>
    </row>
    <row r="207" spans="1:7" ht="15.75" customHeight="1">
      <c r="A207" s="3">
        <v>21756</v>
      </c>
      <c r="B207" s="4">
        <v>36</v>
      </c>
      <c r="C207">
        <f t="shared" si="19"/>
        <v>35</v>
      </c>
      <c r="D207">
        <f t="shared" si="15"/>
        <v>1</v>
      </c>
      <c r="E207">
        <f t="shared" si="16"/>
        <v>1</v>
      </c>
      <c r="F207">
        <f t="shared" si="17"/>
        <v>1</v>
      </c>
      <c r="G207" s="5">
        <f t="shared" si="18"/>
        <v>2.7777777777777776E-2</v>
      </c>
    </row>
    <row r="208" spans="1:7" ht="15.75" customHeight="1">
      <c r="A208" s="3">
        <v>21757</v>
      </c>
      <c r="B208" s="4">
        <v>39</v>
      </c>
      <c r="C208">
        <f t="shared" si="19"/>
        <v>36</v>
      </c>
      <c r="D208">
        <f t="shared" si="15"/>
        <v>3</v>
      </c>
      <c r="E208">
        <f t="shared" si="16"/>
        <v>3</v>
      </c>
      <c r="F208">
        <f t="shared" si="17"/>
        <v>9</v>
      </c>
      <c r="G208" s="5">
        <f t="shared" si="18"/>
        <v>7.6923076923076927E-2</v>
      </c>
    </row>
    <row r="209" spans="1:7" ht="15.75" customHeight="1">
      <c r="A209" s="3">
        <v>21758</v>
      </c>
      <c r="B209" s="4">
        <v>45</v>
      </c>
      <c r="C209">
        <f t="shared" si="19"/>
        <v>39</v>
      </c>
      <c r="D209">
        <f t="shared" si="15"/>
        <v>6</v>
      </c>
      <c r="E209">
        <f t="shared" si="16"/>
        <v>6</v>
      </c>
      <c r="F209">
        <f t="shared" si="17"/>
        <v>36</v>
      </c>
      <c r="G209" s="5">
        <f t="shared" si="18"/>
        <v>0.13333333333333333</v>
      </c>
    </row>
    <row r="210" spans="1:7" ht="15.75" customHeight="1">
      <c r="A210" s="3">
        <v>21759</v>
      </c>
      <c r="B210" s="4">
        <v>43</v>
      </c>
      <c r="C210">
        <f t="shared" si="19"/>
        <v>45</v>
      </c>
      <c r="D210">
        <f t="shared" si="15"/>
        <v>-2</v>
      </c>
      <c r="E210">
        <f t="shared" si="16"/>
        <v>2</v>
      </c>
      <c r="F210">
        <f t="shared" si="17"/>
        <v>4</v>
      </c>
      <c r="G210" s="5">
        <f t="shared" si="18"/>
        <v>4.6511627906976744E-2</v>
      </c>
    </row>
    <row r="211" spans="1:7" ht="15.75" customHeight="1">
      <c r="A211" s="3">
        <v>21760</v>
      </c>
      <c r="B211" s="4">
        <v>47</v>
      </c>
      <c r="C211">
        <f t="shared" si="19"/>
        <v>43</v>
      </c>
      <c r="D211">
        <f t="shared" si="15"/>
        <v>4</v>
      </c>
      <c r="E211">
        <f t="shared" si="16"/>
        <v>4</v>
      </c>
      <c r="F211">
        <f t="shared" si="17"/>
        <v>16</v>
      </c>
      <c r="G211" s="5">
        <f t="shared" si="18"/>
        <v>8.5106382978723402E-2</v>
      </c>
    </row>
    <row r="212" spans="1:7" ht="15.75" customHeight="1">
      <c r="A212" s="3">
        <v>21761</v>
      </c>
      <c r="B212" s="4">
        <v>36</v>
      </c>
      <c r="C212">
        <f t="shared" si="19"/>
        <v>47</v>
      </c>
      <c r="D212">
        <f t="shared" si="15"/>
        <v>-11</v>
      </c>
      <c r="E212">
        <f t="shared" si="16"/>
        <v>11</v>
      </c>
      <c r="F212">
        <f t="shared" si="17"/>
        <v>121</v>
      </c>
      <c r="G212" s="5">
        <f t="shared" si="18"/>
        <v>0.30555555555555558</v>
      </c>
    </row>
    <row r="213" spans="1:7" ht="15.75" customHeight="1">
      <c r="A213" s="3">
        <v>21762</v>
      </c>
      <c r="B213" s="4">
        <v>41</v>
      </c>
      <c r="C213">
        <f t="shared" si="19"/>
        <v>36</v>
      </c>
      <c r="D213">
        <f t="shared" si="15"/>
        <v>5</v>
      </c>
      <c r="E213">
        <f t="shared" si="16"/>
        <v>5</v>
      </c>
      <c r="F213">
        <f t="shared" si="17"/>
        <v>25</v>
      </c>
      <c r="G213" s="5">
        <f t="shared" si="18"/>
        <v>0.12195121951219512</v>
      </c>
    </row>
    <row r="214" spans="1:7" ht="15.75" customHeight="1">
      <c r="A214" s="3">
        <v>21763</v>
      </c>
      <c r="B214" s="4">
        <v>50</v>
      </c>
      <c r="C214">
        <f t="shared" si="19"/>
        <v>41</v>
      </c>
      <c r="D214">
        <f t="shared" si="15"/>
        <v>9</v>
      </c>
      <c r="E214">
        <f t="shared" si="16"/>
        <v>9</v>
      </c>
      <c r="F214">
        <f t="shared" si="17"/>
        <v>81</v>
      </c>
      <c r="G214" s="5">
        <f t="shared" si="18"/>
        <v>0.18</v>
      </c>
    </row>
    <row r="215" spans="1:7" ht="15.75" customHeight="1">
      <c r="A215" s="3">
        <v>21764</v>
      </c>
      <c r="B215" s="4">
        <v>39</v>
      </c>
      <c r="C215">
        <f t="shared" si="19"/>
        <v>50</v>
      </c>
      <c r="D215">
        <f t="shared" si="15"/>
        <v>-11</v>
      </c>
      <c r="E215">
        <f t="shared" si="16"/>
        <v>11</v>
      </c>
      <c r="F215">
        <f t="shared" si="17"/>
        <v>121</v>
      </c>
      <c r="G215" s="5">
        <f t="shared" si="18"/>
        <v>0.28205128205128205</v>
      </c>
    </row>
    <row r="216" spans="1:7" ht="15.75" customHeight="1">
      <c r="A216" s="3">
        <v>21765</v>
      </c>
      <c r="B216" s="4">
        <v>41</v>
      </c>
      <c r="C216">
        <f t="shared" si="19"/>
        <v>39</v>
      </c>
      <c r="D216">
        <f t="shared" si="15"/>
        <v>2</v>
      </c>
      <c r="E216">
        <f t="shared" si="16"/>
        <v>2</v>
      </c>
      <c r="F216">
        <f t="shared" si="17"/>
        <v>4</v>
      </c>
      <c r="G216" s="5">
        <f t="shared" si="18"/>
        <v>4.878048780487805E-2</v>
      </c>
    </row>
    <row r="217" spans="1:7" ht="15.75" customHeight="1">
      <c r="A217" s="3">
        <v>21766</v>
      </c>
      <c r="B217" s="4">
        <v>46</v>
      </c>
      <c r="C217">
        <f t="shared" si="19"/>
        <v>41</v>
      </c>
      <c r="D217">
        <f t="shared" si="15"/>
        <v>5</v>
      </c>
      <c r="E217">
        <f t="shared" si="16"/>
        <v>5</v>
      </c>
      <c r="F217">
        <f t="shared" si="17"/>
        <v>25</v>
      </c>
      <c r="G217" s="5">
        <f t="shared" si="18"/>
        <v>0.10869565217391304</v>
      </c>
    </row>
    <row r="218" spans="1:7" ht="15.75" customHeight="1">
      <c r="A218" s="3">
        <v>21767</v>
      </c>
      <c r="B218" s="4">
        <v>64</v>
      </c>
      <c r="C218">
        <f t="shared" si="19"/>
        <v>46</v>
      </c>
      <c r="D218">
        <f t="shared" si="15"/>
        <v>18</v>
      </c>
      <c r="E218">
        <f t="shared" si="16"/>
        <v>18</v>
      </c>
      <c r="F218">
        <f t="shared" si="17"/>
        <v>324</v>
      </c>
      <c r="G218" s="5">
        <f t="shared" si="18"/>
        <v>0.28125</v>
      </c>
    </row>
    <row r="219" spans="1:7" ht="15.75" customHeight="1">
      <c r="A219" s="3">
        <v>21768</v>
      </c>
      <c r="B219" s="4">
        <v>45</v>
      </c>
      <c r="C219">
        <f t="shared" si="19"/>
        <v>64</v>
      </c>
      <c r="D219">
        <f t="shared" si="15"/>
        <v>-19</v>
      </c>
      <c r="E219">
        <f t="shared" si="16"/>
        <v>19</v>
      </c>
      <c r="F219">
        <f t="shared" si="17"/>
        <v>361</v>
      </c>
      <c r="G219" s="5">
        <f t="shared" si="18"/>
        <v>0.42222222222222222</v>
      </c>
    </row>
    <row r="220" spans="1:7" ht="15.75" customHeight="1">
      <c r="A220" s="3">
        <v>21769</v>
      </c>
      <c r="B220" s="4">
        <v>34</v>
      </c>
      <c r="C220">
        <f t="shared" si="19"/>
        <v>45</v>
      </c>
      <c r="D220">
        <f t="shared" si="15"/>
        <v>-11</v>
      </c>
      <c r="E220">
        <f t="shared" si="16"/>
        <v>11</v>
      </c>
      <c r="F220">
        <f t="shared" si="17"/>
        <v>121</v>
      </c>
      <c r="G220" s="5">
        <f t="shared" si="18"/>
        <v>0.3235294117647059</v>
      </c>
    </row>
    <row r="221" spans="1:7" ht="15.75" customHeight="1">
      <c r="A221" s="3">
        <v>21770</v>
      </c>
      <c r="B221" s="4">
        <v>38</v>
      </c>
      <c r="C221">
        <f t="shared" si="19"/>
        <v>34</v>
      </c>
      <c r="D221">
        <f t="shared" si="15"/>
        <v>4</v>
      </c>
      <c r="E221">
        <f t="shared" si="16"/>
        <v>4</v>
      </c>
      <c r="F221">
        <f t="shared" si="17"/>
        <v>16</v>
      </c>
      <c r="G221" s="5">
        <f t="shared" si="18"/>
        <v>0.10526315789473684</v>
      </c>
    </row>
    <row r="222" spans="1:7" ht="15.75" customHeight="1">
      <c r="A222" s="3">
        <v>21771</v>
      </c>
      <c r="B222" s="4">
        <v>44</v>
      </c>
      <c r="C222">
        <f t="shared" si="19"/>
        <v>38</v>
      </c>
      <c r="D222">
        <f t="shared" si="15"/>
        <v>6</v>
      </c>
      <c r="E222">
        <f t="shared" si="16"/>
        <v>6</v>
      </c>
      <c r="F222">
        <f t="shared" si="17"/>
        <v>36</v>
      </c>
      <c r="G222" s="5">
        <f t="shared" si="18"/>
        <v>0.13636363636363635</v>
      </c>
    </row>
    <row r="223" spans="1:7" ht="15.75" customHeight="1">
      <c r="A223" s="3">
        <v>21772</v>
      </c>
      <c r="B223" s="4">
        <v>48</v>
      </c>
      <c r="C223">
        <f t="shared" si="19"/>
        <v>44</v>
      </c>
      <c r="D223">
        <f t="shared" si="15"/>
        <v>4</v>
      </c>
      <c r="E223">
        <f t="shared" si="16"/>
        <v>4</v>
      </c>
      <c r="F223">
        <f t="shared" si="17"/>
        <v>16</v>
      </c>
      <c r="G223" s="5">
        <f t="shared" si="18"/>
        <v>8.3333333333333329E-2</v>
      </c>
    </row>
    <row r="224" spans="1:7" ht="15.75" customHeight="1">
      <c r="A224" s="3">
        <v>21773</v>
      </c>
      <c r="B224" s="4">
        <v>46</v>
      </c>
      <c r="C224">
        <f t="shared" si="19"/>
        <v>48</v>
      </c>
      <c r="D224">
        <f t="shared" si="15"/>
        <v>-2</v>
      </c>
      <c r="E224">
        <f t="shared" si="16"/>
        <v>2</v>
      </c>
      <c r="F224">
        <f t="shared" si="17"/>
        <v>4</v>
      </c>
      <c r="G224" s="5">
        <f t="shared" si="18"/>
        <v>4.3478260869565216E-2</v>
      </c>
    </row>
    <row r="225" spans="1:7" ht="15.75" customHeight="1">
      <c r="A225" s="3">
        <v>21774</v>
      </c>
      <c r="B225" s="4">
        <v>44</v>
      </c>
      <c r="C225">
        <f t="shared" si="19"/>
        <v>46</v>
      </c>
      <c r="D225">
        <f t="shared" si="15"/>
        <v>-2</v>
      </c>
      <c r="E225">
        <f t="shared" si="16"/>
        <v>2</v>
      </c>
      <c r="F225">
        <f t="shared" si="17"/>
        <v>4</v>
      </c>
      <c r="G225" s="5">
        <f t="shared" si="18"/>
        <v>4.5454545454545456E-2</v>
      </c>
    </row>
    <row r="226" spans="1:7" ht="15.75" customHeight="1">
      <c r="A226" s="3">
        <v>21775</v>
      </c>
      <c r="B226" s="4">
        <v>37</v>
      </c>
      <c r="C226">
        <f t="shared" si="19"/>
        <v>44</v>
      </c>
      <c r="D226">
        <f t="shared" si="15"/>
        <v>-7</v>
      </c>
      <c r="E226">
        <f t="shared" si="16"/>
        <v>7</v>
      </c>
      <c r="F226">
        <f t="shared" si="17"/>
        <v>49</v>
      </c>
      <c r="G226" s="5">
        <f t="shared" si="18"/>
        <v>0.1891891891891892</v>
      </c>
    </row>
    <row r="227" spans="1:7" ht="15.75" customHeight="1">
      <c r="A227" s="3">
        <v>21776</v>
      </c>
      <c r="B227" s="4">
        <v>39</v>
      </c>
      <c r="C227">
        <f t="shared" si="19"/>
        <v>37</v>
      </c>
      <c r="D227">
        <f t="shared" si="15"/>
        <v>2</v>
      </c>
      <c r="E227">
        <f t="shared" si="16"/>
        <v>2</v>
      </c>
      <c r="F227">
        <f t="shared" si="17"/>
        <v>4</v>
      </c>
      <c r="G227" s="5">
        <f t="shared" si="18"/>
        <v>5.128205128205128E-2</v>
      </c>
    </row>
    <row r="228" spans="1:7" ht="15.75" customHeight="1">
      <c r="A228" s="3">
        <v>21777</v>
      </c>
      <c r="B228" s="4">
        <v>44</v>
      </c>
      <c r="C228">
        <f t="shared" si="19"/>
        <v>39</v>
      </c>
      <c r="D228">
        <f t="shared" si="15"/>
        <v>5</v>
      </c>
      <c r="E228">
        <f t="shared" si="16"/>
        <v>5</v>
      </c>
      <c r="F228">
        <f t="shared" si="17"/>
        <v>25</v>
      </c>
      <c r="G228" s="5">
        <f t="shared" si="18"/>
        <v>0.11363636363636363</v>
      </c>
    </row>
    <row r="229" spans="1:7" ht="15.75" customHeight="1">
      <c r="A229" s="3">
        <v>21778</v>
      </c>
      <c r="B229" s="4">
        <v>45</v>
      </c>
      <c r="C229">
        <f t="shared" si="19"/>
        <v>44</v>
      </c>
      <c r="D229">
        <f t="shared" si="15"/>
        <v>1</v>
      </c>
      <c r="E229">
        <f t="shared" si="16"/>
        <v>1</v>
      </c>
      <c r="F229">
        <f t="shared" si="17"/>
        <v>1</v>
      </c>
      <c r="G229" s="5">
        <f t="shared" si="18"/>
        <v>2.2222222222222223E-2</v>
      </c>
    </row>
    <row r="230" spans="1:7" ht="15.75" customHeight="1">
      <c r="A230" s="3">
        <v>21779</v>
      </c>
      <c r="B230" s="4">
        <v>33</v>
      </c>
      <c r="C230">
        <f t="shared" si="19"/>
        <v>45</v>
      </c>
      <c r="D230">
        <f t="shared" si="15"/>
        <v>-12</v>
      </c>
      <c r="E230">
        <f t="shared" si="16"/>
        <v>12</v>
      </c>
      <c r="F230">
        <f t="shared" si="17"/>
        <v>144</v>
      </c>
      <c r="G230" s="5">
        <f t="shared" si="18"/>
        <v>0.36363636363636365</v>
      </c>
    </row>
    <row r="231" spans="1:7" ht="15.75" customHeight="1">
      <c r="A231" s="3">
        <v>21780</v>
      </c>
      <c r="B231" s="4">
        <v>44</v>
      </c>
      <c r="C231">
        <f t="shared" si="19"/>
        <v>33</v>
      </c>
      <c r="D231">
        <f t="shared" si="15"/>
        <v>11</v>
      </c>
      <c r="E231">
        <f t="shared" si="16"/>
        <v>11</v>
      </c>
      <c r="F231">
        <f t="shared" si="17"/>
        <v>121</v>
      </c>
      <c r="G231" s="5">
        <f t="shared" si="18"/>
        <v>0.25</v>
      </c>
    </row>
    <row r="232" spans="1:7" ht="15.75" customHeight="1">
      <c r="A232" s="3">
        <v>21781</v>
      </c>
      <c r="B232" s="4">
        <v>38</v>
      </c>
      <c r="C232">
        <f t="shared" si="19"/>
        <v>44</v>
      </c>
      <c r="D232">
        <f t="shared" si="15"/>
        <v>-6</v>
      </c>
      <c r="E232">
        <f t="shared" si="16"/>
        <v>6</v>
      </c>
      <c r="F232">
        <f t="shared" si="17"/>
        <v>36</v>
      </c>
      <c r="G232" s="5">
        <f t="shared" si="18"/>
        <v>0.15789473684210525</v>
      </c>
    </row>
    <row r="233" spans="1:7" ht="15.75" customHeight="1">
      <c r="A233" s="3">
        <v>21782</v>
      </c>
      <c r="B233" s="4">
        <v>46</v>
      </c>
      <c r="C233">
        <f t="shared" si="19"/>
        <v>38</v>
      </c>
      <c r="D233">
        <f t="shared" si="15"/>
        <v>8</v>
      </c>
      <c r="E233">
        <f t="shared" si="16"/>
        <v>8</v>
      </c>
      <c r="F233">
        <f t="shared" si="17"/>
        <v>64</v>
      </c>
      <c r="G233" s="5">
        <f t="shared" si="18"/>
        <v>0.17391304347826086</v>
      </c>
    </row>
    <row r="234" spans="1:7" ht="15.75" customHeight="1">
      <c r="A234" s="3">
        <v>21783</v>
      </c>
      <c r="B234" s="4">
        <v>46</v>
      </c>
      <c r="C234">
        <f t="shared" si="19"/>
        <v>46</v>
      </c>
      <c r="D234">
        <f t="shared" si="15"/>
        <v>0</v>
      </c>
      <c r="E234">
        <f t="shared" si="16"/>
        <v>0</v>
      </c>
      <c r="F234">
        <f t="shared" si="17"/>
        <v>0</v>
      </c>
      <c r="G234" s="5">
        <f t="shared" si="18"/>
        <v>0</v>
      </c>
    </row>
    <row r="235" spans="1:7" ht="15.75" customHeight="1">
      <c r="A235" s="3">
        <v>21784</v>
      </c>
      <c r="B235" s="4">
        <v>40</v>
      </c>
      <c r="C235">
        <f t="shared" si="19"/>
        <v>46</v>
      </c>
      <c r="D235">
        <f t="shared" si="15"/>
        <v>-6</v>
      </c>
      <c r="E235">
        <f t="shared" si="16"/>
        <v>6</v>
      </c>
      <c r="F235">
        <f t="shared" si="17"/>
        <v>36</v>
      </c>
      <c r="G235" s="5">
        <f t="shared" si="18"/>
        <v>0.15</v>
      </c>
    </row>
    <row r="236" spans="1:7" ht="15.75" customHeight="1">
      <c r="A236" s="3">
        <v>21785</v>
      </c>
      <c r="B236" s="4">
        <v>39</v>
      </c>
      <c r="C236">
        <f t="shared" si="19"/>
        <v>40</v>
      </c>
      <c r="D236">
        <f t="shared" si="15"/>
        <v>-1</v>
      </c>
      <c r="E236">
        <f t="shared" si="16"/>
        <v>1</v>
      </c>
      <c r="F236">
        <f t="shared" si="17"/>
        <v>1</v>
      </c>
      <c r="G236" s="5">
        <f t="shared" si="18"/>
        <v>2.564102564102564E-2</v>
      </c>
    </row>
    <row r="237" spans="1:7" ht="15.75" customHeight="1">
      <c r="A237" s="3">
        <v>21786</v>
      </c>
      <c r="B237" s="4">
        <v>44</v>
      </c>
      <c r="C237">
        <f t="shared" si="19"/>
        <v>39</v>
      </c>
      <c r="D237">
        <f t="shared" si="15"/>
        <v>5</v>
      </c>
      <c r="E237">
        <f t="shared" si="16"/>
        <v>5</v>
      </c>
      <c r="F237">
        <f t="shared" si="17"/>
        <v>25</v>
      </c>
      <c r="G237" s="5">
        <f t="shared" si="18"/>
        <v>0.11363636363636363</v>
      </c>
    </row>
    <row r="238" spans="1:7" ht="15.75" customHeight="1">
      <c r="A238" s="3">
        <v>21787</v>
      </c>
      <c r="B238" s="4">
        <v>48</v>
      </c>
      <c r="C238">
        <f t="shared" si="19"/>
        <v>44</v>
      </c>
      <c r="D238">
        <f t="shared" si="15"/>
        <v>4</v>
      </c>
      <c r="E238">
        <f t="shared" si="16"/>
        <v>4</v>
      </c>
      <c r="F238">
        <f t="shared" si="17"/>
        <v>16</v>
      </c>
      <c r="G238" s="5">
        <f t="shared" si="18"/>
        <v>8.3333333333333329E-2</v>
      </c>
    </row>
    <row r="239" spans="1:7" ht="15.75" customHeight="1">
      <c r="A239" s="3">
        <v>21788</v>
      </c>
      <c r="B239" s="4">
        <v>50</v>
      </c>
      <c r="C239">
        <f t="shared" si="19"/>
        <v>48</v>
      </c>
      <c r="D239">
        <f t="shared" si="15"/>
        <v>2</v>
      </c>
      <c r="E239">
        <f t="shared" si="16"/>
        <v>2</v>
      </c>
      <c r="F239">
        <f t="shared" si="17"/>
        <v>4</v>
      </c>
      <c r="G239" s="5">
        <f t="shared" si="18"/>
        <v>0.04</v>
      </c>
    </row>
    <row r="240" spans="1:7" ht="15.75" customHeight="1">
      <c r="A240" s="3">
        <v>21789</v>
      </c>
      <c r="B240" s="4">
        <v>41</v>
      </c>
      <c r="C240">
        <f t="shared" si="19"/>
        <v>50</v>
      </c>
      <c r="D240">
        <f t="shared" si="15"/>
        <v>-9</v>
      </c>
      <c r="E240">
        <f t="shared" si="16"/>
        <v>9</v>
      </c>
      <c r="F240">
        <f t="shared" si="17"/>
        <v>81</v>
      </c>
      <c r="G240" s="5">
        <f t="shared" si="18"/>
        <v>0.21951219512195122</v>
      </c>
    </row>
    <row r="241" spans="1:7" ht="15.75" customHeight="1">
      <c r="A241" s="3">
        <v>21790</v>
      </c>
      <c r="B241" s="4">
        <v>42</v>
      </c>
      <c r="C241">
        <f t="shared" si="19"/>
        <v>41</v>
      </c>
      <c r="D241">
        <f t="shared" si="15"/>
        <v>1</v>
      </c>
      <c r="E241">
        <f t="shared" si="16"/>
        <v>1</v>
      </c>
      <c r="F241">
        <f t="shared" si="17"/>
        <v>1</v>
      </c>
      <c r="G241" s="5">
        <f t="shared" si="18"/>
        <v>2.3809523809523808E-2</v>
      </c>
    </row>
    <row r="242" spans="1:7" ht="15.75" customHeight="1">
      <c r="A242" s="3">
        <v>21791</v>
      </c>
      <c r="B242" s="4">
        <v>51</v>
      </c>
      <c r="C242">
        <f t="shared" si="19"/>
        <v>42</v>
      </c>
      <c r="D242">
        <f t="shared" si="15"/>
        <v>9</v>
      </c>
      <c r="E242">
        <f t="shared" si="16"/>
        <v>9</v>
      </c>
      <c r="F242">
        <f t="shared" si="17"/>
        <v>81</v>
      </c>
      <c r="G242" s="5">
        <f t="shared" si="18"/>
        <v>0.17647058823529413</v>
      </c>
    </row>
    <row r="243" spans="1:7" ht="15.75" customHeight="1">
      <c r="A243" s="3">
        <v>21792</v>
      </c>
      <c r="B243" s="4">
        <v>41</v>
      </c>
      <c r="C243">
        <f t="shared" si="19"/>
        <v>51</v>
      </c>
      <c r="D243">
        <f t="shared" si="15"/>
        <v>-10</v>
      </c>
      <c r="E243">
        <f t="shared" si="16"/>
        <v>10</v>
      </c>
      <c r="F243">
        <f t="shared" si="17"/>
        <v>100</v>
      </c>
      <c r="G243" s="5">
        <f t="shared" si="18"/>
        <v>0.24390243902439024</v>
      </c>
    </row>
    <row r="244" spans="1:7" ht="15.75" customHeight="1">
      <c r="A244" s="3">
        <v>21793</v>
      </c>
      <c r="B244" s="4">
        <v>44</v>
      </c>
      <c r="C244">
        <f t="shared" si="19"/>
        <v>41</v>
      </c>
      <c r="D244">
        <f t="shared" si="15"/>
        <v>3</v>
      </c>
      <c r="E244">
        <f t="shared" si="16"/>
        <v>3</v>
      </c>
      <c r="F244">
        <f t="shared" si="17"/>
        <v>9</v>
      </c>
      <c r="G244" s="5">
        <f t="shared" si="18"/>
        <v>6.8181818181818177E-2</v>
      </c>
    </row>
    <row r="245" spans="1:7" ht="15.75" customHeight="1">
      <c r="A245" s="3">
        <v>21794</v>
      </c>
      <c r="B245" s="4">
        <v>38</v>
      </c>
      <c r="C245">
        <f t="shared" si="19"/>
        <v>44</v>
      </c>
      <c r="D245">
        <f t="shared" si="15"/>
        <v>-6</v>
      </c>
      <c r="E245">
        <f t="shared" si="16"/>
        <v>6</v>
      </c>
      <c r="F245">
        <f t="shared" si="17"/>
        <v>36</v>
      </c>
      <c r="G245" s="5">
        <f t="shared" si="18"/>
        <v>0.15789473684210525</v>
      </c>
    </row>
    <row r="246" spans="1:7" ht="15.75" customHeight="1">
      <c r="A246" s="3">
        <v>21795</v>
      </c>
      <c r="B246" s="4">
        <v>68</v>
      </c>
      <c r="C246">
        <f t="shared" si="19"/>
        <v>38</v>
      </c>
      <c r="D246">
        <f t="shared" si="15"/>
        <v>30</v>
      </c>
      <c r="E246">
        <f t="shared" si="16"/>
        <v>30</v>
      </c>
      <c r="F246">
        <f t="shared" si="17"/>
        <v>900</v>
      </c>
      <c r="G246" s="5">
        <f t="shared" si="18"/>
        <v>0.44117647058823528</v>
      </c>
    </row>
    <row r="247" spans="1:7" ht="15.75" customHeight="1">
      <c r="A247" s="3">
        <v>21796</v>
      </c>
      <c r="B247" s="4">
        <v>40</v>
      </c>
      <c r="C247">
        <f t="shared" si="19"/>
        <v>68</v>
      </c>
      <c r="D247">
        <f t="shared" si="15"/>
        <v>-28</v>
      </c>
      <c r="E247">
        <f t="shared" si="16"/>
        <v>28</v>
      </c>
      <c r="F247">
        <f t="shared" si="17"/>
        <v>784</v>
      </c>
      <c r="G247" s="5">
        <f t="shared" si="18"/>
        <v>0.7</v>
      </c>
    </row>
    <row r="248" spans="1:7" ht="15.75" customHeight="1">
      <c r="A248" s="3">
        <v>21797</v>
      </c>
      <c r="B248" s="4">
        <v>42</v>
      </c>
      <c r="C248">
        <f t="shared" si="19"/>
        <v>40</v>
      </c>
      <c r="D248">
        <f t="shared" si="15"/>
        <v>2</v>
      </c>
      <c r="E248">
        <f t="shared" si="16"/>
        <v>2</v>
      </c>
      <c r="F248">
        <f t="shared" si="17"/>
        <v>4</v>
      </c>
      <c r="G248" s="5">
        <f t="shared" si="18"/>
        <v>4.7619047619047616E-2</v>
      </c>
    </row>
    <row r="249" spans="1:7" ht="15.75" customHeight="1">
      <c r="A249" s="3">
        <v>21798</v>
      </c>
      <c r="B249" s="4">
        <v>51</v>
      </c>
      <c r="C249">
        <f t="shared" si="19"/>
        <v>42</v>
      </c>
      <c r="D249">
        <f t="shared" si="15"/>
        <v>9</v>
      </c>
      <c r="E249">
        <f t="shared" si="16"/>
        <v>9</v>
      </c>
      <c r="F249">
        <f t="shared" si="17"/>
        <v>81</v>
      </c>
      <c r="G249" s="5">
        <f t="shared" si="18"/>
        <v>0.17647058823529413</v>
      </c>
    </row>
    <row r="250" spans="1:7" ht="15.75" customHeight="1">
      <c r="A250" s="3">
        <v>21799</v>
      </c>
      <c r="B250" s="4">
        <v>44</v>
      </c>
      <c r="C250">
        <f t="shared" si="19"/>
        <v>51</v>
      </c>
      <c r="D250">
        <f t="shared" si="15"/>
        <v>-7</v>
      </c>
      <c r="E250">
        <f t="shared" si="16"/>
        <v>7</v>
      </c>
      <c r="F250">
        <f t="shared" si="17"/>
        <v>49</v>
      </c>
      <c r="G250" s="5">
        <f t="shared" si="18"/>
        <v>0.15909090909090909</v>
      </c>
    </row>
    <row r="251" spans="1:7" ht="15.75" customHeight="1">
      <c r="A251" s="3">
        <v>21800</v>
      </c>
      <c r="B251" s="4">
        <v>45</v>
      </c>
      <c r="C251">
        <f t="shared" si="19"/>
        <v>44</v>
      </c>
      <c r="D251">
        <f t="shared" si="15"/>
        <v>1</v>
      </c>
      <c r="E251">
        <f t="shared" si="16"/>
        <v>1</v>
      </c>
      <c r="F251">
        <f t="shared" si="17"/>
        <v>1</v>
      </c>
      <c r="G251" s="5">
        <f t="shared" si="18"/>
        <v>2.2222222222222223E-2</v>
      </c>
    </row>
    <row r="252" spans="1:7" ht="15.75" customHeight="1">
      <c r="A252" s="3">
        <v>21801</v>
      </c>
      <c r="B252" s="4">
        <v>36</v>
      </c>
      <c r="C252">
        <f t="shared" si="19"/>
        <v>45</v>
      </c>
      <c r="D252">
        <f t="shared" si="15"/>
        <v>-9</v>
      </c>
      <c r="E252">
        <f t="shared" si="16"/>
        <v>9</v>
      </c>
      <c r="F252">
        <f t="shared" si="17"/>
        <v>81</v>
      </c>
      <c r="G252" s="5">
        <f t="shared" si="18"/>
        <v>0.25</v>
      </c>
    </row>
    <row r="253" spans="1:7" ht="15.75" customHeight="1">
      <c r="A253" s="3">
        <v>21802</v>
      </c>
      <c r="B253" s="4">
        <v>57</v>
      </c>
      <c r="C253">
        <f t="shared" si="19"/>
        <v>36</v>
      </c>
      <c r="D253">
        <f t="shared" si="15"/>
        <v>21</v>
      </c>
      <c r="E253">
        <f t="shared" si="16"/>
        <v>21</v>
      </c>
      <c r="F253">
        <f t="shared" si="17"/>
        <v>441</v>
      </c>
      <c r="G253" s="5">
        <f t="shared" si="18"/>
        <v>0.36842105263157893</v>
      </c>
    </row>
    <row r="254" spans="1:7" ht="15.75" customHeight="1">
      <c r="A254" s="3">
        <v>21803</v>
      </c>
      <c r="B254" s="4">
        <v>44</v>
      </c>
      <c r="C254">
        <f t="shared" si="19"/>
        <v>57</v>
      </c>
      <c r="D254">
        <f t="shared" si="15"/>
        <v>-13</v>
      </c>
      <c r="E254">
        <f t="shared" si="16"/>
        <v>13</v>
      </c>
      <c r="F254">
        <f t="shared" si="17"/>
        <v>169</v>
      </c>
      <c r="G254" s="5">
        <f t="shared" si="18"/>
        <v>0.29545454545454547</v>
      </c>
    </row>
    <row r="255" spans="1:7" ht="15.75" customHeight="1">
      <c r="A255" s="3">
        <v>21804</v>
      </c>
      <c r="B255" s="4">
        <v>42</v>
      </c>
      <c r="C255">
        <f t="shared" si="19"/>
        <v>44</v>
      </c>
      <c r="D255">
        <f t="shared" si="15"/>
        <v>-2</v>
      </c>
      <c r="E255">
        <f t="shared" si="16"/>
        <v>2</v>
      </c>
      <c r="F255">
        <f t="shared" si="17"/>
        <v>4</v>
      </c>
      <c r="G255" s="5">
        <f t="shared" si="18"/>
        <v>4.7619047619047616E-2</v>
      </c>
    </row>
    <row r="256" spans="1:7" ht="15.75" customHeight="1">
      <c r="A256" s="3">
        <v>21805</v>
      </c>
      <c r="B256" s="4">
        <v>53</v>
      </c>
      <c r="C256">
        <f t="shared" si="19"/>
        <v>42</v>
      </c>
      <c r="D256">
        <f t="shared" si="15"/>
        <v>11</v>
      </c>
      <c r="E256">
        <f t="shared" si="16"/>
        <v>11</v>
      </c>
      <c r="F256">
        <f t="shared" si="17"/>
        <v>121</v>
      </c>
      <c r="G256" s="5">
        <f t="shared" si="18"/>
        <v>0.20754716981132076</v>
      </c>
    </row>
    <row r="257" spans="1:7" ht="15.75" customHeight="1">
      <c r="A257" s="3">
        <v>21806</v>
      </c>
      <c r="B257" s="4">
        <v>42</v>
      </c>
      <c r="C257">
        <f t="shared" si="19"/>
        <v>53</v>
      </c>
      <c r="D257">
        <f t="shared" si="15"/>
        <v>-11</v>
      </c>
      <c r="E257">
        <f t="shared" si="16"/>
        <v>11</v>
      </c>
      <c r="F257">
        <f t="shared" si="17"/>
        <v>121</v>
      </c>
      <c r="G257" s="5">
        <f t="shared" si="18"/>
        <v>0.26190476190476192</v>
      </c>
    </row>
    <row r="258" spans="1:7" ht="15.75" customHeight="1">
      <c r="A258" s="3">
        <v>21807</v>
      </c>
      <c r="B258" s="4">
        <v>34</v>
      </c>
      <c r="C258">
        <f t="shared" si="19"/>
        <v>42</v>
      </c>
      <c r="D258">
        <f t="shared" si="15"/>
        <v>-8</v>
      </c>
      <c r="E258">
        <f t="shared" si="16"/>
        <v>8</v>
      </c>
      <c r="F258">
        <f t="shared" si="17"/>
        <v>64</v>
      </c>
      <c r="G258" s="5">
        <f t="shared" si="18"/>
        <v>0.23529411764705882</v>
      </c>
    </row>
    <row r="259" spans="1:7" ht="15.75" customHeight="1">
      <c r="A259" s="3">
        <v>21808</v>
      </c>
      <c r="B259" s="4">
        <v>40</v>
      </c>
      <c r="C259">
        <f t="shared" si="19"/>
        <v>34</v>
      </c>
      <c r="D259">
        <f t="shared" si="15"/>
        <v>6</v>
      </c>
      <c r="E259">
        <f t="shared" si="16"/>
        <v>6</v>
      </c>
      <c r="F259">
        <f t="shared" si="17"/>
        <v>36</v>
      </c>
      <c r="G259" s="5">
        <f t="shared" si="18"/>
        <v>0.15</v>
      </c>
    </row>
    <row r="260" spans="1:7" ht="15.75" customHeight="1">
      <c r="A260" s="3">
        <v>21809</v>
      </c>
      <c r="B260" s="4">
        <v>56</v>
      </c>
      <c r="C260">
        <f t="shared" si="19"/>
        <v>40</v>
      </c>
      <c r="D260">
        <f t="shared" ref="D260:D323" si="20">B260 - C260</f>
        <v>16</v>
      </c>
      <c r="E260">
        <f t="shared" ref="E260:E323" si="21">ABS(D260)</f>
        <v>16</v>
      </c>
      <c r="F260">
        <f t="shared" ref="F260:F323" si="22">E260^2</f>
        <v>256</v>
      </c>
      <c r="G260" s="5">
        <f t="shared" ref="G260:G323" si="23">E260/B260</f>
        <v>0.2857142857142857</v>
      </c>
    </row>
    <row r="261" spans="1:7" ht="15.75" customHeight="1">
      <c r="A261" s="3">
        <v>21810</v>
      </c>
      <c r="B261" s="4">
        <v>44</v>
      </c>
      <c r="C261">
        <f t="shared" ref="C261:C324" si="24">B260</f>
        <v>56</v>
      </c>
      <c r="D261">
        <f t="shared" si="20"/>
        <v>-12</v>
      </c>
      <c r="E261">
        <f t="shared" si="21"/>
        <v>12</v>
      </c>
      <c r="F261">
        <f t="shared" si="22"/>
        <v>144</v>
      </c>
      <c r="G261" s="5">
        <f t="shared" si="23"/>
        <v>0.27272727272727271</v>
      </c>
    </row>
    <row r="262" spans="1:7" ht="15.75" customHeight="1">
      <c r="A262" s="3">
        <v>21811</v>
      </c>
      <c r="B262" s="4">
        <v>53</v>
      </c>
      <c r="C262">
        <f t="shared" si="24"/>
        <v>44</v>
      </c>
      <c r="D262">
        <f t="shared" si="20"/>
        <v>9</v>
      </c>
      <c r="E262">
        <f t="shared" si="21"/>
        <v>9</v>
      </c>
      <c r="F262">
        <f t="shared" si="22"/>
        <v>81</v>
      </c>
      <c r="G262" s="5">
        <f t="shared" si="23"/>
        <v>0.16981132075471697</v>
      </c>
    </row>
    <row r="263" spans="1:7" ht="15.75" customHeight="1">
      <c r="A263" s="3">
        <v>21812</v>
      </c>
      <c r="B263" s="4">
        <v>55</v>
      </c>
      <c r="C263">
        <f t="shared" si="24"/>
        <v>53</v>
      </c>
      <c r="D263">
        <f t="shared" si="20"/>
        <v>2</v>
      </c>
      <c r="E263">
        <f t="shared" si="21"/>
        <v>2</v>
      </c>
      <c r="F263">
        <f t="shared" si="22"/>
        <v>4</v>
      </c>
      <c r="G263" s="5">
        <f t="shared" si="23"/>
        <v>3.6363636363636362E-2</v>
      </c>
    </row>
    <row r="264" spans="1:7" ht="15.75" customHeight="1">
      <c r="A264" s="3">
        <v>21813</v>
      </c>
      <c r="B264" s="4">
        <v>39</v>
      </c>
      <c r="C264">
        <f t="shared" si="24"/>
        <v>55</v>
      </c>
      <c r="D264">
        <f t="shared" si="20"/>
        <v>-16</v>
      </c>
      <c r="E264">
        <f t="shared" si="21"/>
        <v>16</v>
      </c>
      <c r="F264">
        <f t="shared" si="22"/>
        <v>256</v>
      </c>
      <c r="G264" s="5">
        <f t="shared" si="23"/>
        <v>0.41025641025641024</v>
      </c>
    </row>
    <row r="265" spans="1:7" ht="15.75" customHeight="1">
      <c r="A265" s="3">
        <v>21814</v>
      </c>
      <c r="B265" s="4">
        <v>59</v>
      </c>
      <c r="C265">
        <f t="shared" si="24"/>
        <v>39</v>
      </c>
      <c r="D265">
        <f t="shared" si="20"/>
        <v>20</v>
      </c>
      <c r="E265">
        <f t="shared" si="21"/>
        <v>20</v>
      </c>
      <c r="F265">
        <f t="shared" si="22"/>
        <v>400</v>
      </c>
      <c r="G265" s="5">
        <f t="shared" si="23"/>
        <v>0.33898305084745761</v>
      </c>
    </row>
    <row r="266" spans="1:7" ht="15.75" customHeight="1">
      <c r="A266" s="3">
        <v>21815</v>
      </c>
      <c r="B266" s="4">
        <v>55</v>
      </c>
      <c r="C266">
        <f t="shared" si="24"/>
        <v>59</v>
      </c>
      <c r="D266">
        <f t="shared" si="20"/>
        <v>-4</v>
      </c>
      <c r="E266">
        <f t="shared" si="21"/>
        <v>4</v>
      </c>
      <c r="F266">
        <f t="shared" si="22"/>
        <v>16</v>
      </c>
      <c r="G266" s="5">
        <f t="shared" si="23"/>
        <v>7.2727272727272724E-2</v>
      </c>
    </row>
    <row r="267" spans="1:7" ht="15.75" customHeight="1">
      <c r="A267" s="3">
        <v>21816</v>
      </c>
      <c r="B267" s="4">
        <v>73</v>
      </c>
      <c r="C267">
        <f t="shared" si="24"/>
        <v>55</v>
      </c>
      <c r="D267">
        <f t="shared" si="20"/>
        <v>18</v>
      </c>
      <c r="E267">
        <f t="shared" si="21"/>
        <v>18</v>
      </c>
      <c r="F267">
        <f t="shared" si="22"/>
        <v>324</v>
      </c>
      <c r="G267" s="5">
        <f t="shared" si="23"/>
        <v>0.24657534246575341</v>
      </c>
    </row>
    <row r="268" spans="1:7" ht="15.75" customHeight="1">
      <c r="A268" s="3">
        <v>21817</v>
      </c>
      <c r="B268" s="4">
        <v>55</v>
      </c>
      <c r="C268">
        <f t="shared" si="24"/>
        <v>73</v>
      </c>
      <c r="D268">
        <f t="shared" si="20"/>
        <v>-18</v>
      </c>
      <c r="E268">
        <f t="shared" si="21"/>
        <v>18</v>
      </c>
      <c r="F268">
        <f t="shared" si="22"/>
        <v>324</v>
      </c>
      <c r="G268" s="5">
        <f t="shared" si="23"/>
        <v>0.32727272727272727</v>
      </c>
    </row>
    <row r="269" spans="1:7" ht="15.75" customHeight="1">
      <c r="A269" s="3">
        <v>21818</v>
      </c>
      <c r="B269" s="4">
        <v>44</v>
      </c>
      <c r="C269">
        <f t="shared" si="24"/>
        <v>55</v>
      </c>
      <c r="D269">
        <f t="shared" si="20"/>
        <v>-11</v>
      </c>
      <c r="E269">
        <f t="shared" si="21"/>
        <v>11</v>
      </c>
      <c r="F269">
        <f t="shared" si="22"/>
        <v>121</v>
      </c>
      <c r="G269" s="5">
        <f t="shared" si="23"/>
        <v>0.25</v>
      </c>
    </row>
    <row r="270" spans="1:7" ht="15.75" customHeight="1">
      <c r="A270" s="3">
        <v>21819</v>
      </c>
      <c r="B270" s="4">
        <v>43</v>
      </c>
      <c r="C270">
        <f t="shared" si="24"/>
        <v>44</v>
      </c>
      <c r="D270">
        <f t="shared" si="20"/>
        <v>-1</v>
      </c>
      <c r="E270">
        <f t="shared" si="21"/>
        <v>1</v>
      </c>
      <c r="F270">
        <f t="shared" si="22"/>
        <v>1</v>
      </c>
      <c r="G270" s="5">
        <f t="shared" si="23"/>
        <v>2.3255813953488372E-2</v>
      </c>
    </row>
    <row r="271" spans="1:7" ht="15.75" customHeight="1">
      <c r="A271" s="3">
        <v>21820</v>
      </c>
      <c r="B271" s="4">
        <v>40</v>
      </c>
      <c r="C271">
        <f t="shared" si="24"/>
        <v>43</v>
      </c>
      <c r="D271">
        <f t="shared" si="20"/>
        <v>-3</v>
      </c>
      <c r="E271">
        <f t="shared" si="21"/>
        <v>3</v>
      </c>
      <c r="F271">
        <f t="shared" si="22"/>
        <v>9</v>
      </c>
      <c r="G271" s="5">
        <f t="shared" si="23"/>
        <v>7.4999999999999997E-2</v>
      </c>
    </row>
    <row r="272" spans="1:7" ht="15.75" customHeight="1">
      <c r="A272" s="3">
        <v>21821</v>
      </c>
      <c r="B272" s="4">
        <v>47</v>
      </c>
      <c r="C272">
        <f t="shared" si="24"/>
        <v>40</v>
      </c>
      <c r="D272">
        <f t="shared" si="20"/>
        <v>7</v>
      </c>
      <c r="E272">
        <f t="shared" si="21"/>
        <v>7</v>
      </c>
      <c r="F272">
        <f t="shared" si="22"/>
        <v>49</v>
      </c>
      <c r="G272" s="5">
        <f t="shared" si="23"/>
        <v>0.14893617021276595</v>
      </c>
    </row>
    <row r="273" spans="1:7" ht="15.75" customHeight="1">
      <c r="A273" s="3">
        <v>21822</v>
      </c>
      <c r="B273" s="4">
        <v>51</v>
      </c>
      <c r="C273">
        <f t="shared" si="24"/>
        <v>47</v>
      </c>
      <c r="D273">
        <f t="shared" si="20"/>
        <v>4</v>
      </c>
      <c r="E273">
        <f t="shared" si="21"/>
        <v>4</v>
      </c>
      <c r="F273">
        <f t="shared" si="22"/>
        <v>16</v>
      </c>
      <c r="G273" s="5">
        <f t="shared" si="23"/>
        <v>7.8431372549019607E-2</v>
      </c>
    </row>
    <row r="274" spans="1:7" ht="15.75" customHeight="1">
      <c r="A274" s="3">
        <v>21823</v>
      </c>
      <c r="B274" s="4">
        <v>56</v>
      </c>
      <c r="C274">
        <f t="shared" si="24"/>
        <v>51</v>
      </c>
      <c r="D274">
        <f t="shared" si="20"/>
        <v>5</v>
      </c>
      <c r="E274">
        <f t="shared" si="21"/>
        <v>5</v>
      </c>
      <c r="F274">
        <f t="shared" si="22"/>
        <v>25</v>
      </c>
      <c r="G274" s="5">
        <f t="shared" si="23"/>
        <v>8.9285714285714288E-2</v>
      </c>
    </row>
    <row r="275" spans="1:7" ht="15.75" customHeight="1">
      <c r="A275" s="3">
        <v>21824</v>
      </c>
      <c r="B275" s="4">
        <v>49</v>
      </c>
      <c r="C275">
        <f t="shared" si="24"/>
        <v>56</v>
      </c>
      <c r="D275">
        <f t="shared" si="20"/>
        <v>-7</v>
      </c>
      <c r="E275">
        <f t="shared" si="21"/>
        <v>7</v>
      </c>
      <c r="F275">
        <f t="shared" si="22"/>
        <v>49</v>
      </c>
      <c r="G275" s="5">
        <f t="shared" si="23"/>
        <v>0.14285714285714285</v>
      </c>
    </row>
    <row r="276" spans="1:7" ht="15.75" customHeight="1">
      <c r="A276" s="3">
        <v>21825</v>
      </c>
      <c r="B276" s="4">
        <v>54</v>
      </c>
      <c r="C276">
        <f t="shared" si="24"/>
        <v>49</v>
      </c>
      <c r="D276">
        <f t="shared" si="20"/>
        <v>5</v>
      </c>
      <c r="E276">
        <f t="shared" si="21"/>
        <v>5</v>
      </c>
      <c r="F276">
        <f t="shared" si="22"/>
        <v>25</v>
      </c>
      <c r="G276" s="5">
        <f t="shared" si="23"/>
        <v>9.2592592592592587E-2</v>
      </c>
    </row>
    <row r="277" spans="1:7" ht="15.75" customHeight="1">
      <c r="A277" s="3">
        <v>21826</v>
      </c>
      <c r="B277" s="4">
        <v>56</v>
      </c>
      <c r="C277">
        <f t="shared" si="24"/>
        <v>54</v>
      </c>
      <c r="D277">
        <f t="shared" si="20"/>
        <v>2</v>
      </c>
      <c r="E277">
        <f t="shared" si="21"/>
        <v>2</v>
      </c>
      <c r="F277">
        <f t="shared" si="22"/>
        <v>4</v>
      </c>
      <c r="G277" s="5">
        <f t="shared" si="23"/>
        <v>3.5714285714285712E-2</v>
      </c>
    </row>
    <row r="278" spans="1:7" ht="15.75" customHeight="1">
      <c r="A278" s="3">
        <v>21827</v>
      </c>
      <c r="B278" s="4">
        <v>47</v>
      </c>
      <c r="C278">
        <f t="shared" si="24"/>
        <v>56</v>
      </c>
      <c r="D278">
        <f t="shared" si="20"/>
        <v>-9</v>
      </c>
      <c r="E278">
        <f t="shared" si="21"/>
        <v>9</v>
      </c>
      <c r="F278">
        <f t="shared" si="22"/>
        <v>81</v>
      </c>
      <c r="G278" s="5">
        <f t="shared" si="23"/>
        <v>0.19148936170212766</v>
      </c>
    </row>
    <row r="279" spans="1:7" ht="15.75" customHeight="1">
      <c r="A279" s="3">
        <v>21828</v>
      </c>
      <c r="B279" s="4">
        <v>44</v>
      </c>
      <c r="C279">
        <f t="shared" si="24"/>
        <v>47</v>
      </c>
      <c r="D279">
        <f t="shared" si="20"/>
        <v>-3</v>
      </c>
      <c r="E279">
        <f t="shared" si="21"/>
        <v>3</v>
      </c>
      <c r="F279">
        <f t="shared" si="22"/>
        <v>9</v>
      </c>
      <c r="G279" s="5">
        <f t="shared" si="23"/>
        <v>6.8181818181818177E-2</v>
      </c>
    </row>
    <row r="280" spans="1:7" ht="15.75" customHeight="1">
      <c r="A280" s="3">
        <v>21829</v>
      </c>
      <c r="B280" s="4">
        <v>43</v>
      </c>
      <c r="C280">
        <f t="shared" si="24"/>
        <v>44</v>
      </c>
      <c r="D280">
        <f t="shared" si="20"/>
        <v>-1</v>
      </c>
      <c r="E280">
        <f t="shared" si="21"/>
        <v>1</v>
      </c>
      <c r="F280">
        <f t="shared" si="22"/>
        <v>1</v>
      </c>
      <c r="G280" s="5">
        <f t="shared" si="23"/>
        <v>2.3255813953488372E-2</v>
      </c>
    </row>
    <row r="281" spans="1:7" ht="15.75" customHeight="1">
      <c r="A281" s="3">
        <v>21830</v>
      </c>
      <c r="B281" s="4">
        <v>42</v>
      </c>
      <c r="C281">
        <f t="shared" si="24"/>
        <v>43</v>
      </c>
      <c r="D281">
        <f t="shared" si="20"/>
        <v>-1</v>
      </c>
      <c r="E281">
        <f t="shared" si="21"/>
        <v>1</v>
      </c>
      <c r="F281">
        <f t="shared" si="22"/>
        <v>1</v>
      </c>
      <c r="G281" s="5">
        <f t="shared" si="23"/>
        <v>2.3809523809523808E-2</v>
      </c>
    </row>
    <row r="282" spans="1:7" ht="15.75" customHeight="1">
      <c r="A282" s="3">
        <v>21831</v>
      </c>
      <c r="B282" s="4">
        <v>45</v>
      </c>
      <c r="C282">
        <f t="shared" si="24"/>
        <v>42</v>
      </c>
      <c r="D282">
        <f t="shared" si="20"/>
        <v>3</v>
      </c>
      <c r="E282">
        <f t="shared" si="21"/>
        <v>3</v>
      </c>
      <c r="F282">
        <f t="shared" si="22"/>
        <v>9</v>
      </c>
      <c r="G282" s="5">
        <f t="shared" si="23"/>
        <v>6.6666666666666666E-2</v>
      </c>
    </row>
    <row r="283" spans="1:7" ht="15.75" customHeight="1">
      <c r="A283" s="3">
        <v>21832</v>
      </c>
      <c r="B283" s="4">
        <v>50</v>
      </c>
      <c r="C283">
        <f t="shared" si="24"/>
        <v>45</v>
      </c>
      <c r="D283">
        <f t="shared" si="20"/>
        <v>5</v>
      </c>
      <c r="E283">
        <f t="shared" si="21"/>
        <v>5</v>
      </c>
      <c r="F283">
        <f t="shared" si="22"/>
        <v>25</v>
      </c>
      <c r="G283" s="5">
        <f t="shared" si="23"/>
        <v>0.1</v>
      </c>
    </row>
    <row r="284" spans="1:7" ht="15.75" customHeight="1">
      <c r="A284" s="3">
        <v>21833</v>
      </c>
      <c r="B284" s="4">
        <v>48</v>
      </c>
      <c r="C284">
        <f t="shared" si="24"/>
        <v>50</v>
      </c>
      <c r="D284">
        <f t="shared" si="20"/>
        <v>-2</v>
      </c>
      <c r="E284">
        <f t="shared" si="21"/>
        <v>2</v>
      </c>
      <c r="F284">
        <f t="shared" si="22"/>
        <v>4</v>
      </c>
      <c r="G284" s="5">
        <f t="shared" si="23"/>
        <v>4.1666666666666664E-2</v>
      </c>
    </row>
    <row r="285" spans="1:7" ht="15.75" customHeight="1">
      <c r="A285" s="3">
        <v>21834</v>
      </c>
      <c r="B285" s="4">
        <v>43</v>
      </c>
      <c r="C285">
        <f t="shared" si="24"/>
        <v>48</v>
      </c>
      <c r="D285">
        <f t="shared" si="20"/>
        <v>-5</v>
      </c>
      <c r="E285">
        <f t="shared" si="21"/>
        <v>5</v>
      </c>
      <c r="F285">
        <f t="shared" si="22"/>
        <v>25</v>
      </c>
      <c r="G285" s="5">
        <f t="shared" si="23"/>
        <v>0.11627906976744186</v>
      </c>
    </row>
    <row r="286" spans="1:7" ht="15.75" customHeight="1">
      <c r="A286" s="3">
        <v>21835</v>
      </c>
      <c r="B286" s="4">
        <v>40</v>
      </c>
      <c r="C286">
        <f t="shared" si="24"/>
        <v>43</v>
      </c>
      <c r="D286">
        <f t="shared" si="20"/>
        <v>-3</v>
      </c>
      <c r="E286">
        <f t="shared" si="21"/>
        <v>3</v>
      </c>
      <c r="F286">
        <f t="shared" si="22"/>
        <v>9</v>
      </c>
      <c r="G286" s="5">
        <f t="shared" si="23"/>
        <v>7.4999999999999997E-2</v>
      </c>
    </row>
    <row r="287" spans="1:7" ht="15.75" customHeight="1">
      <c r="A287" s="3">
        <v>21836</v>
      </c>
      <c r="B287" s="4">
        <v>59</v>
      </c>
      <c r="C287">
        <f t="shared" si="24"/>
        <v>40</v>
      </c>
      <c r="D287">
        <f t="shared" si="20"/>
        <v>19</v>
      </c>
      <c r="E287">
        <f t="shared" si="21"/>
        <v>19</v>
      </c>
      <c r="F287">
        <f t="shared" si="22"/>
        <v>361</v>
      </c>
      <c r="G287" s="5">
        <f t="shared" si="23"/>
        <v>0.32203389830508472</v>
      </c>
    </row>
    <row r="288" spans="1:7" ht="15.75" customHeight="1">
      <c r="A288" s="3">
        <v>21837</v>
      </c>
      <c r="B288" s="4">
        <v>41</v>
      </c>
      <c r="C288">
        <f t="shared" si="24"/>
        <v>59</v>
      </c>
      <c r="D288">
        <f t="shared" si="20"/>
        <v>-18</v>
      </c>
      <c r="E288">
        <f t="shared" si="21"/>
        <v>18</v>
      </c>
      <c r="F288">
        <f t="shared" si="22"/>
        <v>324</v>
      </c>
      <c r="G288" s="5">
        <f t="shared" si="23"/>
        <v>0.43902439024390244</v>
      </c>
    </row>
    <row r="289" spans="1:7" ht="15.75" customHeight="1">
      <c r="A289" s="3">
        <v>21838</v>
      </c>
      <c r="B289" s="4">
        <v>42</v>
      </c>
      <c r="C289">
        <f t="shared" si="24"/>
        <v>41</v>
      </c>
      <c r="D289">
        <f t="shared" si="20"/>
        <v>1</v>
      </c>
      <c r="E289">
        <f t="shared" si="21"/>
        <v>1</v>
      </c>
      <c r="F289">
        <f t="shared" si="22"/>
        <v>1</v>
      </c>
      <c r="G289" s="5">
        <f t="shared" si="23"/>
        <v>2.3809523809523808E-2</v>
      </c>
    </row>
    <row r="290" spans="1:7" ht="15.75" customHeight="1">
      <c r="A290" s="3">
        <v>21839</v>
      </c>
      <c r="B290" s="4">
        <v>51</v>
      </c>
      <c r="C290">
        <f t="shared" si="24"/>
        <v>42</v>
      </c>
      <c r="D290">
        <f t="shared" si="20"/>
        <v>9</v>
      </c>
      <c r="E290">
        <f t="shared" si="21"/>
        <v>9</v>
      </c>
      <c r="F290">
        <f t="shared" si="22"/>
        <v>81</v>
      </c>
      <c r="G290" s="5">
        <f t="shared" si="23"/>
        <v>0.17647058823529413</v>
      </c>
    </row>
    <row r="291" spans="1:7" ht="15.75" customHeight="1">
      <c r="A291" s="3">
        <v>21840</v>
      </c>
      <c r="B291" s="4">
        <v>49</v>
      </c>
      <c r="C291">
        <f t="shared" si="24"/>
        <v>51</v>
      </c>
      <c r="D291">
        <f t="shared" si="20"/>
        <v>-2</v>
      </c>
      <c r="E291">
        <f t="shared" si="21"/>
        <v>2</v>
      </c>
      <c r="F291">
        <f t="shared" si="22"/>
        <v>4</v>
      </c>
      <c r="G291" s="5">
        <f t="shared" si="23"/>
        <v>4.0816326530612242E-2</v>
      </c>
    </row>
    <row r="292" spans="1:7" ht="15.75" customHeight="1">
      <c r="A292" s="3">
        <v>21841</v>
      </c>
      <c r="B292" s="4">
        <v>45</v>
      </c>
      <c r="C292">
        <f t="shared" si="24"/>
        <v>49</v>
      </c>
      <c r="D292">
        <f t="shared" si="20"/>
        <v>-4</v>
      </c>
      <c r="E292">
        <f t="shared" si="21"/>
        <v>4</v>
      </c>
      <c r="F292">
        <f t="shared" si="22"/>
        <v>16</v>
      </c>
      <c r="G292" s="5">
        <f t="shared" si="23"/>
        <v>8.8888888888888892E-2</v>
      </c>
    </row>
    <row r="293" spans="1:7" ht="15.75" customHeight="1">
      <c r="A293" s="3">
        <v>21842</v>
      </c>
      <c r="B293" s="4">
        <v>43</v>
      </c>
      <c r="C293">
        <f t="shared" si="24"/>
        <v>45</v>
      </c>
      <c r="D293">
        <f t="shared" si="20"/>
        <v>-2</v>
      </c>
      <c r="E293">
        <f t="shared" si="21"/>
        <v>2</v>
      </c>
      <c r="F293">
        <f t="shared" si="22"/>
        <v>4</v>
      </c>
      <c r="G293" s="5">
        <f t="shared" si="23"/>
        <v>4.6511627906976744E-2</v>
      </c>
    </row>
    <row r="294" spans="1:7" ht="15.75" customHeight="1">
      <c r="A294" s="3">
        <v>21843</v>
      </c>
      <c r="B294" s="4">
        <v>42</v>
      </c>
      <c r="C294">
        <f t="shared" si="24"/>
        <v>43</v>
      </c>
      <c r="D294">
        <f t="shared" si="20"/>
        <v>-1</v>
      </c>
      <c r="E294">
        <f t="shared" si="21"/>
        <v>1</v>
      </c>
      <c r="F294">
        <f t="shared" si="22"/>
        <v>1</v>
      </c>
      <c r="G294" s="5">
        <f t="shared" si="23"/>
        <v>2.3809523809523808E-2</v>
      </c>
    </row>
    <row r="295" spans="1:7" ht="15.75" customHeight="1">
      <c r="A295" s="3">
        <v>21844</v>
      </c>
      <c r="B295" s="4">
        <v>38</v>
      </c>
      <c r="C295">
        <f t="shared" si="24"/>
        <v>42</v>
      </c>
      <c r="D295">
        <f t="shared" si="20"/>
        <v>-4</v>
      </c>
      <c r="E295">
        <f t="shared" si="21"/>
        <v>4</v>
      </c>
      <c r="F295">
        <f t="shared" si="22"/>
        <v>16</v>
      </c>
      <c r="G295" s="5">
        <f t="shared" si="23"/>
        <v>0.10526315789473684</v>
      </c>
    </row>
    <row r="296" spans="1:7" ht="15.75" customHeight="1">
      <c r="A296" s="3">
        <v>21845</v>
      </c>
      <c r="B296" s="4">
        <v>47</v>
      </c>
      <c r="C296">
        <f t="shared" si="24"/>
        <v>38</v>
      </c>
      <c r="D296">
        <f t="shared" si="20"/>
        <v>9</v>
      </c>
      <c r="E296">
        <f t="shared" si="21"/>
        <v>9</v>
      </c>
      <c r="F296">
        <f t="shared" si="22"/>
        <v>81</v>
      </c>
      <c r="G296" s="5">
        <f t="shared" si="23"/>
        <v>0.19148936170212766</v>
      </c>
    </row>
    <row r="297" spans="1:7" ht="15.75" customHeight="1">
      <c r="A297" s="3">
        <v>21846</v>
      </c>
      <c r="B297" s="4">
        <v>38</v>
      </c>
      <c r="C297">
        <f t="shared" si="24"/>
        <v>47</v>
      </c>
      <c r="D297">
        <f t="shared" si="20"/>
        <v>-9</v>
      </c>
      <c r="E297">
        <f t="shared" si="21"/>
        <v>9</v>
      </c>
      <c r="F297">
        <f t="shared" si="22"/>
        <v>81</v>
      </c>
      <c r="G297" s="5">
        <f t="shared" si="23"/>
        <v>0.23684210526315788</v>
      </c>
    </row>
    <row r="298" spans="1:7" ht="15.75" customHeight="1">
      <c r="A298" s="3">
        <v>21847</v>
      </c>
      <c r="B298" s="4">
        <v>36</v>
      </c>
      <c r="C298">
        <f t="shared" si="24"/>
        <v>38</v>
      </c>
      <c r="D298">
        <f t="shared" si="20"/>
        <v>-2</v>
      </c>
      <c r="E298">
        <f t="shared" si="21"/>
        <v>2</v>
      </c>
      <c r="F298">
        <f t="shared" si="22"/>
        <v>4</v>
      </c>
      <c r="G298" s="5">
        <f t="shared" si="23"/>
        <v>5.5555555555555552E-2</v>
      </c>
    </row>
    <row r="299" spans="1:7" ht="15.75" customHeight="1">
      <c r="A299" s="3">
        <v>21848</v>
      </c>
      <c r="B299" s="4">
        <v>42</v>
      </c>
      <c r="C299">
        <f t="shared" si="24"/>
        <v>36</v>
      </c>
      <c r="D299">
        <f t="shared" si="20"/>
        <v>6</v>
      </c>
      <c r="E299">
        <f t="shared" si="21"/>
        <v>6</v>
      </c>
      <c r="F299">
        <f t="shared" si="22"/>
        <v>36</v>
      </c>
      <c r="G299" s="5">
        <f t="shared" si="23"/>
        <v>0.14285714285714285</v>
      </c>
    </row>
    <row r="300" spans="1:7" ht="15.75" customHeight="1">
      <c r="A300" s="3">
        <v>21849</v>
      </c>
      <c r="B300" s="4">
        <v>35</v>
      </c>
      <c r="C300">
        <f t="shared" si="24"/>
        <v>42</v>
      </c>
      <c r="D300">
        <f t="shared" si="20"/>
        <v>-7</v>
      </c>
      <c r="E300">
        <f t="shared" si="21"/>
        <v>7</v>
      </c>
      <c r="F300">
        <f t="shared" si="22"/>
        <v>49</v>
      </c>
      <c r="G300" s="5">
        <f t="shared" si="23"/>
        <v>0.2</v>
      </c>
    </row>
    <row r="301" spans="1:7" ht="15.75" customHeight="1">
      <c r="A301" s="3">
        <v>21850</v>
      </c>
      <c r="B301" s="4">
        <v>28</v>
      </c>
      <c r="C301">
        <f t="shared" si="24"/>
        <v>35</v>
      </c>
      <c r="D301">
        <f t="shared" si="20"/>
        <v>-7</v>
      </c>
      <c r="E301">
        <f t="shared" si="21"/>
        <v>7</v>
      </c>
      <c r="F301">
        <f t="shared" si="22"/>
        <v>49</v>
      </c>
      <c r="G301" s="5">
        <f t="shared" si="23"/>
        <v>0.25</v>
      </c>
    </row>
    <row r="302" spans="1:7" ht="15.75" customHeight="1">
      <c r="A302" s="3">
        <v>21851</v>
      </c>
      <c r="B302" s="4">
        <v>44</v>
      </c>
      <c r="C302">
        <f t="shared" si="24"/>
        <v>28</v>
      </c>
      <c r="D302">
        <f t="shared" si="20"/>
        <v>16</v>
      </c>
      <c r="E302">
        <f t="shared" si="21"/>
        <v>16</v>
      </c>
      <c r="F302">
        <f t="shared" si="22"/>
        <v>256</v>
      </c>
      <c r="G302" s="5">
        <f t="shared" si="23"/>
        <v>0.36363636363636365</v>
      </c>
    </row>
    <row r="303" spans="1:7" ht="15.75" customHeight="1">
      <c r="A303" s="3">
        <v>21852</v>
      </c>
      <c r="B303" s="4">
        <v>36</v>
      </c>
      <c r="C303">
        <f t="shared" si="24"/>
        <v>44</v>
      </c>
      <c r="D303">
        <f t="shared" si="20"/>
        <v>-8</v>
      </c>
      <c r="E303">
        <f t="shared" si="21"/>
        <v>8</v>
      </c>
      <c r="F303">
        <f t="shared" si="22"/>
        <v>64</v>
      </c>
      <c r="G303" s="5">
        <f t="shared" si="23"/>
        <v>0.22222222222222221</v>
      </c>
    </row>
    <row r="304" spans="1:7" ht="15.75" customHeight="1">
      <c r="A304" s="3">
        <v>21853</v>
      </c>
      <c r="B304" s="4">
        <v>45</v>
      </c>
      <c r="C304">
        <f t="shared" si="24"/>
        <v>36</v>
      </c>
      <c r="D304">
        <f t="shared" si="20"/>
        <v>9</v>
      </c>
      <c r="E304">
        <f t="shared" si="21"/>
        <v>9</v>
      </c>
      <c r="F304">
        <f t="shared" si="22"/>
        <v>81</v>
      </c>
      <c r="G304" s="5">
        <f t="shared" si="23"/>
        <v>0.2</v>
      </c>
    </row>
    <row r="305" spans="1:7" ht="15.75" customHeight="1">
      <c r="A305" s="3">
        <v>21854</v>
      </c>
      <c r="B305" s="4">
        <v>46</v>
      </c>
      <c r="C305">
        <f t="shared" si="24"/>
        <v>45</v>
      </c>
      <c r="D305">
        <f t="shared" si="20"/>
        <v>1</v>
      </c>
      <c r="E305">
        <f t="shared" si="21"/>
        <v>1</v>
      </c>
      <c r="F305">
        <f t="shared" si="22"/>
        <v>1</v>
      </c>
      <c r="G305" s="5">
        <f t="shared" si="23"/>
        <v>2.1739130434782608E-2</v>
      </c>
    </row>
    <row r="306" spans="1:7" ht="15.75" customHeight="1">
      <c r="A306" s="3">
        <v>21855</v>
      </c>
      <c r="B306" s="4">
        <v>48</v>
      </c>
      <c r="C306">
        <f t="shared" si="24"/>
        <v>46</v>
      </c>
      <c r="D306">
        <f t="shared" si="20"/>
        <v>2</v>
      </c>
      <c r="E306">
        <f t="shared" si="21"/>
        <v>2</v>
      </c>
      <c r="F306">
        <f t="shared" si="22"/>
        <v>4</v>
      </c>
      <c r="G306" s="5">
        <f t="shared" si="23"/>
        <v>4.1666666666666664E-2</v>
      </c>
    </row>
    <row r="307" spans="1:7" ht="15.75" customHeight="1">
      <c r="A307" s="3">
        <v>21856</v>
      </c>
      <c r="B307" s="4">
        <v>49</v>
      </c>
      <c r="C307">
        <f t="shared" si="24"/>
        <v>48</v>
      </c>
      <c r="D307">
        <f t="shared" si="20"/>
        <v>1</v>
      </c>
      <c r="E307">
        <f t="shared" si="21"/>
        <v>1</v>
      </c>
      <c r="F307">
        <f t="shared" si="22"/>
        <v>1</v>
      </c>
      <c r="G307" s="5">
        <f t="shared" si="23"/>
        <v>2.0408163265306121E-2</v>
      </c>
    </row>
    <row r="308" spans="1:7" ht="15.75" customHeight="1">
      <c r="A308" s="3">
        <v>21857</v>
      </c>
      <c r="B308" s="4">
        <v>43</v>
      </c>
      <c r="C308">
        <f t="shared" si="24"/>
        <v>49</v>
      </c>
      <c r="D308">
        <f t="shared" si="20"/>
        <v>-6</v>
      </c>
      <c r="E308">
        <f t="shared" si="21"/>
        <v>6</v>
      </c>
      <c r="F308">
        <f t="shared" si="22"/>
        <v>36</v>
      </c>
      <c r="G308" s="5">
        <f t="shared" si="23"/>
        <v>0.13953488372093023</v>
      </c>
    </row>
    <row r="309" spans="1:7" ht="15.75" customHeight="1">
      <c r="A309" s="3">
        <v>21858</v>
      </c>
      <c r="B309" s="4">
        <v>42</v>
      </c>
      <c r="C309">
        <f t="shared" si="24"/>
        <v>43</v>
      </c>
      <c r="D309">
        <f t="shared" si="20"/>
        <v>-1</v>
      </c>
      <c r="E309">
        <f t="shared" si="21"/>
        <v>1</v>
      </c>
      <c r="F309">
        <f t="shared" si="22"/>
        <v>1</v>
      </c>
      <c r="G309" s="5">
        <f t="shared" si="23"/>
        <v>2.3809523809523808E-2</v>
      </c>
    </row>
    <row r="310" spans="1:7" ht="15.75" customHeight="1">
      <c r="A310" s="3">
        <v>21859</v>
      </c>
      <c r="B310" s="4">
        <v>59</v>
      </c>
      <c r="C310">
        <f t="shared" si="24"/>
        <v>42</v>
      </c>
      <c r="D310">
        <f t="shared" si="20"/>
        <v>17</v>
      </c>
      <c r="E310">
        <f t="shared" si="21"/>
        <v>17</v>
      </c>
      <c r="F310">
        <f t="shared" si="22"/>
        <v>289</v>
      </c>
      <c r="G310" s="5">
        <f t="shared" si="23"/>
        <v>0.28813559322033899</v>
      </c>
    </row>
    <row r="311" spans="1:7" ht="15.75" customHeight="1">
      <c r="A311" s="3">
        <v>21860</v>
      </c>
      <c r="B311" s="4">
        <v>45</v>
      </c>
      <c r="C311">
        <f t="shared" si="24"/>
        <v>59</v>
      </c>
      <c r="D311">
        <f t="shared" si="20"/>
        <v>-14</v>
      </c>
      <c r="E311">
        <f t="shared" si="21"/>
        <v>14</v>
      </c>
      <c r="F311">
        <f t="shared" si="22"/>
        <v>196</v>
      </c>
      <c r="G311" s="5">
        <f t="shared" si="23"/>
        <v>0.31111111111111112</v>
      </c>
    </row>
    <row r="312" spans="1:7" ht="15.75" customHeight="1">
      <c r="A312" s="3">
        <v>21861</v>
      </c>
      <c r="B312" s="4">
        <v>52</v>
      </c>
      <c r="C312">
        <f t="shared" si="24"/>
        <v>45</v>
      </c>
      <c r="D312">
        <f t="shared" si="20"/>
        <v>7</v>
      </c>
      <c r="E312">
        <f t="shared" si="21"/>
        <v>7</v>
      </c>
      <c r="F312">
        <f t="shared" si="22"/>
        <v>49</v>
      </c>
      <c r="G312" s="5">
        <f t="shared" si="23"/>
        <v>0.13461538461538461</v>
      </c>
    </row>
    <row r="313" spans="1:7" ht="15.75" customHeight="1">
      <c r="A313" s="3">
        <v>21862</v>
      </c>
      <c r="B313" s="4">
        <v>46</v>
      </c>
      <c r="C313">
        <f t="shared" si="24"/>
        <v>52</v>
      </c>
      <c r="D313">
        <f t="shared" si="20"/>
        <v>-6</v>
      </c>
      <c r="E313">
        <f t="shared" si="21"/>
        <v>6</v>
      </c>
      <c r="F313">
        <f t="shared" si="22"/>
        <v>36</v>
      </c>
      <c r="G313" s="5">
        <f t="shared" si="23"/>
        <v>0.13043478260869565</v>
      </c>
    </row>
    <row r="314" spans="1:7" ht="15.75" customHeight="1">
      <c r="A314" s="3">
        <v>21863</v>
      </c>
      <c r="B314" s="4">
        <v>42</v>
      </c>
      <c r="C314">
        <f t="shared" si="24"/>
        <v>46</v>
      </c>
      <c r="D314">
        <f t="shared" si="20"/>
        <v>-4</v>
      </c>
      <c r="E314">
        <f t="shared" si="21"/>
        <v>4</v>
      </c>
      <c r="F314">
        <f t="shared" si="22"/>
        <v>16</v>
      </c>
      <c r="G314" s="5">
        <f t="shared" si="23"/>
        <v>9.5238095238095233E-2</v>
      </c>
    </row>
    <row r="315" spans="1:7" ht="15.75" customHeight="1">
      <c r="A315" s="3">
        <v>21864</v>
      </c>
      <c r="B315" s="4">
        <v>40</v>
      </c>
      <c r="C315">
        <f t="shared" si="24"/>
        <v>42</v>
      </c>
      <c r="D315">
        <f t="shared" si="20"/>
        <v>-2</v>
      </c>
      <c r="E315">
        <f t="shared" si="21"/>
        <v>2</v>
      </c>
      <c r="F315">
        <f t="shared" si="22"/>
        <v>4</v>
      </c>
      <c r="G315" s="5">
        <f t="shared" si="23"/>
        <v>0.05</v>
      </c>
    </row>
    <row r="316" spans="1:7" ht="15.75" customHeight="1">
      <c r="A316" s="3">
        <v>21865</v>
      </c>
      <c r="B316" s="4">
        <v>40</v>
      </c>
      <c r="C316">
        <f t="shared" si="24"/>
        <v>40</v>
      </c>
      <c r="D316">
        <f t="shared" si="20"/>
        <v>0</v>
      </c>
      <c r="E316">
        <f t="shared" si="21"/>
        <v>0</v>
      </c>
      <c r="F316">
        <f t="shared" si="22"/>
        <v>0</v>
      </c>
      <c r="G316" s="5">
        <f t="shared" si="23"/>
        <v>0</v>
      </c>
    </row>
    <row r="317" spans="1:7" ht="15.75" customHeight="1">
      <c r="A317" s="3">
        <v>21866</v>
      </c>
      <c r="B317" s="4">
        <v>45</v>
      </c>
      <c r="C317">
        <f t="shared" si="24"/>
        <v>40</v>
      </c>
      <c r="D317">
        <f t="shared" si="20"/>
        <v>5</v>
      </c>
      <c r="E317">
        <f t="shared" si="21"/>
        <v>5</v>
      </c>
      <c r="F317">
        <f t="shared" si="22"/>
        <v>25</v>
      </c>
      <c r="G317" s="5">
        <f t="shared" si="23"/>
        <v>0.1111111111111111</v>
      </c>
    </row>
    <row r="318" spans="1:7" ht="15.75" customHeight="1">
      <c r="A318" s="3">
        <v>21867</v>
      </c>
      <c r="B318" s="4">
        <v>35</v>
      </c>
      <c r="C318">
        <f t="shared" si="24"/>
        <v>45</v>
      </c>
      <c r="D318">
        <f t="shared" si="20"/>
        <v>-10</v>
      </c>
      <c r="E318">
        <f t="shared" si="21"/>
        <v>10</v>
      </c>
      <c r="F318">
        <f t="shared" si="22"/>
        <v>100</v>
      </c>
      <c r="G318" s="5">
        <f t="shared" si="23"/>
        <v>0.2857142857142857</v>
      </c>
    </row>
    <row r="319" spans="1:7" ht="15.75" customHeight="1">
      <c r="A319" s="3">
        <v>21868</v>
      </c>
      <c r="B319" s="4">
        <v>35</v>
      </c>
      <c r="C319">
        <f t="shared" si="24"/>
        <v>35</v>
      </c>
      <c r="D319">
        <f t="shared" si="20"/>
        <v>0</v>
      </c>
      <c r="E319">
        <f t="shared" si="21"/>
        <v>0</v>
      </c>
      <c r="F319">
        <f t="shared" si="22"/>
        <v>0</v>
      </c>
      <c r="G319" s="5">
        <f t="shared" si="23"/>
        <v>0</v>
      </c>
    </row>
    <row r="320" spans="1:7" ht="15.75" customHeight="1">
      <c r="A320" s="3">
        <v>21869</v>
      </c>
      <c r="B320" s="4">
        <v>40</v>
      </c>
      <c r="C320">
        <f t="shared" si="24"/>
        <v>35</v>
      </c>
      <c r="D320">
        <f t="shared" si="20"/>
        <v>5</v>
      </c>
      <c r="E320">
        <f t="shared" si="21"/>
        <v>5</v>
      </c>
      <c r="F320">
        <f t="shared" si="22"/>
        <v>25</v>
      </c>
      <c r="G320" s="5">
        <f t="shared" si="23"/>
        <v>0.125</v>
      </c>
    </row>
    <row r="321" spans="1:7" ht="15.75" customHeight="1">
      <c r="A321" s="3">
        <v>21870</v>
      </c>
      <c r="B321" s="4">
        <v>39</v>
      </c>
      <c r="C321">
        <f t="shared" si="24"/>
        <v>40</v>
      </c>
      <c r="D321">
        <f t="shared" si="20"/>
        <v>-1</v>
      </c>
      <c r="E321">
        <f t="shared" si="21"/>
        <v>1</v>
      </c>
      <c r="F321">
        <f t="shared" si="22"/>
        <v>1</v>
      </c>
      <c r="G321" s="5">
        <f t="shared" si="23"/>
        <v>2.564102564102564E-2</v>
      </c>
    </row>
    <row r="322" spans="1:7" ht="15.75" customHeight="1">
      <c r="A322" s="3">
        <v>21871</v>
      </c>
      <c r="B322" s="4">
        <v>33</v>
      </c>
      <c r="C322">
        <f t="shared" si="24"/>
        <v>39</v>
      </c>
      <c r="D322">
        <f t="shared" si="20"/>
        <v>-6</v>
      </c>
      <c r="E322">
        <f t="shared" si="21"/>
        <v>6</v>
      </c>
      <c r="F322">
        <f t="shared" si="22"/>
        <v>36</v>
      </c>
      <c r="G322" s="5">
        <f t="shared" si="23"/>
        <v>0.18181818181818182</v>
      </c>
    </row>
    <row r="323" spans="1:7" ht="15.75" customHeight="1">
      <c r="A323" s="3">
        <v>21872</v>
      </c>
      <c r="B323" s="4">
        <v>42</v>
      </c>
      <c r="C323">
        <f t="shared" si="24"/>
        <v>33</v>
      </c>
      <c r="D323">
        <f t="shared" si="20"/>
        <v>9</v>
      </c>
      <c r="E323">
        <f t="shared" si="21"/>
        <v>9</v>
      </c>
      <c r="F323">
        <f t="shared" si="22"/>
        <v>81</v>
      </c>
      <c r="G323" s="5">
        <f t="shared" si="23"/>
        <v>0.21428571428571427</v>
      </c>
    </row>
    <row r="324" spans="1:7" ht="15.75" customHeight="1">
      <c r="A324" s="3">
        <v>21873</v>
      </c>
      <c r="B324" s="4">
        <v>47</v>
      </c>
      <c r="C324">
        <f t="shared" si="24"/>
        <v>42</v>
      </c>
      <c r="D324">
        <f t="shared" ref="D324:D366" si="25">B324 - C324</f>
        <v>5</v>
      </c>
      <c r="E324">
        <f t="shared" ref="E324:E366" si="26">ABS(D324)</f>
        <v>5</v>
      </c>
      <c r="F324">
        <f t="shared" ref="F324:F366" si="27">E324^2</f>
        <v>25</v>
      </c>
      <c r="G324" s="5">
        <f t="shared" ref="G324:G366" si="28">E324/B324</f>
        <v>0.10638297872340426</v>
      </c>
    </row>
    <row r="325" spans="1:7" ht="15.75" customHeight="1">
      <c r="A325" s="3">
        <v>21874</v>
      </c>
      <c r="B325" s="4">
        <v>51</v>
      </c>
      <c r="C325">
        <f t="shared" ref="C325:C338" si="29">B324</f>
        <v>47</v>
      </c>
      <c r="D325">
        <f t="shared" si="25"/>
        <v>4</v>
      </c>
      <c r="E325">
        <f t="shared" si="26"/>
        <v>4</v>
      </c>
      <c r="F325">
        <f t="shared" si="27"/>
        <v>16</v>
      </c>
      <c r="G325" s="5">
        <f t="shared" si="28"/>
        <v>7.8431372549019607E-2</v>
      </c>
    </row>
    <row r="326" spans="1:7" ht="15.75" customHeight="1">
      <c r="A326" s="3">
        <v>21875</v>
      </c>
      <c r="B326" s="4">
        <v>44</v>
      </c>
      <c r="C326">
        <f t="shared" si="29"/>
        <v>51</v>
      </c>
      <c r="D326">
        <f t="shared" si="25"/>
        <v>-7</v>
      </c>
      <c r="E326">
        <f t="shared" si="26"/>
        <v>7</v>
      </c>
      <c r="F326">
        <f t="shared" si="27"/>
        <v>49</v>
      </c>
      <c r="G326" s="5">
        <f t="shared" si="28"/>
        <v>0.15909090909090909</v>
      </c>
    </row>
    <row r="327" spans="1:7" ht="15.75" customHeight="1">
      <c r="A327" s="3">
        <v>21876</v>
      </c>
      <c r="B327" s="4">
        <v>40</v>
      </c>
      <c r="C327">
        <f t="shared" si="29"/>
        <v>44</v>
      </c>
      <c r="D327">
        <f t="shared" si="25"/>
        <v>-4</v>
      </c>
      <c r="E327">
        <f t="shared" si="26"/>
        <v>4</v>
      </c>
      <c r="F327">
        <f t="shared" si="27"/>
        <v>16</v>
      </c>
      <c r="G327" s="5">
        <f t="shared" si="28"/>
        <v>0.1</v>
      </c>
    </row>
    <row r="328" spans="1:7" ht="15.75" customHeight="1">
      <c r="A328" s="3">
        <v>21877</v>
      </c>
      <c r="B328" s="4">
        <v>57</v>
      </c>
      <c r="C328">
        <f t="shared" si="29"/>
        <v>40</v>
      </c>
      <c r="D328">
        <f t="shared" si="25"/>
        <v>17</v>
      </c>
      <c r="E328">
        <f t="shared" si="26"/>
        <v>17</v>
      </c>
      <c r="F328">
        <f t="shared" si="27"/>
        <v>289</v>
      </c>
      <c r="G328" s="5">
        <f t="shared" si="28"/>
        <v>0.2982456140350877</v>
      </c>
    </row>
    <row r="329" spans="1:7" ht="15.75" customHeight="1">
      <c r="A329" s="3">
        <v>21878</v>
      </c>
      <c r="B329" s="4">
        <v>49</v>
      </c>
      <c r="C329">
        <f t="shared" si="29"/>
        <v>57</v>
      </c>
      <c r="D329">
        <f t="shared" si="25"/>
        <v>-8</v>
      </c>
      <c r="E329">
        <f t="shared" si="26"/>
        <v>8</v>
      </c>
      <c r="F329">
        <f t="shared" si="27"/>
        <v>64</v>
      </c>
      <c r="G329" s="5">
        <f t="shared" si="28"/>
        <v>0.16326530612244897</v>
      </c>
    </row>
    <row r="330" spans="1:7" ht="15.75" customHeight="1">
      <c r="A330" s="3">
        <v>21879</v>
      </c>
      <c r="B330" s="4">
        <v>45</v>
      </c>
      <c r="C330">
        <f t="shared" si="29"/>
        <v>49</v>
      </c>
      <c r="D330">
        <f t="shared" si="25"/>
        <v>-4</v>
      </c>
      <c r="E330">
        <f t="shared" si="26"/>
        <v>4</v>
      </c>
      <c r="F330">
        <f t="shared" si="27"/>
        <v>16</v>
      </c>
      <c r="G330" s="5">
        <f t="shared" si="28"/>
        <v>8.8888888888888892E-2</v>
      </c>
    </row>
    <row r="331" spans="1:7" ht="15.75" customHeight="1">
      <c r="A331" s="3">
        <v>21880</v>
      </c>
      <c r="B331" s="4">
        <v>49</v>
      </c>
      <c r="C331">
        <f t="shared" si="29"/>
        <v>45</v>
      </c>
      <c r="D331">
        <f t="shared" si="25"/>
        <v>4</v>
      </c>
      <c r="E331">
        <f t="shared" si="26"/>
        <v>4</v>
      </c>
      <c r="F331">
        <f t="shared" si="27"/>
        <v>16</v>
      </c>
      <c r="G331" s="5">
        <f t="shared" si="28"/>
        <v>8.1632653061224483E-2</v>
      </c>
    </row>
    <row r="332" spans="1:7" ht="15.75" customHeight="1">
      <c r="A332" s="3">
        <v>21881</v>
      </c>
      <c r="B332" s="4">
        <v>51</v>
      </c>
      <c r="C332">
        <f t="shared" si="29"/>
        <v>49</v>
      </c>
      <c r="D332">
        <f t="shared" si="25"/>
        <v>2</v>
      </c>
      <c r="E332">
        <f t="shared" si="26"/>
        <v>2</v>
      </c>
      <c r="F332">
        <f t="shared" si="27"/>
        <v>4</v>
      </c>
      <c r="G332" s="5">
        <f t="shared" si="28"/>
        <v>3.9215686274509803E-2</v>
      </c>
    </row>
    <row r="333" spans="1:7" ht="15.75" customHeight="1">
      <c r="A333" s="3">
        <v>21882</v>
      </c>
      <c r="B333" s="4">
        <v>46</v>
      </c>
      <c r="C333">
        <f t="shared" si="29"/>
        <v>51</v>
      </c>
      <c r="D333">
        <f t="shared" si="25"/>
        <v>-5</v>
      </c>
      <c r="E333">
        <f t="shared" si="26"/>
        <v>5</v>
      </c>
      <c r="F333">
        <f t="shared" si="27"/>
        <v>25</v>
      </c>
      <c r="G333" s="5">
        <f t="shared" si="28"/>
        <v>0.10869565217391304</v>
      </c>
    </row>
    <row r="334" spans="1:7" ht="15.75" customHeight="1">
      <c r="A334" s="3">
        <v>21883</v>
      </c>
      <c r="B334" s="4">
        <v>44</v>
      </c>
      <c r="C334">
        <f t="shared" si="29"/>
        <v>46</v>
      </c>
      <c r="D334">
        <f t="shared" si="25"/>
        <v>-2</v>
      </c>
      <c r="E334">
        <f t="shared" si="26"/>
        <v>2</v>
      </c>
      <c r="F334">
        <f t="shared" si="27"/>
        <v>4</v>
      </c>
      <c r="G334" s="5">
        <f t="shared" si="28"/>
        <v>4.5454545454545456E-2</v>
      </c>
    </row>
    <row r="335" spans="1:7" ht="15.75" customHeight="1">
      <c r="A335" s="3">
        <v>21884</v>
      </c>
      <c r="B335" s="4">
        <v>52</v>
      </c>
      <c r="C335">
        <f t="shared" si="29"/>
        <v>44</v>
      </c>
      <c r="D335">
        <f t="shared" si="25"/>
        <v>8</v>
      </c>
      <c r="E335">
        <f t="shared" si="26"/>
        <v>8</v>
      </c>
      <c r="F335">
        <f t="shared" si="27"/>
        <v>64</v>
      </c>
      <c r="G335" s="5">
        <f t="shared" si="28"/>
        <v>0.15384615384615385</v>
      </c>
    </row>
    <row r="336" spans="1:7" ht="15.75" customHeight="1">
      <c r="A336" s="3">
        <v>21885</v>
      </c>
      <c r="B336" s="4">
        <v>45</v>
      </c>
      <c r="C336">
        <f t="shared" si="29"/>
        <v>52</v>
      </c>
      <c r="D336">
        <f t="shared" si="25"/>
        <v>-7</v>
      </c>
      <c r="E336">
        <f t="shared" si="26"/>
        <v>7</v>
      </c>
      <c r="F336">
        <f t="shared" si="27"/>
        <v>49</v>
      </c>
      <c r="G336" s="5">
        <f t="shared" si="28"/>
        <v>0.15555555555555556</v>
      </c>
    </row>
    <row r="337" spans="1:7" ht="15.75" customHeight="1">
      <c r="A337" s="3">
        <v>21886</v>
      </c>
      <c r="B337" s="4">
        <v>32</v>
      </c>
      <c r="C337">
        <f t="shared" si="29"/>
        <v>45</v>
      </c>
      <c r="D337">
        <f t="shared" si="25"/>
        <v>-13</v>
      </c>
      <c r="E337">
        <f t="shared" si="26"/>
        <v>13</v>
      </c>
      <c r="F337">
        <f t="shared" si="27"/>
        <v>169</v>
      </c>
      <c r="G337" s="5">
        <f t="shared" si="28"/>
        <v>0.40625</v>
      </c>
    </row>
    <row r="338" spans="1:7" ht="15.75" customHeight="1">
      <c r="A338" s="3">
        <v>21887</v>
      </c>
      <c r="B338" s="4">
        <v>46</v>
      </c>
      <c r="C338">
        <f t="shared" si="29"/>
        <v>32</v>
      </c>
      <c r="D338">
        <f t="shared" si="25"/>
        <v>14</v>
      </c>
      <c r="E338">
        <f t="shared" si="26"/>
        <v>14</v>
      </c>
      <c r="F338">
        <f t="shared" si="27"/>
        <v>196</v>
      </c>
      <c r="G338" s="5">
        <f t="shared" si="28"/>
        <v>0.30434782608695654</v>
      </c>
    </row>
    <row r="339" spans="1:7" ht="15.75" customHeight="1">
      <c r="A339" s="3">
        <v>21888</v>
      </c>
      <c r="B339" s="4">
        <v>41</v>
      </c>
      <c r="C339">
        <f>B338</f>
        <v>46</v>
      </c>
      <c r="D339">
        <f t="shared" si="25"/>
        <v>-5</v>
      </c>
      <c r="E339">
        <f t="shared" si="26"/>
        <v>5</v>
      </c>
      <c r="F339">
        <f t="shared" si="27"/>
        <v>25</v>
      </c>
      <c r="G339" s="5">
        <f t="shared" si="28"/>
        <v>0.12195121951219512</v>
      </c>
    </row>
    <row r="340" spans="1:7" ht="15.75" customHeight="1">
      <c r="A340" s="3">
        <v>21889</v>
      </c>
      <c r="B340" s="4">
        <v>34</v>
      </c>
      <c r="C340">
        <f>B339</f>
        <v>41</v>
      </c>
      <c r="D340">
        <f t="shared" si="25"/>
        <v>-7</v>
      </c>
      <c r="E340">
        <f t="shared" si="26"/>
        <v>7</v>
      </c>
      <c r="F340">
        <f t="shared" si="27"/>
        <v>49</v>
      </c>
      <c r="G340" s="5">
        <f t="shared" si="28"/>
        <v>0.20588235294117646</v>
      </c>
    </row>
    <row r="341" spans="1:7" ht="15.75" customHeight="1">
      <c r="A341" s="3">
        <v>21890</v>
      </c>
      <c r="B341" s="4">
        <v>33</v>
      </c>
      <c r="C341">
        <f t="shared" ref="C341:C366" si="30">B340</f>
        <v>34</v>
      </c>
      <c r="D341">
        <f t="shared" si="25"/>
        <v>-1</v>
      </c>
      <c r="E341">
        <f t="shared" si="26"/>
        <v>1</v>
      </c>
      <c r="F341">
        <f t="shared" si="27"/>
        <v>1</v>
      </c>
      <c r="G341" s="5">
        <f t="shared" si="28"/>
        <v>3.0303030303030304E-2</v>
      </c>
    </row>
    <row r="342" spans="1:7" ht="15.75" customHeight="1">
      <c r="A342" s="3">
        <v>21891</v>
      </c>
      <c r="B342" s="4">
        <v>36</v>
      </c>
      <c r="C342">
        <f t="shared" si="30"/>
        <v>33</v>
      </c>
      <c r="D342">
        <f t="shared" si="25"/>
        <v>3</v>
      </c>
      <c r="E342">
        <f t="shared" si="26"/>
        <v>3</v>
      </c>
      <c r="F342">
        <f t="shared" si="27"/>
        <v>9</v>
      </c>
      <c r="G342" s="5">
        <f t="shared" si="28"/>
        <v>8.3333333333333329E-2</v>
      </c>
    </row>
    <row r="343" spans="1:7" ht="15.75" customHeight="1">
      <c r="A343" s="3">
        <v>21892</v>
      </c>
      <c r="B343" s="4">
        <v>49</v>
      </c>
      <c r="C343">
        <f t="shared" si="30"/>
        <v>36</v>
      </c>
      <c r="D343">
        <f t="shared" si="25"/>
        <v>13</v>
      </c>
      <c r="E343">
        <f t="shared" si="26"/>
        <v>13</v>
      </c>
      <c r="F343">
        <f t="shared" si="27"/>
        <v>169</v>
      </c>
      <c r="G343" s="5">
        <f t="shared" si="28"/>
        <v>0.26530612244897961</v>
      </c>
    </row>
    <row r="344" spans="1:7" ht="15.75" customHeight="1">
      <c r="A344" s="3">
        <v>21893</v>
      </c>
      <c r="B344" s="4">
        <v>43</v>
      </c>
      <c r="C344">
        <f t="shared" si="30"/>
        <v>49</v>
      </c>
      <c r="D344">
        <f t="shared" si="25"/>
        <v>-6</v>
      </c>
      <c r="E344">
        <f t="shared" si="26"/>
        <v>6</v>
      </c>
      <c r="F344">
        <f t="shared" si="27"/>
        <v>36</v>
      </c>
      <c r="G344" s="5">
        <f t="shared" si="28"/>
        <v>0.13953488372093023</v>
      </c>
    </row>
    <row r="345" spans="1:7" ht="15.75" customHeight="1">
      <c r="A345" s="3">
        <v>21894</v>
      </c>
      <c r="B345" s="4">
        <v>43</v>
      </c>
      <c r="C345">
        <f t="shared" si="30"/>
        <v>43</v>
      </c>
      <c r="D345">
        <f t="shared" si="25"/>
        <v>0</v>
      </c>
      <c r="E345">
        <f t="shared" si="26"/>
        <v>0</v>
      </c>
      <c r="F345">
        <f t="shared" si="27"/>
        <v>0</v>
      </c>
      <c r="G345" s="5">
        <f t="shared" si="28"/>
        <v>0</v>
      </c>
    </row>
    <row r="346" spans="1:7" ht="15.75" customHeight="1">
      <c r="A346" s="3">
        <v>21895</v>
      </c>
      <c r="B346" s="4">
        <v>34</v>
      </c>
      <c r="C346">
        <f t="shared" si="30"/>
        <v>43</v>
      </c>
      <c r="D346">
        <f t="shared" si="25"/>
        <v>-9</v>
      </c>
      <c r="E346">
        <f t="shared" si="26"/>
        <v>9</v>
      </c>
      <c r="F346">
        <f t="shared" si="27"/>
        <v>81</v>
      </c>
      <c r="G346" s="5">
        <f t="shared" si="28"/>
        <v>0.26470588235294118</v>
      </c>
    </row>
    <row r="347" spans="1:7" ht="15.75" customHeight="1">
      <c r="A347" s="3">
        <v>21896</v>
      </c>
      <c r="B347" s="4">
        <v>39</v>
      </c>
      <c r="C347">
        <f t="shared" si="30"/>
        <v>34</v>
      </c>
      <c r="D347">
        <f t="shared" si="25"/>
        <v>5</v>
      </c>
      <c r="E347">
        <f t="shared" si="26"/>
        <v>5</v>
      </c>
      <c r="F347">
        <f t="shared" si="27"/>
        <v>25</v>
      </c>
      <c r="G347" s="5">
        <f t="shared" si="28"/>
        <v>0.12820512820512819</v>
      </c>
    </row>
    <row r="348" spans="1:7" ht="15.75" customHeight="1">
      <c r="A348" s="3">
        <v>21897</v>
      </c>
      <c r="B348" s="4">
        <v>35</v>
      </c>
      <c r="C348">
        <f t="shared" si="30"/>
        <v>39</v>
      </c>
      <c r="D348">
        <f t="shared" si="25"/>
        <v>-4</v>
      </c>
      <c r="E348">
        <f t="shared" si="26"/>
        <v>4</v>
      </c>
      <c r="F348">
        <f t="shared" si="27"/>
        <v>16</v>
      </c>
      <c r="G348" s="5">
        <f t="shared" si="28"/>
        <v>0.11428571428571428</v>
      </c>
    </row>
    <row r="349" spans="1:7" ht="15.75" customHeight="1">
      <c r="A349" s="3">
        <v>21898</v>
      </c>
      <c r="B349" s="4">
        <v>52</v>
      </c>
      <c r="C349">
        <f t="shared" si="30"/>
        <v>35</v>
      </c>
      <c r="D349">
        <f t="shared" si="25"/>
        <v>17</v>
      </c>
      <c r="E349">
        <f t="shared" si="26"/>
        <v>17</v>
      </c>
      <c r="F349">
        <f t="shared" si="27"/>
        <v>289</v>
      </c>
      <c r="G349" s="5">
        <f t="shared" si="28"/>
        <v>0.32692307692307693</v>
      </c>
    </row>
    <row r="350" spans="1:7" ht="15.75" customHeight="1">
      <c r="A350" s="3">
        <v>21899</v>
      </c>
      <c r="B350" s="4">
        <v>47</v>
      </c>
      <c r="C350">
        <f t="shared" si="30"/>
        <v>52</v>
      </c>
      <c r="D350">
        <f t="shared" si="25"/>
        <v>-5</v>
      </c>
      <c r="E350">
        <f t="shared" si="26"/>
        <v>5</v>
      </c>
      <c r="F350">
        <f t="shared" si="27"/>
        <v>25</v>
      </c>
      <c r="G350" s="5">
        <f t="shared" si="28"/>
        <v>0.10638297872340426</v>
      </c>
    </row>
    <row r="351" spans="1:7" ht="15.75" customHeight="1">
      <c r="A351" s="3">
        <v>21900</v>
      </c>
      <c r="B351" s="4">
        <v>52</v>
      </c>
      <c r="C351">
        <f t="shared" si="30"/>
        <v>47</v>
      </c>
      <c r="D351">
        <f t="shared" si="25"/>
        <v>5</v>
      </c>
      <c r="E351">
        <f t="shared" si="26"/>
        <v>5</v>
      </c>
      <c r="F351">
        <f t="shared" si="27"/>
        <v>25</v>
      </c>
      <c r="G351" s="5">
        <f t="shared" si="28"/>
        <v>9.6153846153846159E-2</v>
      </c>
    </row>
    <row r="352" spans="1:7" ht="15.75" customHeight="1">
      <c r="A352" s="3">
        <v>21901</v>
      </c>
      <c r="B352" s="4">
        <v>39</v>
      </c>
      <c r="C352">
        <f t="shared" si="30"/>
        <v>52</v>
      </c>
      <c r="D352">
        <f t="shared" si="25"/>
        <v>-13</v>
      </c>
      <c r="E352">
        <f t="shared" si="26"/>
        <v>13</v>
      </c>
      <c r="F352">
        <f t="shared" si="27"/>
        <v>169</v>
      </c>
      <c r="G352" s="5">
        <f t="shared" si="28"/>
        <v>0.33333333333333331</v>
      </c>
    </row>
    <row r="353" spans="1:7" ht="15.75" customHeight="1">
      <c r="A353" s="3">
        <v>21902</v>
      </c>
      <c r="B353" s="4">
        <v>40</v>
      </c>
      <c r="C353">
        <f t="shared" si="30"/>
        <v>39</v>
      </c>
      <c r="D353">
        <f t="shared" si="25"/>
        <v>1</v>
      </c>
      <c r="E353">
        <f t="shared" si="26"/>
        <v>1</v>
      </c>
      <c r="F353">
        <f t="shared" si="27"/>
        <v>1</v>
      </c>
      <c r="G353" s="5">
        <f t="shared" si="28"/>
        <v>2.5000000000000001E-2</v>
      </c>
    </row>
    <row r="354" spans="1:7" ht="15.75" customHeight="1">
      <c r="A354" s="3">
        <v>21903</v>
      </c>
      <c r="B354" s="4">
        <v>42</v>
      </c>
      <c r="C354">
        <f t="shared" si="30"/>
        <v>40</v>
      </c>
      <c r="D354">
        <f t="shared" si="25"/>
        <v>2</v>
      </c>
      <c r="E354">
        <f t="shared" si="26"/>
        <v>2</v>
      </c>
      <c r="F354">
        <f t="shared" si="27"/>
        <v>4</v>
      </c>
      <c r="G354" s="5">
        <f t="shared" si="28"/>
        <v>4.7619047619047616E-2</v>
      </c>
    </row>
    <row r="355" spans="1:7" ht="15.75" customHeight="1">
      <c r="A355" s="3">
        <v>21904</v>
      </c>
      <c r="B355" s="4">
        <v>42</v>
      </c>
      <c r="C355">
        <f t="shared" si="30"/>
        <v>42</v>
      </c>
      <c r="D355">
        <f t="shared" si="25"/>
        <v>0</v>
      </c>
      <c r="E355">
        <f t="shared" si="26"/>
        <v>0</v>
      </c>
      <c r="F355">
        <f t="shared" si="27"/>
        <v>0</v>
      </c>
      <c r="G355" s="5">
        <f t="shared" si="28"/>
        <v>0</v>
      </c>
    </row>
    <row r="356" spans="1:7" ht="15.75" customHeight="1">
      <c r="A356" s="3">
        <v>21905</v>
      </c>
      <c r="B356" s="4">
        <v>53</v>
      </c>
      <c r="C356">
        <f t="shared" si="30"/>
        <v>42</v>
      </c>
      <c r="D356">
        <f t="shared" si="25"/>
        <v>11</v>
      </c>
      <c r="E356">
        <f t="shared" si="26"/>
        <v>11</v>
      </c>
      <c r="F356">
        <f t="shared" si="27"/>
        <v>121</v>
      </c>
      <c r="G356" s="5">
        <f t="shared" si="28"/>
        <v>0.20754716981132076</v>
      </c>
    </row>
    <row r="357" spans="1:7" ht="15.75" customHeight="1">
      <c r="A357" s="3">
        <v>21906</v>
      </c>
      <c r="B357" s="4">
        <v>39</v>
      </c>
      <c r="C357">
        <f t="shared" si="30"/>
        <v>53</v>
      </c>
      <c r="D357">
        <f t="shared" si="25"/>
        <v>-14</v>
      </c>
      <c r="E357">
        <f t="shared" si="26"/>
        <v>14</v>
      </c>
      <c r="F357">
        <f t="shared" si="27"/>
        <v>196</v>
      </c>
      <c r="G357" s="5">
        <f t="shared" si="28"/>
        <v>0.35897435897435898</v>
      </c>
    </row>
    <row r="358" spans="1:7" ht="15.75" customHeight="1">
      <c r="A358" s="3">
        <v>21907</v>
      </c>
      <c r="B358" s="4">
        <v>40</v>
      </c>
      <c r="C358">
        <f t="shared" si="30"/>
        <v>39</v>
      </c>
      <c r="D358">
        <f t="shared" si="25"/>
        <v>1</v>
      </c>
      <c r="E358">
        <f t="shared" si="26"/>
        <v>1</v>
      </c>
      <c r="F358">
        <f t="shared" si="27"/>
        <v>1</v>
      </c>
      <c r="G358" s="5">
        <f t="shared" si="28"/>
        <v>2.5000000000000001E-2</v>
      </c>
    </row>
    <row r="359" spans="1:7" ht="15.75" customHeight="1">
      <c r="A359" s="3">
        <v>21908</v>
      </c>
      <c r="B359" s="4">
        <v>38</v>
      </c>
      <c r="C359">
        <f t="shared" si="30"/>
        <v>40</v>
      </c>
      <c r="D359">
        <f t="shared" si="25"/>
        <v>-2</v>
      </c>
      <c r="E359">
        <f t="shared" si="26"/>
        <v>2</v>
      </c>
      <c r="F359">
        <f t="shared" si="27"/>
        <v>4</v>
      </c>
      <c r="G359" s="5">
        <f t="shared" si="28"/>
        <v>5.2631578947368418E-2</v>
      </c>
    </row>
    <row r="360" spans="1:7" ht="15.75" customHeight="1">
      <c r="A360" s="3">
        <v>21909</v>
      </c>
      <c r="B360" s="4">
        <v>44</v>
      </c>
      <c r="C360">
        <f t="shared" si="30"/>
        <v>38</v>
      </c>
      <c r="D360">
        <f t="shared" si="25"/>
        <v>6</v>
      </c>
      <c r="E360">
        <f t="shared" si="26"/>
        <v>6</v>
      </c>
      <c r="F360">
        <f t="shared" si="27"/>
        <v>36</v>
      </c>
      <c r="G360" s="5">
        <f t="shared" si="28"/>
        <v>0.13636363636363635</v>
      </c>
    </row>
    <row r="361" spans="1:7" ht="15.75" customHeight="1">
      <c r="A361" s="3">
        <v>21910</v>
      </c>
      <c r="B361" s="4">
        <v>34</v>
      </c>
      <c r="C361">
        <f t="shared" si="30"/>
        <v>44</v>
      </c>
      <c r="D361">
        <f t="shared" si="25"/>
        <v>-10</v>
      </c>
      <c r="E361">
        <f t="shared" si="26"/>
        <v>10</v>
      </c>
      <c r="F361">
        <f t="shared" si="27"/>
        <v>100</v>
      </c>
      <c r="G361" s="5">
        <f t="shared" si="28"/>
        <v>0.29411764705882354</v>
      </c>
    </row>
    <row r="362" spans="1:7" ht="15.75" customHeight="1">
      <c r="A362" s="3">
        <v>21911</v>
      </c>
      <c r="B362" s="4">
        <v>37</v>
      </c>
      <c r="C362">
        <f t="shared" si="30"/>
        <v>34</v>
      </c>
      <c r="D362">
        <f t="shared" si="25"/>
        <v>3</v>
      </c>
      <c r="E362">
        <f t="shared" si="26"/>
        <v>3</v>
      </c>
      <c r="F362">
        <f t="shared" si="27"/>
        <v>9</v>
      </c>
      <c r="G362" s="5">
        <f t="shared" si="28"/>
        <v>8.1081081081081086E-2</v>
      </c>
    </row>
    <row r="363" spans="1:7" ht="15.75" customHeight="1">
      <c r="A363" s="3">
        <v>21912</v>
      </c>
      <c r="B363" s="4">
        <v>52</v>
      </c>
      <c r="C363">
        <f t="shared" si="30"/>
        <v>37</v>
      </c>
      <c r="D363">
        <f t="shared" si="25"/>
        <v>15</v>
      </c>
      <c r="E363">
        <f t="shared" si="26"/>
        <v>15</v>
      </c>
      <c r="F363">
        <f t="shared" si="27"/>
        <v>225</v>
      </c>
      <c r="G363" s="5">
        <f t="shared" si="28"/>
        <v>0.28846153846153844</v>
      </c>
    </row>
    <row r="364" spans="1:7" ht="15.75" customHeight="1">
      <c r="A364" s="3">
        <v>21913</v>
      </c>
      <c r="B364" s="4">
        <v>48</v>
      </c>
      <c r="C364">
        <f t="shared" si="30"/>
        <v>52</v>
      </c>
      <c r="D364">
        <f t="shared" si="25"/>
        <v>-4</v>
      </c>
      <c r="E364">
        <f t="shared" si="26"/>
        <v>4</v>
      </c>
      <c r="F364">
        <f t="shared" si="27"/>
        <v>16</v>
      </c>
      <c r="G364" s="5">
        <f t="shared" si="28"/>
        <v>8.3333333333333329E-2</v>
      </c>
    </row>
    <row r="365" spans="1:7" ht="15.75" customHeight="1">
      <c r="A365" s="3">
        <v>21914</v>
      </c>
      <c r="B365" s="4">
        <v>55</v>
      </c>
      <c r="C365">
        <f t="shared" si="30"/>
        <v>48</v>
      </c>
      <c r="D365">
        <f t="shared" si="25"/>
        <v>7</v>
      </c>
      <c r="E365">
        <f t="shared" si="26"/>
        <v>7</v>
      </c>
      <c r="F365">
        <f t="shared" si="27"/>
        <v>49</v>
      </c>
      <c r="G365" s="5">
        <f t="shared" si="28"/>
        <v>0.12727272727272726</v>
      </c>
    </row>
    <row r="366" spans="1:7" ht="15.75" customHeight="1">
      <c r="A366" s="3">
        <v>21915</v>
      </c>
      <c r="B366" s="4">
        <v>50</v>
      </c>
      <c r="C366">
        <f t="shared" si="30"/>
        <v>55</v>
      </c>
      <c r="D366">
        <f t="shared" si="25"/>
        <v>-5</v>
      </c>
      <c r="E366">
        <f t="shared" si="26"/>
        <v>5</v>
      </c>
      <c r="F366">
        <f t="shared" si="27"/>
        <v>25</v>
      </c>
      <c r="G366" s="5">
        <f t="shared" si="28"/>
        <v>0.1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K10" sqref="K10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30.09765625" bestFit="1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20.296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38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D2" s="8"/>
      <c r="E2" s="8"/>
      <c r="F2" s="8"/>
      <c r="G2" s="5"/>
    </row>
    <row r="3" spans="1:11" ht="15.75" customHeight="1">
      <c r="A3" s="3">
        <v>21552</v>
      </c>
      <c r="B3" s="4">
        <v>32</v>
      </c>
      <c r="D3" s="8"/>
      <c r="E3" s="8"/>
      <c r="F3" s="8"/>
      <c r="G3" s="5"/>
    </row>
    <row r="4" spans="1:11" ht="15.75" customHeight="1">
      <c r="A4" s="3">
        <v>21553</v>
      </c>
      <c r="B4" s="4">
        <v>30</v>
      </c>
      <c r="D4" s="8"/>
      <c r="E4" s="8"/>
      <c r="F4" s="8"/>
      <c r="G4" s="5"/>
    </row>
    <row r="5" spans="1:11" ht="15.75" customHeight="1">
      <c r="A5" s="3">
        <v>21554</v>
      </c>
      <c r="B5" s="4">
        <v>31</v>
      </c>
      <c r="C5" s="8">
        <f>AVERAGE(B2:B4)</f>
        <v>32.333333333333336</v>
      </c>
      <c r="D5" s="8">
        <f>B5-C5</f>
        <v>-1.3333333333333357</v>
      </c>
      <c r="E5" s="8">
        <f>ABS(D5)</f>
        <v>1.3333333333333357</v>
      </c>
      <c r="F5" s="8">
        <f>E5^2</f>
        <v>1.7777777777777841</v>
      </c>
      <c r="G5" s="5">
        <f>E5/B5</f>
        <v>4.3010752688172123E-2</v>
      </c>
    </row>
    <row r="6" spans="1:11" ht="15.75" customHeight="1">
      <c r="A6" s="3">
        <v>21555</v>
      </c>
      <c r="B6" s="4">
        <v>44</v>
      </c>
      <c r="C6" s="8">
        <f>AVERAGE(B3:B5)</f>
        <v>31</v>
      </c>
      <c r="D6" s="8">
        <f t="shared" ref="D6:D69" si="0">B6-C6</f>
        <v>13</v>
      </c>
      <c r="E6" s="8">
        <f t="shared" ref="E6:E69" si="1">ABS(D6)</f>
        <v>13</v>
      </c>
      <c r="F6" s="8">
        <f t="shared" ref="F6:F69" si="2">E6^2</f>
        <v>169</v>
      </c>
      <c r="G6" s="5">
        <f t="shared" ref="G6:G69" si="3">E6/B6</f>
        <v>0.29545454545454547</v>
      </c>
    </row>
    <row r="7" spans="1:11" ht="15.75" customHeight="1">
      <c r="A7" s="3">
        <v>21556</v>
      </c>
      <c r="B7" s="4">
        <v>29</v>
      </c>
      <c r="C7" s="8">
        <f t="shared" ref="C7:C70" si="4">AVERAGE(B4:B6)</f>
        <v>35</v>
      </c>
      <c r="D7" s="8">
        <f t="shared" si="0"/>
        <v>-6</v>
      </c>
      <c r="E7" s="8">
        <f t="shared" si="1"/>
        <v>6</v>
      </c>
      <c r="F7" s="8">
        <f t="shared" si="2"/>
        <v>36</v>
      </c>
      <c r="G7" s="5">
        <f t="shared" si="3"/>
        <v>0.20689655172413793</v>
      </c>
    </row>
    <row r="8" spans="1:11" ht="15.75" customHeight="1">
      <c r="A8" s="3">
        <v>21557</v>
      </c>
      <c r="B8" s="4">
        <v>45</v>
      </c>
      <c r="C8" s="8">
        <f t="shared" si="4"/>
        <v>34.666666666666664</v>
      </c>
      <c r="D8" s="8">
        <f t="shared" si="0"/>
        <v>10.333333333333336</v>
      </c>
      <c r="E8" s="8">
        <f t="shared" si="1"/>
        <v>10.333333333333336</v>
      </c>
      <c r="F8" s="8">
        <f t="shared" si="2"/>
        <v>106.77777777777783</v>
      </c>
      <c r="G8" s="5">
        <f t="shared" si="3"/>
        <v>0.22962962962962968</v>
      </c>
      <c r="J8" s="6" t="s">
        <v>7</v>
      </c>
      <c r="K8" s="7">
        <f>AVERAGE(E5:E366)</f>
        <v>6.2826887661141759</v>
      </c>
    </row>
    <row r="9" spans="1:11" ht="15.75" customHeight="1">
      <c r="A9" s="3">
        <v>21558</v>
      </c>
      <c r="B9" s="4">
        <v>43</v>
      </c>
      <c r="C9" s="8">
        <f t="shared" si="4"/>
        <v>39.333333333333336</v>
      </c>
      <c r="D9" s="8">
        <f t="shared" si="0"/>
        <v>3.6666666666666643</v>
      </c>
      <c r="E9" s="8">
        <f t="shared" si="1"/>
        <v>3.6666666666666643</v>
      </c>
      <c r="F9" s="8">
        <f t="shared" si="2"/>
        <v>13.444444444444427</v>
      </c>
      <c r="G9" s="5">
        <f t="shared" si="3"/>
        <v>8.5271317829457308E-2</v>
      </c>
      <c r="J9" s="2" t="s">
        <v>8</v>
      </c>
      <c r="K9" s="8">
        <f>AVERAGE(F5:F366)</f>
        <v>61.379066912216082</v>
      </c>
    </row>
    <row r="10" spans="1:11" ht="15.75" customHeight="1">
      <c r="A10" s="3">
        <v>21559</v>
      </c>
      <c r="B10" s="4">
        <v>38</v>
      </c>
      <c r="C10" s="8">
        <f t="shared" si="4"/>
        <v>39</v>
      </c>
      <c r="D10" s="8">
        <f t="shared" si="0"/>
        <v>-1</v>
      </c>
      <c r="E10" s="8">
        <f t="shared" si="1"/>
        <v>1</v>
      </c>
      <c r="F10" s="8">
        <f t="shared" si="2"/>
        <v>1</v>
      </c>
      <c r="G10" s="5">
        <f t="shared" si="3"/>
        <v>2.6315789473684209E-2</v>
      </c>
      <c r="J10" s="2" t="s">
        <v>9</v>
      </c>
      <c r="K10" s="27">
        <f>AVERAGE(G5:G366)</f>
        <v>0.15319908473816002</v>
      </c>
    </row>
    <row r="11" spans="1:11" ht="15.75" customHeight="1">
      <c r="A11" s="3">
        <v>21560</v>
      </c>
      <c r="B11" s="4">
        <v>27</v>
      </c>
      <c r="C11" s="8">
        <f t="shared" si="4"/>
        <v>42</v>
      </c>
      <c r="D11" s="8">
        <f t="shared" si="0"/>
        <v>-15</v>
      </c>
      <c r="E11" s="8">
        <f t="shared" si="1"/>
        <v>15</v>
      </c>
      <c r="F11" s="8">
        <f t="shared" si="2"/>
        <v>225</v>
      </c>
      <c r="G11" s="5">
        <f t="shared" si="3"/>
        <v>0.55555555555555558</v>
      </c>
      <c r="J11" s="11" t="s">
        <v>10</v>
      </c>
      <c r="K11" s="12">
        <f>100% -K10</f>
        <v>0.84680091526183998</v>
      </c>
    </row>
    <row r="12" spans="1:11" ht="15.75" customHeight="1">
      <c r="A12" s="3">
        <v>21561</v>
      </c>
      <c r="B12" s="4">
        <v>38</v>
      </c>
      <c r="C12" s="8">
        <f t="shared" si="4"/>
        <v>36</v>
      </c>
      <c r="D12" s="8">
        <f t="shared" si="0"/>
        <v>2</v>
      </c>
      <c r="E12" s="8">
        <f t="shared" si="1"/>
        <v>2</v>
      </c>
      <c r="F12" s="8">
        <f t="shared" si="2"/>
        <v>4</v>
      </c>
      <c r="G12" s="5">
        <f t="shared" si="3"/>
        <v>5.2631578947368418E-2</v>
      </c>
    </row>
    <row r="13" spans="1:11" ht="15.75" customHeight="1">
      <c r="A13" s="3">
        <v>21562</v>
      </c>
      <c r="B13" s="4">
        <v>33</v>
      </c>
      <c r="C13" s="8">
        <f t="shared" si="4"/>
        <v>34.333333333333336</v>
      </c>
      <c r="D13" s="8">
        <f t="shared" si="0"/>
        <v>-1.3333333333333357</v>
      </c>
      <c r="E13" s="8">
        <f t="shared" si="1"/>
        <v>1.3333333333333357</v>
      </c>
      <c r="F13" s="8">
        <f t="shared" si="2"/>
        <v>1.7777777777777841</v>
      </c>
      <c r="G13" s="5">
        <f t="shared" si="3"/>
        <v>4.0404040404040477E-2</v>
      </c>
    </row>
    <row r="14" spans="1:11" ht="15.75" customHeight="1">
      <c r="A14" s="3">
        <v>21563</v>
      </c>
      <c r="B14" s="4">
        <v>55</v>
      </c>
      <c r="C14" s="8">
        <f t="shared" si="4"/>
        <v>32.666666666666664</v>
      </c>
      <c r="D14" s="8">
        <f t="shared" si="0"/>
        <v>22.333333333333336</v>
      </c>
      <c r="E14" s="8">
        <f t="shared" si="1"/>
        <v>22.333333333333336</v>
      </c>
      <c r="F14" s="8">
        <f t="shared" si="2"/>
        <v>498.77777777777789</v>
      </c>
      <c r="G14" s="5">
        <f t="shared" si="3"/>
        <v>0.40606060606060612</v>
      </c>
    </row>
    <row r="15" spans="1:11" ht="15.75" customHeight="1">
      <c r="A15" s="3">
        <v>21564</v>
      </c>
      <c r="B15" s="4">
        <v>47</v>
      </c>
      <c r="C15" s="8">
        <f t="shared" si="4"/>
        <v>42</v>
      </c>
      <c r="D15" s="8">
        <f t="shared" si="0"/>
        <v>5</v>
      </c>
      <c r="E15" s="8">
        <f t="shared" si="1"/>
        <v>5</v>
      </c>
      <c r="F15" s="8">
        <f t="shared" si="2"/>
        <v>25</v>
      </c>
      <c r="G15" s="5">
        <f t="shared" si="3"/>
        <v>0.10638297872340426</v>
      </c>
    </row>
    <row r="16" spans="1:11" ht="15.75" customHeight="1">
      <c r="A16" s="3">
        <v>21565</v>
      </c>
      <c r="B16" s="4">
        <v>45</v>
      </c>
      <c r="C16" s="8">
        <f t="shared" si="4"/>
        <v>45</v>
      </c>
      <c r="D16" s="8">
        <f t="shared" si="0"/>
        <v>0</v>
      </c>
      <c r="E16" s="8">
        <f t="shared" si="1"/>
        <v>0</v>
      </c>
      <c r="F16" s="8">
        <f t="shared" si="2"/>
        <v>0</v>
      </c>
      <c r="G16" s="5">
        <f t="shared" si="3"/>
        <v>0</v>
      </c>
    </row>
    <row r="17" spans="1:7" ht="15.75" customHeight="1">
      <c r="A17" s="3">
        <v>21566</v>
      </c>
      <c r="B17" s="4">
        <v>37</v>
      </c>
      <c r="C17" s="8">
        <f t="shared" si="4"/>
        <v>49</v>
      </c>
      <c r="D17" s="8">
        <f t="shared" si="0"/>
        <v>-12</v>
      </c>
      <c r="E17" s="8">
        <f t="shared" si="1"/>
        <v>12</v>
      </c>
      <c r="F17" s="8">
        <f t="shared" si="2"/>
        <v>144</v>
      </c>
      <c r="G17" s="5">
        <f t="shared" si="3"/>
        <v>0.32432432432432434</v>
      </c>
    </row>
    <row r="18" spans="1:7" ht="15.75" customHeight="1">
      <c r="A18" s="3">
        <v>21567</v>
      </c>
      <c r="B18" s="4">
        <v>50</v>
      </c>
      <c r="C18" s="8">
        <f t="shared" si="4"/>
        <v>43</v>
      </c>
      <c r="D18" s="8">
        <f t="shared" si="0"/>
        <v>7</v>
      </c>
      <c r="E18" s="8">
        <f t="shared" si="1"/>
        <v>7</v>
      </c>
      <c r="F18" s="8">
        <f t="shared" si="2"/>
        <v>49</v>
      </c>
      <c r="G18" s="5">
        <f t="shared" si="3"/>
        <v>0.14000000000000001</v>
      </c>
    </row>
    <row r="19" spans="1:7" ht="15.75" customHeight="1">
      <c r="A19" s="3">
        <v>21568</v>
      </c>
      <c r="B19" s="4">
        <v>43</v>
      </c>
      <c r="C19" s="8">
        <f t="shared" si="4"/>
        <v>44</v>
      </c>
      <c r="D19" s="8">
        <f t="shared" si="0"/>
        <v>-1</v>
      </c>
      <c r="E19" s="8">
        <f t="shared" si="1"/>
        <v>1</v>
      </c>
      <c r="F19" s="8">
        <f t="shared" si="2"/>
        <v>1</v>
      </c>
      <c r="G19" s="5">
        <f t="shared" si="3"/>
        <v>2.3255813953488372E-2</v>
      </c>
    </row>
    <row r="20" spans="1:7" ht="15.75" customHeight="1">
      <c r="A20" s="3">
        <v>21569</v>
      </c>
      <c r="B20" s="4">
        <v>41</v>
      </c>
      <c r="C20" s="8">
        <f t="shared" si="4"/>
        <v>43.333333333333336</v>
      </c>
      <c r="D20" s="8">
        <f t="shared" si="0"/>
        <v>-2.3333333333333357</v>
      </c>
      <c r="E20" s="8">
        <f t="shared" si="1"/>
        <v>2.3333333333333357</v>
      </c>
      <c r="F20" s="8">
        <f t="shared" si="2"/>
        <v>5.4444444444444553</v>
      </c>
      <c r="G20" s="5">
        <f t="shared" si="3"/>
        <v>5.6910569105691117E-2</v>
      </c>
    </row>
    <row r="21" spans="1:7" ht="15.75" customHeight="1">
      <c r="A21" s="3">
        <v>21570</v>
      </c>
      <c r="B21" s="4">
        <v>52</v>
      </c>
      <c r="C21" s="8">
        <f t="shared" si="4"/>
        <v>44.666666666666664</v>
      </c>
      <c r="D21" s="8">
        <f t="shared" si="0"/>
        <v>7.3333333333333357</v>
      </c>
      <c r="E21" s="8">
        <f t="shared" si="1"/>
        <v>7.3333333333333357</v>
      </c>
      <c r="F21" s="8">
        <f t="shared" si="2"/>
        <v>53.777777777777814</v>
      </c>
      <c r="G21" s="5">
        <f t="shared" si="3"/>
        <v>0.14102564102564108</v>
      </c>
    </row>
    <row r="22" spans="1:7" ht="15.75" customHeight="1">
      <c r="A22" s="3">
        <v>21571</v>
      </c>
      <c r="B22" s="4">
        <v>34</v>
      </c>
      <c r="C22" s="8">
        <f t="shared" si="4"/>
        <v>45.333333333333336</v>
      </c>
      <c r="D22" s="8">
        <f t="shared" si="0"/>
        <v>-11.333333333333336</v>
      </c>
      <c r="E22" s="8">
        <f t="shared" si="1"/>
        <v>11.333333333333336</v>
      </c>
      <c r="F22" s="8">
        <f t="shared" si="2"/>
        <v>128.44444444444449</v>
      </c>
      <c r="G22" s="5">
        <f t="shared" si="3"/>
        <v>0.33333333333333343</v>
      </c>
    </row>
    <row r="23" spans="1:7" ht="15.75" customHeight="1">
      <c r="A23" s="3">
        <v>21572</v>
      </c>
      <c r="B23" s="4">
        <v>53</v>
      </c>
      <c r="C23" s="8">
        <f t="shared" si="4"/>
        <v>42.333333333333336</v>
      </c>
      <c r="D23" s="8">
        <f t="shared" si="0"/>
        <v>10.666666666666664</v>
      </c>
      <c r="E23" s="8">
        <f t="shared" si="1"/>
        <v>10.666666666666664</v>
      </c>
      <c r="F23" s="8">
        <f t="shared" si="2"/>
        <v>113.77777777777773</v>
      </c>
      <c r="G23" s="5">
        <f t="shared" si="3"/>
        <v>0.20125786163522008</v>
      </c>
    </row>
    <row r="24" spans="1:7" ht="15.75" customHeight="1">
      <c r="A24" s="3">
        <v>21573</v>
      </c>
      <c r="B24" s="4">
        <v>39</v>
      </c>
      <c r="C24" s="8">
        <f t="shared" si="4"/>
        <v>46.333333333333336</v>
      </c>
      <c r="D24" s="8">
        <f t="shared" si="0"/>
        <v>-7.3333333333333357</v>
      </c>
      <c r="E24" s="8">
        <f t="shared" si="1"/>
        <v>7.3333333333333357</v>
      </c>
      <c r="F24" s="8">
        <f t="shared" si="2"/>
        <v>53.777777777777814</v>
      </c>
      <c r="G24" s="5">
        <f t="shared" si="3"/>
        <v>0.18803418803418809</v>
      </c>
    </row>
    <row r="25" spans="1:7" ht="15.75" customHeight="1">
      <c r="A25" s="3">
        <v>21574</v>
      </c>
      <c r="B25" s="4">
        <v>32</v>
      </c>
      <c r="C25" s="8">
        <f t="shared" si="4"/>
        <v>42</v>
      </c>
      <c r="D25" s="8">
        <f t="shared" si="0"/>
        <v>-10</v>
      </c>
      <c r="E25" s="8">
        <f t="shared" si="1"/>
        <v>10</v>
      </c>
      <c r="F25" s="8">
        <f t="shared" si="2"/>
        <v>100</v>
      </c>
      <c r="G25" s="5">
        <f t="shared" si="3"/>
        <v>0.3125</v>
      </c>
    </row>
    <row r="26" spans="1:7" ht="15.75" customHeight="1">
      <c r="A26" s="3">
        <v>21575</v>
      </c>
      <c r="B26" s="4">
        <v>37</v>
      </c>
      <c r="C26" s="8">
        <f t="shared" si="4"/>
        <v>41.333333333333336</v>
      </c>
      <c r="D26" s="8">
        <f t="shared" si="0"/>
        <v>-4.3333333333333357</v>
      </c>
      <c r="E26" s="8">
        <f t="shared" si="1"/>
        <v>4.3333333333333357</v>
      </c>
      <c r="F26" s="8">
        <f t="shared" si="2"/>
        <v>18.7777777777778</v>
      </c>
      <c r="G26" s="5">
        <f t="shared" si="3"/>
        <v>0.11711711711711718</v>
      </c>
    </row>
    <row r="27" spans="1:7" ht="15.75" customHeight="1">
      <c r="A27" s="3">
        <v>21576</v>
      </c>
      <c r="B27" s="4">
        <v>43</v>
      </c>
      <c r="C27" s="8">
        <f t="shared" si="4"/>
        <v>36</v>
      </c>
      <c r="D27" s="8">
        <f t="shared" si="0"/>
        <v>7</v>
      </c>
      <c r="E27" s="8">
        <f t="shared" si="1"/>
        <v>7</v>
      </c>
      <c r="F27" s="8">
        <f t="shared" si="2"/>
        <v>49</v>
      </c>
      <c r="G27" s="5">
        <f t="shared" si="3"/>
        <v>0.16279069767441862</v>
      </c>
    </row>
    <row r="28" spans="1:7" ht="15.75" customHeight="1">
      <c r="A28" s="3">
        <v>21577</v>
      </c>
      <c r="B28" s="4">
        <v>39</v>
      </c>
      <c r="C28" s="8">
        <f t="shared" si="4"/>
        <v>37.333333333333336</v>
      </c>
      <c r="D28" s="8">
        <f t="shared" si="0"/>
        <v>1.6666666666666643</v>
      </c>
      <c r="E28" s="8">
        <f t="shared" si="1"/>
        <v>1.6666666666666643</v>
      </c>
      <c r="F28" s="8">
        <f t="shared" si="2"/>
        <v>2.7777777777777697</v>
      </c>
      <c r="G28" s="5">
        <f t="shared" si="3"/>
        <v>4.2735042735042673E-2</v>
      </c>
    </row>
    <row r="29" spans="1:7" ht="15.75" customHeight="1">
      <c r="A29" s="3">
        <v>21578</v>
      </c>
      <c r="B29" s="4">
        <v>35</v>
      </c>
      <c r="C29" s="8">
        <f t="shared" si="4"/>
        <v>39.666666666666664</v>
      </c>
      <c r="D29" s="8">
        <f t="shared" si="0"/>
        <v>-4.6666666666666643</v>
      </c>
      <c r="E29" s="8">
        <f t="shared" si="1"/>
        <v>4.6666666666666643</v>
      </c>
      <c r="F29" s="8">
        <f t="shared" si="2"/>
        <v>21.777777777777757</v>
      </c>
      <c r="G29" s="5">
        <f t="shared" si="3"/>
        <v>0.13333333333333328</v>
      </c>
    </row>
    <row r="30" spans="1:7" ht="15.75" customHeight="1">
      <c r="A30" s="3">
        <v>21579</v>
      </c>
      <c r="B30" s="4">
        <v>44</v>
      </c>
      <c r="C30" s="8">
        <f t="shared" si="4"/>
        <v>39</v>
      </c>
      <c r="D30" s="8">
        <f t="shared" si="0"/>
        <v>5</v>
      </c>
      <c r="E30" s="8">
        <f t="shared" si="1"/>
        <v>5</v>
      </c>
      <c r="F30" s="8">
        <f t="shared" si="2"/>
        <v>25</v>
      </c>
      <c r="G30" s="5">
        <f t="shared" si="3"/>
        <v>0.11363636363636363</v>
      </c>
    </row>
    <row r="31" spans="1:7" ht="15.75" customHeight="1">
      <c r="A31" s="3">
        <v>21580</v>
      </c>
      <c r="B31" s="4">
        <v>38</v>
      </c>
      <c r="C31" s="8">
        <f t="shared" si="4"/>
        <v>39.333333333333336</v>
      </c>
      <c r="D31" s="8">
        <f t="shared" si="0"/>
        <v>-1.3333333333333357</v>
      </c>
      <c r="E31" s="8">
        <f t="shared" si="1"/>
        <v>1.3333333333333357</v>
      </c>
      <c r="F31" s="8">
        <f t="shared" si="2"/>
        <v>1.7777777777777841</v>
      </c>
      <c r="G31" s="5">
        <f t="shared" si="3"/>
        <v>3.5087719298245675E-2</v>
      </c>
    </row>
    <row r="32" spans="1:7" ht="15.75" customHeight="1">
      <c r="A32" s="3">
        <v>21581</v>
      </c>
      <c r="B32" s="4">
        <v>24</v>
      </c>
      <c r="C32" s="8">
        <f t="shared" si="4"/>
        <v>39</v>
      </c>
      <c r="D32" s="8">
        <f t="shared" si="0"/>
        <v>-15</v>
      </c>
      <c r="E32" s="8">
        <f t="shared" si="1"/>
        <v>15</v>
      </c>
      <c r="F32" s="8">
        <f t="shared" si="2"/>
        <v>225</v>
      </c>
      <c r="G32" s="5">
        <f t="shared" si="3"/>
        <v>0.625</v>
      </c>
    </row>
    <row r="33" spans="1:7" ht="15.75" customHeight="1">
      <c r="A33" s="3">
        <v>21582</v>
      </c>
      <c r="B33" s="4">
        <v>23</v>
      </c>
      <c r="C33" s="8">
        <f t="shared" si="4"/>
        <v>35.333333333333336</v>
      </c>
      <c r="D33" s="8">
        <f t="shared" si="0"/>
        <v>-12.333333333333336</v>
      </c>
      <c r="E33" s="8">
        <f t="shared" si="1"/>
        <v>12.333333333333336</v>
      </c>
      <c r="F33" s="8">
        <f t="shared" si="2"/>
        <v>152.11111111111117</v>
      </c>
      <c r="G33" s="5">
        <f t="shared" si="3"/>
        <v>0.53623188405797106</v>
      </c>
    </row>
    <row r="34" spans="1:7" ht="15.75" customHeight="1">
      <c r="A34" s="3">
        <v>21583</v>
      </c>
      <c r="B34" s="4">
        <v>31</v>
      </c>
      <c r="C34" s="8">
        <f t="shared" si="4"/>
        <v>28.333333333333332</v>
      </c>
      <c r="D34" s="8">
        <f t="shared" si="0"/>
        <v>2.6666666666666679</v>
      </c>
      <c r="E34" s="8">
        <f t="shared" si="1"/>
        <v>2.6666666666666679</v>
      </c>
      <c r="F34" s="8">
        <f t="shared" si="2"/>
        <v>7.1111111111111178</v>
      </c>
      <c r="G34" s="5">
        <f t="shared" si="3"/>
        <v>8.6021505376344121E-2</v>
      </c>
    </row>
    <row r="35" spans="1:7" ht="15.75" customHeight="1">
      <c r="A35" s="3">
        <v>21584</v>
      </c>
      <c r="B35" s="4">
        <v>44</v>
      </c>
      <c r="C35" s="8">
        <f t="shared" si="4"/>
        <v>26</v>
      </c>
      <c r="D35" s="8">
        <f t="shared" si="0"/>
        <v>18</v>
      </c>
      <c r="E35" s="8">
        <f t="shared" si="1"/>
        <v>18</v>
      </c>
      <c r="F35" s="8">
        <f t="shared" si="2"/>
        <v>324</v>
      </c>
      <c r="G35" s="5">
        <f t="shared" si="3"/>
        <v>0.40909090909090912</v>
      </c>
    </row>
    <row r="36" spans="1:7" ht="15.75" customHeight="1">
      <c r="A36" s="3">
        <v>21585</v>
      </c>
      <c r="B36" s="4">
        <v>38</v>
      </c>
      <c r="C36" s="8">
        <f t="shared" si="4"/>
        <v>32.666666666666664</v>
      </c>
      <c r="D36" s="8">
        <f t="shared" si="0"/>
        <v>5.3333333333333357</v>
      </c>
      <c r="E36" s="8">
        <f t="shared" si="1"/>
        <v>5.3333333333333357</v>
      </c>
      <c r="F36" s="8">
        <f t="shared" si="2"/>
        <v>28.444444444444471</v>
      </c>
      <c r="G36" s="5">
        <f t="shared" si="3"/>
        <v>0.14035087719298253</v>
      </c>
    </row>
    <row r="37" spans="1:7" ht="15.75" customHeight="1">
      <c r="A37" s="3">
        <v>21586</v>
      </c>
      <c r="B37" s="4">
        <v>50</v>
      </c>
      <c r="C37" s="8">
        <f t="shared" si="4"/>
        <v>37.666666666666664</v>
      </c>
      <c r="D37" s="8">
        <f t="shared" si="0"/>
        <v>12.333333333333336</v>
      </c>
      <c r="E37" s="8">
        <f t="shared" si="1"/>
        <v>12.333333333333336</v>
      </c>
      <c r="F37" s="8">
        <f t="shared" si="2"/>
        <v>152.11111111111117</v>
      </c>
      <c r="G37" s="5">
        <f t="shared" si="3"/>
        <v>0.2466666666666667</v>
      </c>
    </row>
    <row r="38" spans="1:7" ht="15.75" customHeight="1">
      <c r="A38" s="3">
        <v>21587</v>
      </c>
      <c r="B38" s="4">
        <v>38</v>
      </c>
      <c r="C38" s="8">
        <f t="shared" si="4"/>
        <v>44</v>
      </c>
      <c r="D38" s="8">
        <f t="shared" si="0"/>
        <v>-6</v>
      </c>
      <c r="E38" s="8">
        <f t="shared" si="1"/>
        <v>6</v>
      </c>
      <c r="F38" s="8">
        <f t="shared" si="2"/>
        <v>36</v>
      </c>
      <c r="G38" s="5">
        <f t="shared" si="3"/>
        <v>0.15789473684210525</v>
      </c>
    </row>
    <row r="39" spans="1:7" ht="15.75" customHeight="1">
      <c r="A39" s="3">
        <v>21588</v>
      </c>
      <c r="B39" s="4">
        <v>51</v>
      </c>
      <c r="C39" s="8">
        <f t="shared" si="4"/>
        <v>42</v>
      </c>
      <c r="D39" s="8">
        <f t="shared" si="0"/>
        <v>9</v>
      </c>
      <c r="E39" s="8">
        <f t="shared" si="1"/>
        <v>9</v>
      </c>
      <c r="F39" s="8">
        <f t="shared" si="2"/>
        <v>81</v>
      </c>
      <c r="G39" s="5">
        <f t="shared" si="3"/>
        <v>0.17647058823529413</v>
      </c>
    </row>
    <row r="40" spans="1:7" ht="15.75" customHeight="1">
      <c r="A40" s="3">
        <v>21589</v>
      </c>
      <c r="B40" s="4">
        <v>31</v>
      </c>
      <c r="C40" s="8">
        <f t="shared" si="4"/>
        <v>46.333333333333336</v>
      </c>
      <c r="D40" s="8">
        <f t="shared" si="0"/>
        <v>-15.333333333333336</v>
      </c>
      <c r="E40" s="8">
        <f t="shared" si="1"/>
        <v>15.333333333333336</v>
      </c>
      <c r="F40" s="8">
        <f t="shared" si="2"/>
        <v>235.11111111111117</v>
      </c>
      <c r="G40" s="5">
        <f t="shared" si="3"/>
        <v>0.49462365591397855</v>
      </c>
    </row>
    <row r="41" spans="1:7" ht="15.75" customHeight="1">
      <c r="A41" s="3">
        <v>21590</v>
      </c>
      <c r="B41" s="4">
        <v>31</v>
      </c>
      <c r="C41" s="8">
        <f t="shared" si="4"/>
        <v>40</v>
      </c>
      <c r="D41" s="8">
        <f t="shared" si="0"/>
        <v>-9</v>
      </c>
      <c r="E41" s="8">
        <f t="shared" si="1"/>
        <v>9</v>
      </c>
      <c r="F41" s="8">
        <f t="shared" si="2"/>
        <v>81</v>
      </c>
      <c r="G41" s="5">
        <f t="shared" si="3"/>
        <v>0.29032258064516131</v>
      </c>
    </row>
    <row r="42" spans="1:7" ht="15.75" customHeight="1">
      <c r="A42" s="3">
        <v>21591</v>
      </c>
      <c r="B42" s="4">
        <v>51</v>
      </c>
      <c r="C42" s="8">
        <f t="shared" si="4"/>
        <v>37.666666666666664</v>
      </c>
      <c r="D42" s="8">
        <f t="shared" si="0"/>
        <v>13.333333333333336</v>
      </c>
      <c r="E42" s="8">
        <f t="shared" si="1"/>
        <v>13.333333333333336</v>
      </c>
      <c r="F42" s="8">
        <f t="shared" si="2"/>
        <v>177.77777777777783</v>
      </c>
      <c r="G42" s="5">
        <f t="shared" si="3"/>
        <v>0.2614379084967321</v>
      </c>
    </row>
    <row r="43" spans="1:7" ht="15.75" customHeight="1">
      <c r="A43" s="3">
        <v>21592</v>
      </c>
      <c r="B43" s="4">
        <v>36</v>
      </c>
      <c r="C43" s="8">
        <f t="shared" si="4"/>
        <v>37.666666666666664</v>
      </c>
      <c r="D43" s="8">
        <f t="shared" si="0"/>
        <v>-1.6666666666666643</v>
      </c>
      <c r="E43" s="8">
        <f t="shared" si="1"/>
        <v>1.6666666666666643</v>
      </c>
      <c r="F43" s="8">
        <f t="shared" si="2"/>
        <v>2.7777777777777697</v>
      </c>
      <c r="G43" s="5">
        <f t="shared" si="3"/>
        <v>4.6296296296296231E-2</v>
      </c>
    </row>
    <row r="44" spans="1:7" ht="15.75" customHeight="1">
      <c r="A44" s="3">
        <v>21593</v>
      </c>
      <c r="B44" s="4">
        <v>45</v>
      </c>
      <c r="C44" s="8">
        <f t="shared" si="4"/>
        <v>39.333333333333336</v>
      </c>
      <c r="D44" s="8">
        <f t="shared" si="0"/>
        <v>5.6666666666666643</v>
      </c>
      <c r="E44" s="8">
        <f t="shared" si="1"/>
        <v>5.6666666666666643</v>
      </c>
      <c r="F44" s="8">
        <f t="shared" si="2"/>
        <v>32.111111111111086</v>
      </c>
      <c r="G44" s="5">
        <f t="shared" si="3"/>
        <v>0.12592592592592589</v>
      </c>
    </row>
    <row r="45" spans="1:7" ht="15.75" customHeight="1">
      <c r="A45" s="3">
        <v>21594</v>
      </c>
      <c r="B45" s="4">
        <v>51</v>
      </c>
      <c r="C45" s="8">
        <f t="shared" si="4"/>
        <v>44</v>
      </c>
      <c r="D45" s="8">
        <f t="shared" si="0"/>
        <v>7</v>
      </c>
      <c r="E45" s="8">
        <f t="shared" si="1"/>
        <v>7</v>
      </c>
      <c r="F45" s="8">
        <f t="shared" si="2"/>
        <v>49</v>
      </c>
      <c r="G45" s="5">
        <f t="shared" si="3"/>
        <v>0.13725490196078433</v>
      </c>
    </row>
    <row r="46" spans="1:7" ht="15.75" customHeight="1">
      <c r="A46" s="3">
        <v>21595</v>
      </c>
      <c r="B46" s="4">
        <v>34</v>
      </c>
      <c r="C46" s="8">
        <f t="shared" si="4"/>
        <v>44</v>
      </c>
      <c r="D46" s="8">
        <f t="shared" si="0"/>
        <v>-10</v>
      </c>
      <c r="E46" s="8">
        <f t="shared" si="1"/>
        <v>10</v>
      </c>
      <c r="F46" s="8">
        <f t="shared" si="2"/>
        <v>100</v>
      </c>
      <c r="G46" s="5">
        <f t="shared" si="3"/>
        <v>0.29411764705882354</v>
      </c>
    </row>
    <row r="47" spans="1:7" ht="15.75" customHeight="1">
      <c r="A47" s="3">
        <v>21596</v>
      </c>
      <c r="B47" s="4">
        <v>52</v>
      </c>
      <c r="C47" s="8">
        <f t="shared" si="4"/>
        <v>43.333333333333336</v>
      </c>
      <c r="D47" s="8">
        <f t="shared" si="0"/>
        <v>8.6666666666666643</v>
      </c>
      <c r="E47" s="8">
        <f t="shared" si="1"/>
        <v>8.6666666666666643</v>
      </c>
      <c r="F47" s="8">
        <f t="shared" si="2"/>
        <v>75.111111111111072</v>
      </c>
      <c r="G47" s="5">
        <f t="shared" si="3"/>
        <v>0.16666666666666663</v>
      </c>
    </row>
    <row r="48" spans="1:7" ht="15.75" customHeight="1">
      <c r="A48" s="3">
        <v>21597</v>
      </c>
      <c r="B48" s="4">
        <v>47</v>
      </c>
      <c r="C48" s="8">
        <f t="shared" si="4"/>
        <v>45.666666666666664</v>
      </c>
      <c r="D48" s="8">
        <f t="shared" si="0"/>
        <v>1.3333333333333357</v>
      </c>
      <c r="E48" s="8">
        <f t="shared" si="1"/>
        <v>1.3333333333333357</v>
      </c>
      <c r="F48" s="8">
        <f t="shared" si="2"/>
        <v>1.7777777777777841</v>
      </c>
      <c r="G48" s="5">
        <f t="shared" si="3"/>
        <v>2.8368794326241186E-2</v>
      </c>
    </row>
    <row r="49" spans="1:7" ht="15.75" customHeight="1">
      <c r="A49" s="3">
        <v>21598</v>
      </c>
      <c r="B49" s="4">
        <v>45</v>
      </c>
      <c r="C49" s="8">
        <f t="shared" si="4"/>
        <v>44.333333333333336</v>
      </c>
      <c r="D49" s="8">
        <f t="shared" si="0"/>
        <v>0.6666666666666643</v>
      </c>
      <c r="E49" s="8">
        <f t="shared" si="1"/>
        <v>0.6666666666666643</v>
      </c>
      <c r="F49" s="8">
        <f t="shared" si="2"/>
        <v>0.44444444444444131</v>
      </c>
      <c r="G49" s="5">
        <f t="shared" si="3"/>
        <v>1.4814814814814762E-2</v>
      </c>
    </row>
    <row r="50" spans="1:7" ht="15.75" customHeight="1">
      <c r="A50" s="3">
        <v>21599</v>
      </c>
      <c r="B50" s="4">
        <v>46</v>
      </c>
      <c r="C50" s="8">
        <f t="shared" si="4"/>
        <v>48</v>
      </c>
      <c r="D50" s="8">
        <f t="shared" si="0"/>
        <v>-2</v>
      </c>
      <c r="E50" s="8">
        <f t="shared" si="1"/>
        <v>2</v>
      </c>
      <c r="F50" s="8">
        <f t="shared" si="2"/>
        <v>4</v>
      </c>
      <c r="G50" s="5">
        <f t="shared" si="3"/>
        <v>4.3478260869565216E-2</v>
      </c>
    </row>
    <row r="51" spans="1:7" ht="15.75" customHeight="1">
      <c r="A51" s="3">
        <v>21600</v>
      </c>
      <c r="B51" s="4">
        <v>39</v>
      </c>
      <c r="C51" s="8">
        <f t="shared" si="4"/>
        <v>46</v>
      </c>
      <c r="D51" s="8">
        <f t="shared" si="0"/>
        <v>-7</v>
      </c>
      <c r="E51" s="8">
        <f t="shared" si="1"/>
        <v>7</v>
      </c>
      <c r="F51" s="8">
        <f t="shared" si="2"/>
        <v>49</v>
      </c>
      <c r="G51" s="5">
        <f t="shared" si="3"/>
        <v>0.17948717948717949</v>
      </c>
    </row>
    <row r="52" spans="1:7" ht="15.75" customHeight="1">
      <c r="A52" s="3">
        <v>21601</v>
      </c>
      <c r="B52" s="4">
        <v>48</v>
      </c>
      <c r="C52" s="8">
        <f t="shared" si="4"/>
        <v>43.333333333333336</v>
      </c>
      <c r="D52" s="8">
        <f t="shared" si="0"/>
        <v>4.6666666666666643</v>
      </c>
      <c r="E52" s="8">
        <f t="shared" si="1"/>
        <v>4.6666666666666643</v>
      </c>
      <c r="F52" s="8">
        <f t="shared" si="2"/>
        <v>21.777777777777757</v>
      </c>
      <c r="G52" s="5">
        <f t="shared" si="3"/>
        <v>9.7222222222222168E-2</v>
      </c>
    </row>
    <row r="53" spans="1:7" ht="15.75" customHeight="1">
      <c r="A53" s="3">
        <v>21602</v>
      </c>
      <c r="B53" s="4">
        <v>37</v>
      </c>
      <c r="C53" s="8">
        <f t="shared" si="4"/>
        <v>44.333333333333336</v>
      </c>
      <c r="D53" s="8">
        <f t="shared" si="0"/>
        <v>-7.3333333333333357</v>
      </c>
      <c r="E53" s="8">
        <f t="shared" si="1"/>
        <v>7.3333333333333357</v>
      </c>
      <c r="F53" s="8">
        <f t="shared" si="2"/>
        <v>53.777777777777814</v>
      </c>
      <c r="G53" s="5">
        <f t="shared" si="3"/>
        <v>0.19819819819819826</v>
      </c>
    </row>
    <row r="54" spans="1:7" ht="15.75" customHeight="1">
      <c r="A54" s="3">
        <v>21603</v>
      </c>
      <c r="B54" s="4">
        <v>35</v>
      </c>
      <c r="C54" s="8">
        <f t="shared" si="4"/>
        <v>41.333333333333336</v>
      </c>
      <c r="D54" s="8">
        <f t="shared" si="0"/>
        <v>-6.3333333333333357</v>
      </c>
      <c r="E54" s="8">
        <f t="shared" si="1"/>
        <v>6.3333333333333357</v>
      </c>
      <c r="F54" s="8">
        <f t="shared" si="2"/>
        <v>40.111111111111143</v>
      </c>
      <c r="G54" s="5">
        <f t="shared" si="3"/>
        <v>0.18095238095238103</v>
      </c>
    </row>
    <row r="55" spans="1:7" ht="15.75" customHeight="1">
      <c r="A55" s="3">
        <v>21604</v>
      </c>
      <c r="B55" s="4">
        <v>52</v>
      </c>
      <c r="C55" s="8">
        <f t="shared" si="4"/>
        <v>40</v>
      </c>
      <c r="D55" s="8">
        <f t="shared" si="0"/>
        <v>12</v>
      </c>
      <c r="E55" s="8">
        <f t="shared" si="1"/>
        <v>12</v>
      </c>
      <c r="F55" s="8">
        <f t="shared" si="2"/>
        <v>144</v>
      </c>
      <c r="G55" s="5">
        <f t="shared" si="3"/>
        <v>0.23076923076923078</v>
      </c>
    </row>
    <row r="56" spans="1:7" ht="15.75" customHeight="1">
      <c r="A56" s="3">
        <v>21605</v>
      </c>
      <c r="B56" s="4">
        <v>42</v>
      </c>
      <c r="C56" s="8">
        <f t="shared" si="4"/>
        <v>41.333333333333336</v>
      </c>
      <c r="D56" s="8">
        <f t="shared" si="0"/>
        <v>0.6666666666666643</v>
      </c>
      <c r="E56" s="8">
        <f t="shared" si="1"/>
        <v>0.6666666666666643</v>
      </c>
      <c r="F56" s="8">
        <f t="shared" si="2"/>
        <v>0.44444444444444131</v>
      </c>
      <c r="G56" s="5">
        <f t="shared" si="3"/>
        <v>1.5873015873015817E-2</v>
      </c>
    </row>
    <row r="57" spans="1:7" ht="15.75" customHeight="1">
      <c r="A57" s="3">
        <v>21606</v>
      </c>
      <c r="B57" s="4">
        <v>45</v>
      </c>
      <c r="C57" s="8">
        <f t="shared" si="4"/>
        <v>43</v>
      </c>
      <c r="D57" s="8">
        <f t="shared" si="0"/>
        <v>2</v>
      </c>
      <c r="E57" s="8">
        <f t="shared" si="1"/>
        <v>2</v>
      </c>
      <c r="F57" s="8">
        <f t="shared" si="2"/>
        <v>4</v>
      </c>
      <c r="G57" s="5">
        <f t="shared" si="3"/>
        <v>4.4444444444444446E-2</v>
      </c>
    </row>
    <row r="58" spans="1:7" ht="15.75" customHeight="1">
      <c r="A58" s="3">
        <v>21607</v>
      </c>
      <c r="B58" s="4">
        <v>39</v>
      </c>
      <c r="C58" s="8">
        <f t="shared" si="4"/>
        <v>46.333333333333336</v>
      </c>
      <c r="D58" s="8">
        <f t="shared" si="0"/>
        <v>-7.3333333333333357</v>
      </c>
      <c r="E58" s="8">
        <f t="shared" si="1"/>
        <v>7.3333333333333357</v>
      </c>
      <c r="F58" s="8">
        <f t="shared" si="2"/>
        <v>53.777777777777814</v>
      </c>
      <c r="G58" s="5">
        <f t="shared" si="3"/>
        <v>0.18803418803418809</v>
      </c>
    </row>
    <row r="59" spans="1:7" ht="15.75" customHeight="1">
      <c r="A59" s="3">
        <v>21608</v>
      </c>
      <c r="B59" s="4">
        <v>37</v>
      </c>
      <c r="C59" s="8">
        <f t="shared" si="4"/>
        <v>42</v>
      </c>
      <c r="D59" s="8">
        <f t="shared" si="0"/>
        <v>-5</v>
      </c>
      <c r="E59" s="8">
        <f t="shared" si="1"/>
        <v>5</v>
      </c>
      <c r="F59" s="8">
        <f t="shared" si="2"/>
        <v>25</v>
      </c>
      <c r="G59" s="5">
        <f t="shared" si="3"/>
        <v>0.13513513513513514</v>
      </c>
    </row>
    <row r="60" spans="1:7" ht="15.75" customHeight="1">
      <c r="A60" s="3">
        <v>21609</v>
      </c>
      <c r="B60" s="4">
        <v>30</v>
      </c>
      <c r="C60" s="8">
        <f t="shared" si="4"/>
        <v>40.333333333333336</v>
      </c>
      <c r="D60" s="8">
        <f t="shared" si="0"/>
        <v>-10.333333333333336</v>
      </c>
      <c r="E60" s="8">
        <f t="shared" si="1"/>
        <v>10.333333333333336</v>
      </c>
      <c r="F60" s="8">
        <f t="shared" si="2"/>
        <v>106.77777777777783</v>
      </c>
      <c r="G60" s="5">
        <f t="shared" si="3"/>
        <v>0.3444444444444445</v>
      </c>
    </row>
    <row r="61" spans="1:7" ht="15.75" customHeight="1">
      <c r="A61" s="3">
        <v>21610</v>
      </c>
      <c r="B61" s="4">
        <v>35</v>
      </c>
      <c r="C61" s="8">
        <f t="shared" si="4"/>
        <v>35.333333333333336</v>
      </c>
      <c r="D61" s="8">
        <f t="shared" si="0"/>
        <v>-0.3333333333333357</v>
      </c>
      <c r="E61" s="8">
        <f t="shared" si="1"/>
        <v>0.3333333333333357</v>
      </c>
      <c r="F61" s="8">
        <f t="shared" si="2"/>
        <v>0.11111111111111269</v>
      </c>
      <c r="G61" s="5">
        <f t="shared" si="3"/>
        <v>9.5238095238095923E-3</v>
      </c>
    </row>
    <row r="62" spans="1:7" ht="15.75" customHeight="1">
      <c r="A62" s="3">
        <v>21611</v>
      </c>
      <c r="B62" s="4">
        <v>28</v>
      </c>
      <c r="C62" s="8">
        <f t="shared" si="4"/>
        <v>34</v>
      </c>
      <c r="D62" s="8">
        <f t="shared" si="0"/>
        <v>-6</v>
      </c>
      <c r="E62" s="8">
        <f t="shared" si="1"/>
        <v>6</v>
      </c>
      <c r="F62" s="8">
        <f t="shared" si="2"/>
        <v>36</v>
      </c>
      <c r="G62" s="5">
        <f t="shared" si="3"/>
        <v>0.21428571428571427</v>
      </c>
    </row>
    <row r="63" spans="1:7" ht="15.75" customHeight="1">
      <c r="A63" s="3">
        <v>21612</v>
      </c>
      <c r="B63" s="4">
        <v>45</v>
      </c>
      <c r="C63" s="8">
        <f t="shared" si="4"/>
        <v>31</v>
      </c>
      <c r="D63" s="8">
        <f t="shared" si="0"/>
        <v>14</v>
      </c>
      <c r="E63" s="8">
        <f t="shared" si="1"/>
        <v>14</v>
      </c>
      <c r="F63" s="8">
        <f t="shared" si="2"/>
        <v>196</v>
      </c>
      <c r="G63" s="5">
        <f t="shared" si="3"/>
        <v>0.31111111111111112</v>
      </c>
    </row>
    <row r="64" spans="1:7" ht="15.75" customHeight="1">
      <c r="A64" s="3">
        <v>21613</v>
      </c>
      <c r="B64" s="4">
        <v>34</v>
      </c>
      <c r="C64" s="8">
        <f t="shared" si="4"/>
        <v>36</v>
      </c>
      <c r="D64" s="8">
        <f t="shared" si="0"/>
        <v>-2</v>
      </c>
      <c r="E64" s="8">
        <f t="shared" si="1"/>
        <v>2</v>
      </c>
      <c r="F64" s="8">
        <f t="shared" si="2"/>
        <v>4</v>
      </c>
      <c r="G64" s="5">
        <f t="shared" si="3"/>
        <v>5.8823529411764705E-2</v>
      </c>
    </row>
    <row r="65" spans="1:7" ht="15.75" customHeight="1">
      <c r="A65" s="3">
        <v>21614</v>
      </c>
      <c r="B65" s="4">
        <v>36</v>
      </c>
      <c r="C65" s="8">
        <f t="shared" si="4"/>
        <v>35.666666666666664</v>
      </c>
      <c r="D65" s="8">
        <f t="shared" si="0"/>
        <v>0.3333333333333357</v>
      </c>
      <c r="E65" s="8">
        <f t="shared" si="1"/>
        <v>0.3333333333333357</v>
      </c>
      <c r="F65" s="8">
        <f t="shared" si="2"/>
        <v>0.11111111111111269</v>
      </c>
      <c r="G65" s="5">
        <f t="shared" si="3"/>
        <v>9.2592592592593247E-3</v>
      </c>
    </row>
    <row r="66" spans="1:7" ht="15.75" customHeight="1">
      <c r="A66" s="3">
        <v>21615</v>
      </c>
      <c r="B66" s="4">
        <v>50</v>
      </c>
      <c r="C66" s="8">
        <f t="shared" si="4"/>
        <v>38.333333333333336</v>
      </c>
      <c r="D66" s="8">
        <f t="shared" si="0"/>
        <v>11.666666666666664</v>
      </c>
      <c r="E66" s="8">
        <f t="shared" si="1"/>
        <v>11.666666666666664</v>
      </c>
      <c r="F66" s="8">
        <f t="shared" si="2"/>
        <v>136.11111111111106</v>
      </c>
      <c r="G66" s="5">
        <f t="shared" si="3"/>
        <v>0.23333333333333328</v>
      </c>
    </row>
    <row r="67" spans="1:7" ht="15.75" customHeight="1">
      <c r="A67" s="3">
        <v>21616</v>
      </c>
      <c r="B67" s="4">
        <v>44</v>
      </c>
      <c r="C67" s="8">
        <f t="shared" si="4"/>
        <v>40</v>
      </c>
      <c r="D67" s="8">
        <f t="shared" si="0"/>
        <v>4</v>
      </c>
      <c r="E67" s="8">
        <f t="shared" si="1"/>
        <v>4</v>
      </c>
      <c r="F67" s="8">
        <f t="shared" si="2"/>
        <v>16</v>
      </c>
      <c r="G67" s="5">
        <f t="shared" si="3"/>
        <v>9.0909090909090912E-2</v>
      </c>
    </row>
    <row r="68" spans="1:7" ht="15.75" customHeight="1">
      <c r="A68" s="3">
        <v>21617</v>
      </c>
      <c r="B68" s="4">
        <v>39</v>
      </c>
      <c r="C68" s="8">
        <f t="shared" si="4"/>
        <v>43.333333333333336</v>
      </c>
      <c r="D68" s="8">
        <f t="shared" si="0"/>
        <v>-4.3333333333333357</v>
      </c>
      <c r="E68" s="8">
        <f t="shared" si="1"/>
        <v>4.3333333333333357</v>
      </c>
      <c r="F68" s="8">
        <f t="shared" si="2"/>
        <v>18.7777777777778</v>
      </c>
      <c r="G68" s="5">
        <f t="shared" si="3"/>
        <v>0.11111111111111117</v>
      </c>
    </row>
    <row r="69" spans="1:7" ht="15.75" customHeight="1">
      <c r="A69" s="3">
        <v>21618</v>
      </c>
      <c r="B69" s="4">
        <v>32</v>
      </c>
      <c r="C69" s="8">
        <f t="shared" si="4"/>
        <v>44.333333333333336</v>
      </c>
      <c r="D69" s="8">
        <f t="shared" si="0"/>
        <v>-12.333333333333336</v>
      </c>
      <c r="E69" s="8">
        <f t="shared" si="1"/>
        <v>12.333333333333336</v>
      </c>
      <c r="F69" s="8">
        <f t="shared" si="2"/>
        <v>152.11111111111117</v>
      </c>
      <c r="G69" s="5">
        <f t="shared" si="3"/>
        <v>0.38541666666666674</v>
      </c>
    </row>
    <row r="70" spans="1:7" ht="15.75" customHeight="1">
      <c r="A70" s="3">
        <v>21619</v>
      </c>
      <c r="B70" s="4">
        <v>39</v>
      </c>
      <c r="C70" s="8">
        <f t="shared" si="4"/>
        <v>38.333333333333336</v>
      </c>
      <c r="D70" s="8">
        <f t="shared" ref="D70:D133" si="5">B70-C70</f>
        <v>0.6666666666666643</v>
      </c>
      <c r="E70" s="8">
        <f t="shared" ref="E70:E133" si="6">ABS(D70)</f>
        <v>0.6666666666666643</v>
      </c>
      <c r="F70" s="8">
        <f t="shared" ref="F70:F133" si="7">E70^2</f>
        <v>0.44444444444444131</v>
      </c>
      <c r="G70" s="5">
        <f t="shared" ref="G70:G133" si="8">E70/B70</f>
        <v>1.7094017094017033E-2</v>
      </c>
    </row>
    <row r="71" spans="1:7" ht="15.75" customHeight="1">
      <c r="A71" s="3">
        <v>21620</v>
      </c>
      <c r="B71" s="4">
        <v>45</v>
      </c>
      <c r="C71" s="8">
        <f t="shared" ref="C71:C134" si="9">AVERAGE(B68:B70)</f>
        <v>36.666666666666664</v>
      </c>
      <c r="D71" s="8">
        <f t="shared" si="5"/>
        <v>8.3333333333333357</v>
      </c>
      <c r="E71" s="8">
        <f t="shared" si="6"/>
        <v>8.3333333333333357</v>
      </c>
      <c r="F71" s="8">
        <f t="shared" si="7"/>
        <v>69.444444444444485</v>
      </c>
      <c r="G71" s="5">
        <f t="shared" si="8"/>
        <v>0.18518518518518523</v>
      </c>
    </row>
    <row r="72" spans="1:7" ht="15.75" customHeight="1">
      <c r="A72" s="3">
        <v>21621</v>
      </c>
      <c r="B72" s="4">
        <v>43</v>
      </c>
      <c r="C72" s="8">
        <f t="shared" si="9"/>
        <v>38.666666666666664</v>
      </c>
      <c r="D72" s="8">
        <f t="shared" si="5"/>
        <v>4.3333333333333357</v>
      </c>
      <c r="E72" s="8">
        <f t="shared" si="6"/>
        <v>4.3333333333333357</v>
      </c>
      <c r="F72" s="8">
        <f t="shared" si="7"/>
        <v>18.7777777777778</v>
      </c>
      <c r="G72" s="5">
        <f t="shared" si="8"/>
        <v>0.10077519379844967</v>
      </c>
    </row>
    <row r="73" spans="1:7" ht="15.75" customHeight="1">
      <c r="A73" s="3">
        <v>21622</v>
      </c>
      <c r="B73" s="4">
        <v>39</v>
      </c>
      <c r="C73" s="8">
        <f t="shared" si="9"/>
        <v>42.333333333333336</v>
      </c>
      <c r="D73" s="8">
        <f t="shared" si="5"/>
        <v>-3.3333333333333357</v>
      </c>
      <c r="E73" s="8">
        <f t="shared" si="6"/>
        <v>3.3333333333333357</v>
      </c>
      <c r="F73" s="8">
        <f t="shared" si="7"/>
        <v>11.111111111111127</v>
      </c>
      <c r="G73" s="5">
        <f t="shared" si="8"/>
        <v>8.5470085470085527E-2</v>
      </c>
    </row>
    <row r="74" spans="1:7" ht="15.75" customHeight="1">
      <c r="A74" s="3">
        <v>21623</v>
      </c>
      <c r="B74" s="4">
        <v>31</v>
      </c>
      <c r="C74" s="8">
        <f t="shared" si="9"/>
        <v>42.333333333333336</v>
      </c>
      <c r="D74" s="8">
        <f t="shared" si="5"/>
        <v>-11.333333333333336</v>
      </c>
      <c r="E74" s="8">
        <f t="shared" si="6"/>
        <v>11.333333333333336</v>
      </c>
      <c r="F74" s="8">
        <f t="shared" si="7"/>
        <v>128.44444444444449</v>
      </c>
      <c r="G74" s="5">
        <f t="shared" si="8"/>
        <v>0.36559139784946243</v>
      </c>
    </row>
    <row r="75" spans="1:7" ht="15.75" customHeight="1">
      <c r="A75" s="3">
        <v>21624</v>
      </c>
      <c r="B75" s="4">
        <v>27</v>
      </c>
      <c r="C75" s="8">
        <f t="shared" si="9"/>
        <v>37.666666666666664</v>
      </c>
      <c r="D75" s="8">
        <f t="shared" si="5"/>
        <v>-10.666666666666664</v>
      </c>
      <c r="E75" s="8">
        <f t="shared" si="6"/>
        <v>10.666666666666664</v>
      </c>
      <c r="F75" s="8">
        <f t="shared" si="7"/>
        <v>113.77777777777773</v>
      </c>
      <c r="G75" s="5">
        <f t="shared" si="8"/>
        <v>0.39506172839506165</v>
      </c>
    </row>
    <row r="76" spans="1:7" ht="15.75" customHeight="1">
      <c r="A76" s="3">
        <v>21625</v>
      </c>
      <c r="B76" s="4">
        <v>30</v>
      </c>
      <c r="C76" s="8">
        <f t="shared" si="9"/>
        <v>32.333333333333336</v>
      </c>
      <c r="D76" s="8">
        <f t="shared" si="5"/>
        <v>-2.3333333333333357</v>
      </c>
      <c r="E76" s="8">
        <f t="shared" si="6"/>
        <v>2.3333333333333357</v>
      </c>
      <c r="F76" s="8">
        <f t="shared" si="7"/>
        <v>5.4444444444444553</v>
      </c>
      <c r="G76" s="5">
        <f t="shared" si="8"/>
        <v>7.7777777777777862E-2</v>
      </c>
    </row>
    <row r="77" spans="1:7" ht="15.75" customHeight="1">
      <c r="A77" s="3">
        <v>21626</v>
      </c>
      <c r="B77" s="4">
        <v>42</v>
      </c>
      <c r="C77" s="8">
        <f t="shared" si="9"/>
        <v>29.333333333333332</v>
      </c>
      <c r="D77" s="8">
        <f t="shared" si="5"/>
        <v>12.666666666666668</v>
      </c>
      <c r="E77" s="8">
        <f t="shared" si="6"/>
        <v>12.666666666666668</v>
      </c>
      <c r="F77" s="8">
        <f t="shared" si="7"/>
        <v>160.44444444444449</v>
      </c>
      <c r="G77" s="5">
        <f t="shared" si="8"/>
        <v>0.30158730158730163</v>
      </c>
    </row>
    <row r="78" spans="1:7" ht="15.75" customHeight="1">
      <c r="A78" s="3">
        <v>21627</v>
      </c>
      <c r="B78" s="4">
        <v>46</v>
      </c>
      <c r="C78" s="8">
        <f t="shared" si="9"/>
        <v>33</v>
      </c>
      <c r="D78" s="8">
        <f t="shared" si="5"/>
        <v>13</v>
      </c>
      <c r="E78" s="8">
        <f t="shared" si="6"/>
        <v>13</v>
      </c>
      <c r="F78" s="8">
        <f t="shared" si="7"/>
        <v>169</v>
      </c>
      <c r="G78" s="5">
        <f t="shared" si="8"/>
        <v>0.28260869565217389</v>
      </c>
    </row>
    <row r="79" spans="1:7" ht="15.75" customHeight="1">
      <c r="A79" s="3">
        <v>21628</v>
      </c>
      <c r="B79" s="4">
        <v>41</v>
      </c>
      <c r="C79" s="8">
        <f t="shared" si="9"/>
        <v>39.333333333333336</v>
      </c>
      <c r="D79" s="8">
        <f t="shared" si="5"/>
        <v>1.6666666666666643</v>
      </c>
      <c r="E79" s="8">
        <f t="shared" si="6"/>
        <v>1.6666666666666643</v>
      </c>
      <c r="F79" s="8">
        <f t="shared" si="7"/>
        <v>2.7777777777777697</v>
      </c>
      <c r="G79" s="5">
        <f t="shared" si="8"/>
        <v>4.0650406504064984E-2</v>
      </c>
    </row>
    <row r="80" spans="1:7" ht="15.75" customHeight="1">
      <c r="A80" s="3">
        <v>21629</v>
      </c>
      <c r="B80" s="4">
        <v>36</v>
      </c>
      <c r="C80" s="8">
        <f t="shared" si="9"/>
        <v>43</v>
      </c>
      <c r="D80" s="8">
        <f t="shared" si="5"/>
        <v>-7</v>
      </c>
      <c r="E80" s="8">
        <f t="shared" si="6"/>
        <v>7</v>
      </c>
      <c r="F80" s="8">
        <f t="shared" si="7"/>
        <v>49</v>
      </c>
      <c r="G80" s="5">
        <f t="shared" si="8"/>
        <v>0.19444444444444445</v>
      </c>
    </row>
    <row r="81" spans="1:7" ht="15.75" customHeight="1">
      <c r="A81" s="3">
        <v>21630</v>
      </c>
      <c r="B81" s="4">
        <v>45</v>
      </c>
      <c r="C81" s="8">
        <f t="shared" si="9"/>
        <v>41</v>
      </c>
      <c r="D81" s="8">
        <f t="shared" si="5"/>
        <v>4</v>
      </c>
      <c r="E81" s="8">
        <f t="shared" si="6"/>
        <v>4</v>
      </c>
      <c r="F81" s="8">
        <f t="shared" si="7"/>
        <v>16</v>
      </c>
      <c r="G81" s="5">
        <f t="shared" si="8"/>
        <v>8.8888888888888892E-2</v>
      </c>
    </row>
    <row r="82" spans="1:7" ht="15.75" customHeight="1">
      <c r="A82" s="3">
        <v>21631</v>
      </c>
      <c r="B82" s="4">
        <v>46</v>
      </c>
      <c r="C82" s="8">
        <f t="shared" si="9"/>
        <v>40.666666666666664</v>
      </c>
      <c r="D82" s="8">
        <f t="shared" si="5"/>
        <v>5.3333333333333357</v>
      </c>
      <c r="E82" s="8">
        <f t="shared" si="6"/>
        <v>5.3333333333333357</v>
      </c>
      <c r="F82" s="8">
        <f t="shared" si="7"/>
        <v>28.444444444444471</v>
      </c>
      <c r="G82" s="5">
        <f t="shared" si="8"/>
        <v>0.1159420289855073</v>
      </c>
    </row>
    <row r="83" spans="1:7" ht="15.75" customHeight="1">
      <c r="A83" s="3">
        <v>21632</v>
      </c>
      <c r="B83" s="4">
        <v>43</v>
      </c>
      <c r="C83" s="8">
        <f t="shared" si="9"/>
        <v>42.333333333333336</v>
      </c>
      <c r="D83" s="8">
        <f t="shared" si="5"/>
        <v>0.6666666666666643</v>
      </c>
      <c r="E83" s="8">
        <f t="shared" si="6"/>
        <v>0.6666666666666643</v>
      </c>
      <c r="F83" s="8">
        <f t="shared" si="7"/>
        <v>0.44444444444444131</v>
      </c>
      <c r="G83" s="5">
        <f t="shared" si="8"/>
        <v>1.5503875968992192E-2</v>
      </c>
    </row>
    <row r="84" spans="1:7" ht="15.75" customHeight="1">
      <c r="A84" s="3">
        <v>21633</v>
      </c>
      <c r="B84" s="4">
        <v>38</v>
      </c>
      <c r="C84" s="8">
        <f t="shared" si="9"/>
        <v>44.666666666666664</v>
      </c>
      <c r="D84" s="8">
        <f t="shared" si="5"/>
        <v>-6.6666666666666643</v>
      </c>
      <c r="E84" s="8">
        <f t="shared" si="6"/>
        <v>6.6666666666666643</v>
      </c>
      <c r="F84" s="8">
        <f t="shared" si="7"/>
        <v>44.444444444444414</v>
      </c>
      <c r="G84" s="5">
        <f t="shared" si="8"/>
        <v>0.175438596491228</v>
      </c>
    </row>
    <row r="85" spans="1:7" ht="15.75" customHeight="1">
      <c r="A85" s="3">
        <v>21634</v>
      </c>
      <c r="B85" s="4">
        <v>34</v>
      </c>
      <c r="C85" s="8">
        <f t="shared" si="9"/>
        <v>42.333333333333336</v>
      </c>
      <c r="D85" s="8">
        <f t="shared" si="5"/>
        <v>-8.3333333333333357</v>
      </c>
      <c r="E85" s="8">
        <f t="shared" si="6"/>
        <v>8.3333333333333357</v>
      </c>
      <c r="F85" s="8">
        <f t="shared" si="7"/>
        <v>69.444444444444485</v>
      </c>
      <c r="G85" s="5">
        <f t="shared" si="8"/>
        <v>0.24509803921568635</v>
      </c>
    </row>
    <row r="86" spans="1:7" ht="15.75" customHeight="1">
      <c r="A86" s="3">
        <v>21635</v>
      </c>
      <c r="B86" s="4">
        <v>35</v>
      </c>
      <c r="C86" s="8">
        <f t="shared" si="9"/>
        <v>38.333333333333336</v>
      </c>
      <c r="D86" s="8">
        <f t="shared" si="5"/>
        <v>-3.3333333333333357</v>
      </c>
      <c r="E86" s="8">
        <f t="shared" si="6"/>
        <v>3.3333333333333357</v>
      </c>
      <c r="F86" s="8">
        <f t="shared" si="7"/>
        <v>11.111111111111127</v>
      </c>
      <c r="G86" s="5">
        <f t="shared" si="8"/>
        <v>9.5238095238095302E-2</v>
      </c>
    </row>
    <row r="87" spans="1:7" ht="15.75" customHeight="1">
      <c r="A87" s="3">
        <v>21636</v>
      </c>
      <c r="B87" s="4">
        <v>56</v>
      </c>
      <c r="C87" s="8">
        <f t="shared" si="9"/>
        <v>35.666666666666664</v>
      </c>
      <c r="D87" s="8">
        <f t="shared" si="5"/>
        <v>20.333333333333336</v>
      </c>
      <c r="E87" s="8">
        <f t="shared" si="6"/>
        <v>20.333333333333336</v>
      </c>
      <c r="F87" s="8">
        <f t="shared" si="7"/>
        <v>413.44444444444451</v>
      </c>
      <c r="G87" s="5">
        <f t="shared" si="8"/>
        <v>0.36309523809523814</v>
      </c>
    </row>
    <row r="88" spans="1:7" ht="15.75" customHeight="1">
      <c r="A88" s="3">
        <v>21637</v>
      </c>
      <c r="B88" s="4">
        <v>36</v>
      </c>
      <c r="C88" s="8">
        <f t="shared" si="9"/>
        <v>41.666666666666664</v>
      </c>
      <c r="D88" s="8">
        <f t="shared" si="5"/>
        <v>-5.6666666666666643</v>
      </c>
      <c r="E88" s="8">
        <f t="shared" si="6"/>
        <v>5.6666666666666643</v>
      </c>
      <c r="F88" s="8">
        <f t="shared" si="7"/>
        <v>32.111111111111086</v>
      </c>
      <c r="G88" s="5">
        <f t="shared" si="8"/>
        <v>0.15740740740740733</v>
      </c>
    </row>
    <row r="89" spans="1:7" ht="15.75" customHeight="1">
      <c r="A89" s="3">
        <v>21638</v>
      </c>
      <c r="B89" s="4">
        <v>32</v>
      </c>
      <c r="C89" s="8">
        <f t="shared" si="9"/>
        <v>42.333333333333336</v>
      </c>
      <c r="D89" s="8">
        <f t="shared" si="5"/>
        <v>-10.333333333333336</v>
      </c>
      <c r="E89" s="8">
        <f t="shared" si="6"/>
        <v>10.333333333333336</v>
      </c>
      <c r="F89" s="8">
        <f t="shared" si="7"/>
        <v>106.77777777777783</v>
      </c>
      <c r="G89" s="5">
        <f t="shared" si="8"/>
        <v>0.32291666666666674</v>
      </c>
    </row>
    <row r="90" spans="1:7" ht="15.75" customHeight="1">
      <c r="A90" s="3">
        <v>21639</v>
      </c>
      <c r="B90" s="4">
        <v>50</v>
      </c>
      <c r="C90" s="8">
        <f t="shared" si="9"/>
        <v>41.333333333333336</v>
      </c>
      <c r="D90" s="8">
        <f t="shared" si="5"/>
        <v>8.6666666666666643</v>
      </c>
      <c r="E90" s="8">
        <f t="shared" si="6"/>
        <v>8.6666666666666643</v>
      </c>
      <c r="F90" s="8">
        <f t="shared" si="7"/>
        <v>75.111111111111072</v>
      </c>
      <c r="G90" s="5">
        <f t="shared" si="8"/>
        <v>0.17333333333333328</v>
      </c>
    </row>
    <row r="91" spans="1:7" ht="15.75" customHeight="1">
      <c r="A91" s="3">
        <v>21640</v>
      </c>
      <c r="B91" s="4">
        <v>41</v>
      </c>
      <c r="C91" s="8">
        <f t="shared" si="9"/>
        <v>39.333333333333336</v>
      </c>
      <c r="D91" s="8">
        <f t="shared" si="5"/>
        <v>1.6666666666666643</v>
      </c>
      <c r="E91" s="8">
        <f t="shared" si="6"/>
        <v>1.6666666666666643</v>
      </c>
      <c r="F91" s="8">
        <f t="shared" si="7"/>
        <v>2.7777777777777697</v>
      </c>
      <c r="G91" s="5">
        <f t="shared" si="8"/>
        <v>4.0650406504064984E-2</v>
      </c>
    </row>
    <row r="92" spans="1:7" ht="15.75" customHeight="1">
      <c r="A92" s="3">
        <v>21641</v>
      </c>
      <c r="B92" s="4">
        <v>39</v>
      </c>
      <c r="C92" s="8">
        <f t="shared" si="9"/>
        <v>41</v>
      </c>
      <c r="D92" s="8">
        <f t="shared" si="5"/>
        <v>-2</v>
      </c>
      <c r="E92" s="8">
        <f t="shared" si="6"/>
        <v>2</v>
      </c>
      <c r="F92" s="8">
        <f t="shared" si="7"/>
        <v>4</v>
      </c>
      <c r="G92" s="5">
        <f t="shared" si="8"/>
        <v>5.128205128205128E-2</v>
      </c>
    </row>
    <row r="93" spans="1:7" ht="15.75" customHeight="1">
      <c r="A93" s="3">
        <v>21642</v>
      </c>
      <c r="B93" s="4">
        <v>41</v>
      </c>
      <c r="C93" s="8">
        <f t="shared" si="9"/>
        <v>43.333333333333336</v>
      </c>
      <c r="D93" s="8">
        <f t="shared" si="5"/>
        <v>-2.3333333333333357</v>
      </c>
      <c r="E93" s="8">
        <f t="shared" si="6"/>
        <v>2.3333333333333357</v>
      </c>
      <c r="F93" s="8">
        <f t="shared" si="7"/>
        <v>5.4444444444444553</v>
      </c>
      <c r="G93" s="5">
        <f t="shared" si="8"/>
        <v>5.6910569105691117E-2</v>
      </c>
    </row>
    <row r="94" spans="1:7" ht="15.75" customHeight="1">
      <c r="A94" s="3">
        <v>21643</v>
      </c>
      <c r="B94" s="4">
        <v>47</v>
      </c>
      <c r="C94" s="8">
        <f t="shared" si="9"/>
        <v>40.333333333333336</v>
      </c>
      <c r="D94" s="8">
        <f t="shared" si="5"/>
        <v>6.6666666666666643</v>
      </c>
      <c r="E94" s="8">
        <f t="shared" si="6"/>
        <v>6.6666666666666643</v>
      </c>
      <c r="F94" s="8">
        <f t="shared" si="7"/>
        <v>44.444444444444414</v>
      </c>
      <c r="G94" s="5">
        <f t="shared" si="8"/>
        <v>0.14184397163120563</v>
      </c>
    </row>
    <row r="95" spans="1:7" ht="15.75" customHeight="1">
      <c r="A95" s="3">
        <v>21644</v>
      </c>
      <c r="B95" s="4">
        <v>34</v>
      </c>
      <c r="C95" s="8">
        <f t="shared" si="9"/>
        <v>42.333333333333336</v>
      </c>
      <c r="D95" s="8">
        <f t="shared" si="5"/>
        <v>-8.3333333333333357</v>
      </c>
      <c r="E95" s="8">
        <f t="shared" si="6"/>
        <v>8.3333333333333357</v>
      </c>
      <c r="F95" s="8">
        <f t="shared" si="7"/>
        <v>69.444444444444485</v>
      </c>
      <c r="G95" s="5">
        <f t="shared" si="8"/>
        <v>0.24509803921568635</v>
      </c>
    </row>
    <row r="96" spans="1:7" ht="15.75" customHeight="1">
      <c r="A96" s="3">
        <v>21645</v>
      </c>
      <c r="B96" s="4">
        <v>36</v>
      </c>
      <c r="C96" s="8">
        <f t="shared" si="9"/>
        <v>40.666666666666664</v>
      </c>
      <c r="D96" s="8">
        <f t="shared" si="5"/>
        <v>-4.6666666666666643</v>
      </c>
      <c r="E96" s="8">
        <f t="shared" si="6"/>
        <v>4.6666666666666643</v>
      </c>
      <c r="F96" s="8">
        <f t="shared" si="7"/>
        <v>21.777777777777757</v>
      </c>
      <c r="G96" s="5">
        <f t="shared" si="8"/>
        <v>0.12962962962962957</v>
      </c>
    </row>
    <row r="97" spans="1:7" ht="15.75" customHeight="1">
      <c r="A97" s="3">
        <v>21646</v>
      </c>
      <c r="B97" s="4">
        <v>33</v>
      </c>
      <c r="C97" s="8">
        <f t="shared" si="9"/>
        <v>39</v>
      </c>
      <c r="D97" s="8">
        <f t="shared" si="5"/>
        <v>-6</v>
      </c>
      <c r="E97" s="8">
        <f t="shared" si="6"/>
        <v>6</v>
      </c>
      <c r="F97" s="8">
        <f t="shared" si="7"/>
        <v>36</v>
      </c>
      <c r="G97" s="5">
        <f t="shared" si="8"/>
        <v>0.18181818181818182</v>
      </c>
    </row>
    <row r="98" spans="1:7" ht="15.75" customHeight="1">
      <c r="A98" s="3">
        <v>21647</v>
      </c>
      <c r="B98" s="4">
        <v>35</v>
      </c>
      <c r="C98" s="8">
        <f t="shared" si="9"/>
        <v>34.333333333333336</v>
      </c>
      <c r="D98" s="8">
        <f t="shared" si="5"/>
        <v>0.6666666666666643</v>
      </c>
      <c r="E98" s="8">
        <f t="shared" si="6"/>
        <v>0.6666666666666643</v>
      </c>
      <c r="F98" s="8">
        <f t="shared" si="7"/>
        <v>0.44444444444444131</v>
      </c>
      <c r="G98" s="5">
        <f t="shared" si="8"/>
        <v>1.904761904761898E-2</v>
      </c>
    </row>
    <row r="99" spans="1:7" ht="15.75" customHeight="1">
      <c r="A99" s="3">
        <v>21648</v>
      </c>
      <c r="B99" s="4">
        <v>38</v>
      </c>
      <c r="C99" s="8">
        <f t="shared" si="9"/>
        <v>34.666666666666664</v>
      </c>
      <c r="D99" s="8">
        <f t="shared" si="5"/>
        <v>3.3333333333333357</v>
      </c>
      <c r="E99" s="8">
        <f t="shared" si="6"/>
        <v>3.3333333333333357</v>
      </c>
      <c r="F99" s="8">
        <f t="shared" si="7"/>
        <v>11.111111111111127</v>
      </c>
      <c r="G99" s="5">
        <f t="shared" si="8"/>
        <v>8.77192982456141E-2</v>
      </c>
    </row>
    <row r="100" spans="1:7" ht="15.75" customHeight="1">
      <c r="A100" s="3">
        <v>21649</v>
      </c>
      <c r="B100" s="4">
        <v>38</v>
      </c>
      <c r="C100" s="8">
        <f t="shared" si="9"/>
        <v>35.333333333333336</v>
      </c>
      <c r="D100" s="8">
        <f t="shared" si="5"/>
        <v>2.6666666666666643</v>
      </c>
      <c r="E100" s="8">
        <f t="shared" si="6"/>
        <v>2.6666666666666643</v>
      </c>
      <c r="F100" s="8">
        <f t="shared" si="7"/>
        <v>7.1111111111110983</v>
      </c>
      <c r="G100" s="5">
        <f t="shared" si="8"/>
        <v>7.0175438596491169E-2</v>
      </c>
    </row>
    <row r="101" spans="1:7" ht="15.75" customHeight="1">
      <c r="A101" s="3">
        <v>21650</v>
      </c>
      <c r="B101" s="4">
        <v>34</v>
      </c>
      <c r="C101" s="8">
        <f t="shared" si="9"/>
        <v>37</v>
      </c>
      <c r="D101" s="8">
        <f t="shared" si="5"/>
        <v>-3</v>
      </c>
      <c r="E101" s="8">
        <f t="shared" si="6"/>
        <v>3</v>
      </c>
      <c r="F101" s="8">
        <f t="shared" si="7"/>
        <v>9</v>
      </c>
      <c r="G101" s="5">
        <f t="shared" si="8"/>
        <v>8.8235294117647065E-2</v>
      </c>
    </row>
    <row r="102" spans="1:7" ht="15.75" customHeight="1">
      <c r="A102" s="3">
        <v>21651</v>
      </c>
      <c r="B102" s="4">
        <v>53</v>
      </c>
      <c r="C102" s="8">
        <f t="shared" si="9"/>
        <v>36.666666666666664</v>
      </c>
      <c r="D102" s="8">
        <f t="shared" si="5"/>
        <v>16.333333333333336</v>
      </c>
      <c r="E102" s="8">
        <f t="shared" si="6"/>
        <v>16.333333333333336</v>
      </c>
      <c r="F102" s="8">
        <f t="shared" si="7"/>
        <v>266.77777777777783</v>
      </c>
      <c r="G102" s="5">
        <f t="shared" si="8"/>
        <v>0.30817610062893086</v>
      </c>
    </row>
    <row r="103" spans="1:7" ht="15.75" customHeight="1">
      <c r="A103" s="3">
        <v>21652</v>
      </c>
      <c r="B103" s="4">
        <v>34</v>
      </c>
      <c r="C103" s="8">
        <f t="shared" si="9"/>
        <v>41.666666666666664</v>
      </c>
      <c r="D103" s="8">
        <f t="shared" si="5"/>
        <v>-7.6666666666666643</v>
      </c>
      <c r="E103" s="8">
        <f t="shared" si="6"/>
        <v>7.6666666666666643</v>
      </c>
      <c r="F103" s="8">
        <f t="shared" si="7"/>
        <v>58.777777777777743</v>
      </c>
      <c r="G103" s="5">
        <f t="shared" si="8"/>
        <v>0.22549019607843129</v>
      </c>
    </row>
    <row r="104" spans="1:7" ht="15.75" customHeight="1">
      <c r="A104" s="3">
        <v>21653</v>
      </c>
      <c r="B104" s="4">
        <v>34</v>
      </c>
      <c r="C104" s="8">
        <f t="shared" si="9"/>
        <v>40.333333333333336</v>
      </c>
      <c r="D104" s="8">
        <f t="shared" si="5"/>
        <v>-6.3333333333333357</v>
      </c>
      <c r="E104" s="8">
        <f t="shared" si="6"/>
        <v>6.3333333333333357</v>
      </c>
      <c r="F104" s="8">
        <f t="shared" si="7"/>
        <v>40.111111111111143</v>
      </c>
      <c r="G104" s="5">
        <f t="shared" si="8"/>
        <v>0.18627450980392163</v>
      </c>
    </row>
    <row r="105" spans="1:7" ht="15.75" customHeight="1">
      <c r="A105" s="3">
        <v>21654</v>
      </c>
      <c r="B105" s="4">
        <v>38</v>
      </c>
      <c r="C105" s="8">
        <f t="shared" si="9"/>
        <v>40.333333333333336</v>
      </c>
      <c r="D105" s="8">
        <f t="shared" si="5"/>
        <v>-2.3333333333333357</v>
      </c>
      <c r="E105" s="8">
        <f t="shared" si="6"/>
        <v>2.3333333333333357</v>
      </c>
      <c r="F105" s="8">
        <f t="shared" si="7"/>
        <v>5.4444444444444553</v>
      </c>
      <c r="G105" s="5">
        <f t="shared" si="8"/>
        <v>6.1403508771929884E-2</v>
      </c>
    </row>
    <row r="106" spans="1:7" ht="15.75" customHeight="1">
      <c r="A106" s="3">
        <v>21655</v>
      </c>
      <c r="B106" s="4">
        <v>35</v>
      </c>
      <c r="C106" s="8">
        <f t="shared" si="9"/>
        <v>35.333333333333336</v>
      </c>
      <c r="D106" s="8">
        <f t="shared" si="5"/>
        <v>-0.3333333333333357</v>
      </c>
      <c r="E106" s="8">
        <f t="shared" si="6"/>
        <v>0.3333333333333357</v>
      </c>
      <c r="F106" s="8">
        <f t="shared" si="7"/>
        <v>0.11111111111111269</v>
      </c>
      <c r="G106" s="5">
        <f t="shared" si="8"/>
        <v>9.5238095238095923E-3</v>
      </c>
    </row>
    <row r="107" spans="1:7" ht="15.75" customHeight="1">
      <c r="A107" s="3">
        <v>21656</v>
      </c>
      <c r="B107" s="4">
        <v>32</v>
      </c>
      <c r="C107" s="8">
        <f t="shared" si="9"/>
        <v>35.666666666666664</v>
      </c>
      <c r="D107" s="8">
        <f t="shared" si="5"/>
        <v>-3.6666666666666643</v>
      </c>
      <c r="E107" s="8">
        <f t="shared" si="6"/>
        <v>3.6666666666666643</v>
      </c>
      <c r="F107" s="8">
        <f t="shared" si="7"/>
        <v>13.444444444444427</v>
      </c>
      <c r="G107" s="5">
        <f t="shared" si="8"/>
        <v>0.11458333333333326</v>
      </c>
    </row>
    <row r="108" spans="1:7" ht="15.75" customHeight="1">
      <c r="A108" s="3">
        <v>21657</v>
      </c>
      <c r="B108" s="4">
        <v>42</v>
      </c>
      <c r="C108" s="8">
        <f t="shared" si="9"/>
        <v>35</v>
      </c>
      <c r="D108" s="8">
        <f t="shared" si="5"/>
        <v>7</v>
      </c>
      <c r="E108" s="8">
        <f t="shared" si="6"/>
        <v>7</v>
      </c>
      <c r="F108" s="8">
        <f t="shared" si="7"/>
        <v>49</v>
      </c>
      <c r="G108" s="5">
        <f t="shared" si="8"/>
        <v>0.16666666666666666</v>
      </c>
    </row>
    <row r="109" spans="1:7" ht="15.75" customHeight="1">
      <c r="A109" s="3">
        <v>21658</v>
      </c>
      <c r="B109" s="4">
        <v>34</v>
      </c>
      <c r="C109" s="8">
        <f t="shared" si="9"/>
        <v>36.333333333333336</v>
      </c>
      <c r="D109" s="8">
        <f t="shared" si="5"/>
        <v>-2.3333333333333357</v>
      </c>
      <c r="E109" s="8">
        <f t="shared" si="6"/>
        <v>2.3333333333333357</v>
      </c>
      <c r="F109" s="8">
        <f t="shared" si="7"/>
        <v>5.4444444444444553</v>
      </c>
      <c r="G109" s="5">
        <f t="shared" si="8"/>
        <v>6.8627450980392232E-2</v>
      </c>
    </row>
    <row r="110" spans="1:7" ht="15.75" customHeight="1">
      <c r="A110" s="3">
        <v>21659</v>
      </c>
      <c r="B110" s="4">
        <v>46</v>
      </c>
      <c r="C110" s="8">
        <f t="shared" si="9"/>
        <v>36</v>
      </c>
      <c r="D110" s="8">
        <f t="shared" si="5"/>
        <v>10</v>
      </c>
      <c r="E110" s="8">
        <f t="shared" si="6"/>
        <v>10</v>
      </c>
      <c r="F110" s="8">
        <f t="shared" si="7"/>
        <v>100</v>
      </c>
      <c r="G110" s="5">
        <f t="shared" si="8"/>
        <v>0.21739130434782608</v>
      </c>
    </row>
    <row r="111" spans="1:7" ht="15.75" customHeight="1">
      <c r="A111" s="3">
        <v>21660</v>
      </c>
      <c r="B111" s="4">
        <v>30</v>
      </c>
      <c r="C111" s="8">
        <f t="shared" si="9"/>
        <v>40.666666666666664</v>
      </c>
      <c r="D111" s="8">
        <f t="shared" si="5"/>
        <v>-10.666666666666664</v>
      </c>
      <c r="E111" s="8">
        <f t="shared" si="6"/>
        <v>10.666666666666664</v>
      </c>
      <c r="F111" s="8">
        <f t="shared" si="7"/>
        <v>113.77777777777773</v>
      </c>
      <c r="G111" s="5">
        <f t="shared" si="8"/>
        <v>0.35555555555555546</v>
      </c>
    </row>
    <row r="112" spans="1:7" ht="15.75" customHeight="1">
      <c r="A112" s="3">
        <v>21661</v>
      </c>
      <c r="B112" s="4">
        <v>46</v>
      </c>
      <c r="C112" s="8">
        <f t="shared" si="9"/>
        <v>36.666666666666664</v>
      </c>
      <c r="D112" s="8">
        <f t="shared" si="5"/>
        <v>9.3333333333333357</v>
      </c>
      <c r="E112" s="8">
        <f t="shared" si="6"/>
        <v>9.3333333333333357</v>
      </c>
      <c r="F112" s="8">
        <f t="shared" si="7"/>
        <v>87.111111111111157</v>
      </c>
      <c r="G112" s="5">
        <f t="shared" si="8"/>
        <v>0.20289855072463772</v>
      </c>
    </row>
    <row r="113" spans="1:7" ht="15.75" customHeight="1">
      <c r="A113" s="3">
        <v>21662</v>
      </c>
      <c r="B113" s="4">
        <v>45</v>
      </c>
      <c r="C113" s="8">
        <f t="shared" si="9"/>
        <v>40.666666666666664</v>
      </c>
      <c r="D113" s="8">
        <f t="shared" si="5"/>
        <v>4.3333333333333357</v>
      </c>
      <c r="E113" s="8">
        <f t="shared" si="6"/>
        <v>4.3333333333333357</v>
      </c>
      <c r="F113" s="8">
        <f t="shared" si="7"/>
        <v>18.7777777777778</v>
      </c>
      <c r="G113" s="5">
        <f t="shared" si="8"/>
        <v>9.6296296296296352E-2</v>
      </c>
    </row>
    <row r="114" spans="1:7" ht="15.75" customHeight="1">
      <c r="A114" s="3">
        <v>21663</v>
      </c>
      <c r="B114" s="4">
        <v>54</v>
      </c>
      <c r="C114" s="8">
        <f t="shared" si="9"/>
        <v>40.333333333333336</v>
      </c>
      <c r="D114" s="8">
        <f t="shared" si="5"/>
        <v>13.666666666666664</v>
      </c>
      <c r="E114" s="8">
        <f t="shared" si="6"/>
        <v>13.666666666666664</v>
      </c>
      <c r="F114" s="8">
        <f t="shared" si="7"/>
        <v>186.77777777777771</v>
      </c>
      <c r="G114" s="5">
        <f t="shared" si="8"/>
        <v>0.25308641975308638</v>
      </c>
    </row>
    <row r="115" spans="1:7" ht="15.75" customHeight="1">
      <c r="A115" s="3">
        <v>21664</v>
      </c>
      <c r="B115" s="4">
        <v>34</v>
      </c>
      <c r="C115" s="8">
        <f t="shared" si="9"/>
        <v>48.333333333333336</v>
      </c>
      <c r="D115" s="8">
        <f t="shared" si="5"/>
        <v>-14.333333333333336</v>
      </c>
      <c r="E115" s="8">
        <f t="shared" si="6"/>
        <v>14.333333333333336</v>
      </c>
      <c r="F115" s="8">
        <f t="shared" si="7"/>
        <v>205.44444444444451</v>
      </c>
      <c r="G115" s="5">
        <f t="shared" si="8"/>
        <v>0.42156862745098045</v>
      </c>
    </row>
    <row r="116" spans="1:7" ht="15.75" customHeight="1">
      <c r="A116" s="3">
        <v>21665</v>
      </c>
      <c r="B116" s="4">
        <v>37</v>
      </c>
      <c r="C116" s="8">
        <f t="shared" si="9"/>
        <v>44.333333333333336</v>
      </c>
      <c r="D116" s="8">
        <f t="shared" si="5"/>
        <v>-7.3333333333333357</v>
      </c>
      <c r="E116" s="8">
        <f t="shared" si="6"/>
        <v>7.3333333333333357</v>
      </c>
      <c r="F116" s="8">
        <f t="shared" si="7"/>
        <v>53.777777777777814</v>
      </c>
      <c r="G116" s="5">
        <f t="shared" si="8"/>
        <v>0.19819819819819826</v>
      </c>
    </row>
    <row r="117" spans="1:7" ht="15.75" customHeight="1">
      <c r="A117" s="3">
        <v>21666</v>
      </c>
      <c r="B117" s="4">
        <v>35</v>
      </c>
      <c r="C117" s="8">
        <f t="shared" si="9"/>
        <v>41.666666666666664</v>
      </c>
      <c r="D117" s="8">
        <f t="shared" si="5"/>
        <v>-6.6666666666666643</v>
      </c>
      <c r="E117" s="8">
        <f t="shared" si="6"/>
        <v>6.6666666666666643</v>
      </c>
      <c r="F117" s="8">
        <f t="shared" si="7"/>
        <v>44.444444444444414</v>
      </c>
      <c r="G117" s="5">
        <f t="shared" si="8"/>
        <v>0.19047619047619041</v>
      </c>
    </row>
    <row r="118" spans="1:7" ht="15.75" customHeight="1">
      <c r="A118" s="3">
        <v>21667</v>
      </c>
      <c r="B118" s="4">
        <v>40</v>
      </c>
      <c r="C118" s="8">
        <f t="shared" si="9"/>
        <v>35.333333333333336</v>
      </c>
      <c r="D118" s="8">
        <f t="shared" si="5"/>
        <v>4.6666666666666643</v>
      </c>
      <c r="E118" s="8">
        <f t="shared" si="6"/>
        <v>4.6666666666666643</v>
      </c>
      <c r="F118" s="8">
        <f t="shared" si="7"/>
        <v>21.777777777777757</v>
      </c>
      <c r="G118" s="5">
        <f t="shared" si="8"/>
        <v>0.11666666666666661</v>
      </c>
    </row>
    <row r="119" spans="1:7" ht="15.75" customHeight="1">
      <c r="A119" s="3">
        <v>21668</v>
      </c>
      <c r="B119" s="4">
        <v>42</v>
      </c>
      <c r="C119" s="8">
        <f t="shared" si="9"/>
        <v>37.333333333333336</v>
      </c>
      <c r="D119" s="8">
        <f t="shared" si="5"/>
        <v>4.6666666666666643</v>
      </c>
      <c r="E119" s="8">
        <f t="shared" si="6"/>
        <v>4.6666666666666643</v>
      </c>
      <c r="F119" s="8">
        <f t="shared" si="7"/>
        <v>21.777777777777757</v>
      </c>
      <c r="G119" s="5">
        <f t="shared" si="8"/>
        <v>0.11111111111111105</v>
      </c>
    </row>
    <row r="120" spans="1:7" ht="15.75" customHeight="1">
      <c r="A120" s="3">
        <v>21669</v>
      </c>
      <c r="B120" s="4">
        <v>58</v>
      </c>
      <c r="C120" s="8">
        <f t="shared" si="9"/>
        <v>39</v>
      </c>
      <c r="D120" s="8">
        <f t="shared" si="5"/>
        <v>19</v>
      </c>
      <c r="E120" s="8">
        <f t="shared" si="6"/>
        <v>19</v>
      </c>
      <c r="F120" s="8">
        <f t="shared" si="7"/>
        <v>361</v>
      </c>
      <c r="G120" s="5">
        <f t="shared" si="8"/>
        <v>0.32758620689655171</v>
      </c>
    </row>
    <row r="121" spans="1:7" ht="15.75" customHeight="1">
      <c r="A121" s="3">
        <v>21670</v>
      </c>
      <c r="B121" s="4">
        <v>51</v>
      </c>
      <c r="C121" s="8">
        <f t="shared" si="9"/>
        <v>46.666666666666664</v>
      </c>
      <c r="D121" s="8">
        <f t="shared" si="5"/>
        <v>4.3333333333333357</v>
      </c>
      <c r="E121" s="8">
        <f t="shared" si="6"/>
        <v>4.3333333333333357</v>
      </c>
      <c r="F121" s="8">
        <f t="shared" si="7"/>
        <v>18.7777777777778</v>
      </c>
      <c r="G121" s="5">
        <f t="shared" si="8"/>
        <v>8.4967320261437954E-2</v>
      </c>
    </row>
    <row r="122" spans="1:7" ht="15.75" customHeight="1">
      <c r="A122" s="3">
        <v>21671</v>
      </c>
      <c r="B122" s="4">
        <v>32</v>
      </c>
      <c r="C122" s="8">
        <f t="shared" si="9"/>
        <v>50.333333333333336</v>
      </c>
      <c r="D122" s="8">
        <f t="shared" si="5"/>
        <v>-18.333333333333336</v>
      </c>
      <c r="E122" s="8">
        <f t="shared" si="6"/>
        <v>18.333333333333336</v>
      </c>
      <c r="F122" s="8">
        <f t="shared" si="7"/>
        <v>336.1111111111112</v>
      </c>
      <c r="G122" s="5">
        <f t="shared" si="8"/>
        <v>0.57291666666666674</v>
      </c>
    </row>
    <row r="123" spans="1:7" ht="15.75" customHeight="1">
      <c r="A123" s="3">
        <v>21672</v>
      </c>
      <c r="B123" s="4">
        <v>35</v>
      </c>
      <c r="C123" s="8">
        <f t="shared" si="9"/>
        <v>47</v>
      </c>
      <c r="D123" s="8">
        <f t="shared" si="5"/>
        <v>-12</v>
      </c>
      <c r="E123" s="8">
        <f t="shared" si="6"/>
        <v>12</v>
      </c>
      <c r="F123" s="8">
        <f t="shared" si="7"/>
        <v>144</v>
      </c>
      <c r="G123" s="5">
        <f t="shared" si="8"/>
        <v>0.34285714285714286</v>
      </c>
    </row>
    <row r="124" spans="1:7" ht="15.75" customHeight="1">
      <c r="A124" s="3">
        <v>21673</v>
      </c>
      <c r="B124" s="4">
        <v>38</v>
      </c>
      <c r="C124" s="8">
        <f t="shared" si="9"/>
        <v>39.333333333333336</v>
      </c>
      <c r="D124" s="8">
        <f t="shared" si="5"/>
        <v>-1.3333333333333357</v>
      </c>
      <c r="E124" s="8">
        <f t="shared" si="6"/>
        <v>1.3333333333333357</v>
      </c>
      <c r="F124" s="8">
        <f t="shared" si="7"/>
        <v>1.7777777777777841</v>
      </c>
      <c r="G124" s="5">
        <f t="shared" si="8"/>
        <v>3.5087719298245675E-2</v>
      </c>
    </row>
    <row r="125" spans="1:7" ht="15.75" customHeight="1">
      <c r="A125" s="3">
        <v>21674</v>
      </c>
      <c r="B125" s="4">
        <v>33</v>
      </c>
      <c r="C125" s="8">
        <f t="shared" si="9"/>
        <v>35</v>
      </c>
      <c r="D125" s="8">
        <f t="shared" si="5"/>
        <v>-2</v>
      </c>
      <c r="E125" s="8">
        <f t="shared" si="6"/>
        <v>2</v>
      </c>
      <c r="F125" s="8">
        <f t="shared" si="7"/>
        <v>4</v>
      </c>
      <c r="G125" s="5">
        <f t="shared" si="8"/>
        <v>6.0606060606060608E-2</v>
      </c>
    </row>
    <row r="126" spans="1:7" ht="15.75" customHeight="1">
      <c r="A126" s="3">
        <v>21675</v>
      </c>
      <c r="B126" s="4">
        <v>39</v>
      </c>
      <c r="C126" s="8">
        <f t="shared" si="9"/>
        <v>35.333333333333336</v>
      </c>
      <c r="D126" s="8">
        <f t="shared" si="5"/>
        <v>3.6666666666666643</v>
      </c>
      <c r="E126" s="8">
        <f t="shared" si="6"/>
        <v>3.6666666666666643</v>
      </c>
      <c r="F126" s="8">
        <f t="shared" si="7"/>
        <v>13.444444444444427</v>
      </c>
      <c r="G126" s="5">
        <f t="shared" si="8"/>
        <v>9.4017094017093961E-2</v>
      </c>
    </row>
    <row r="127" spans="1:7" ht="15.75" customHeight="1">
      <c r="A127" s="3">
        <v>21676</v>
      </c>
      <c r="B127" s="4">
        <v>47</v>
      </c>
      <c r="C127" s="8">
        <f t="shared" si="9"/>
        <v>36.666666666666664</v>
      </c>
      <c r="D127" s="8">
        <f t="shared" si="5"/>
        <v>10.333333333333336</v>
      </c>
      <c r="E127" s="8">
        <f t="shared" si="6"/>
        <v>10.333333333333336</v>
      </c>
      <c r="F127" s="8">
        <f t="shared" si="7"/>
        <v>106.77777777777783</v>
      </c>
      <c r="G127" s="5">
        <f t="shared" si="8"/>
        <v>0.21985815602836883</v>
      </c>
    </row>
    <row r="128" spans="1:7" ht="15.75" customHeight="1">
      <c r="A128" s="3">
        <v>21677</v>
      </c>
      <c r="B128" s="4">
        <v>38</v>
      </c>
      <c r="C128" s="8">
        <f t="shared" si="9"/>
        <v>39.666666666666664</v>
      </c>
      <c r="D128" s="8">
        <f t="shared" si="5"/>
        <v>-1.6666666666666643</v>
      </c>
      <c r="E128" s="8">
        <f t="shared" si="6"/>
        <v>1.6666666666666643</v>
      </c>
      <c r="F128" s="8">
        <f t="shared" si="7"/>
        <v>2.7777777777777697</v>
      </c>
      <c r="G128" s="5">
        <f t="shared" si="8"/>
        <v>4.3859649122806953E-2</v>
      </c>
    </row>
    <row r="129" spans="1:7" ht="15.75" customHeight="1">
      <c r="A129" s="3">
        <v>21678</v>
      </c>
      <c r="B129" s="4">
        <v>52</v>
      </c>
      <c r="C129" s="8">
        <f t="shared" si="9"/>
        <v>41.333333333333336</v>
      </c>
      <c r="D129" s="8">
        <f t="shared" si="5"/>
        <v>10.666666666666664</v>
      </c>
      <c r="E129" s="8">
        <f t="shared" si="6"/>
        <v>10.666666666666664</v>
      </c>
      <c r="F129" s="8">
        <f t="shared" si="7"/>
        <v>113.77777777777773</v>
      </c>
      <c r="G129" s="5">
        <f t="shared" si="8"/>
        <v>0.20512820512820509</v>
      </c>
    </row>
    <row r="130" spans="1:7" ht="15.75" customHeight="1">
      <c r="A130" s="3">
        <v>21679</v>
      </c>
      <c r="B130" s="4">
        <v>30</v>
      </c>
      <c r="C130" s="8">
        <f t="shared" si="9"/>
        <v>45.666666666666664</v>
      </c>
      <c r="D130" s="8">
        <f t="shared" si="5"/>
        <v>-15.666666666666664</v>
      </c>
      <c r="E130" s="8">
        <f t="shared" si="6"/>
        <v>15.666666666666664</v>
      </c>
      <c r="F130" s="8">
        <f t="shared" si="7"/>
        <v>245.44444444444437</v>
      </c>
      <c r="G130" s="5">
        <f t="shared" si="8"/>
        <v>0.52222222222222214</v>
      </c>
    </row>
    <row r="131" spans="1:7" ht="15.75" customHeight="1">
      <c r="A131" s="3">
        <v>21680</v>
      </c>
      <c r="B131" s="4">
        <v>34</v>
      </c>
      <c r="C131" s="8">
        <f t="shared" si="9"/>
        <v>40</v>
      </c>
      <c r="D131" s="8">
        <f t="shared" si="5"/>
        <v>-6</v>
      </c>
      <c r="E131" s="8">
        <f t="shared" si="6"/>
        <v>6</v>
      </c>
      <c r="F131" s="8">
        <f t="shared" si="7"/>
        <v>36</v>
      </c>
      <c r="G131" s="5">
        <f t="shared" si="8"/>
        <v>0.17647058823529413</v>
      </c>
    </row>
    <row r="132" spans="1:7" ht="15.75" customHeight="1">
      <c r="A132" s="3">
        <v>21681</v>
      </c>
      <c r="B132" s="4">
        <v>40</v>
      </c>
      <c r="C132" s="8">
        <f t="shared" si="9"/>
        <v>38.666666666666664</v>
      </c>
      <c r="D132" s="8">
        <f t="shared" si="5"/>
        <v>1.3333333333333357</v>
      </c>
      <c r="E132" s="8">
        <f t="shared" si="6"/>
        <v>1.3333333333333357</v>
      </c>
      <c r="F132" s="8">
        <f t="shared" si="7"/>
        <v>1.7777777777777841</v>
      </c>
      <c r="G132" s="5">
        <f t="shared" si="8"/>
        <v>3.3333333333333395E-2</v>
      </c>
    </row>
    <row r="133" spans="1:7" ht="15.75" customHeight="1">
      <c r="A133" s="3">
        <v>21682</v>
      </c>
      <c r="B133" s="4">
        <v>35</v>
      </c>
      <c r="C133" s="8">
        <f t="shared" si="9"/>
        <v>34.666666666666664</v>
      </c>
      <c r="D133" s="8">
        <f t="shared" si="5"/>
        <v>0.3333333333333357</v>
      </c>
      <c r="E133" s="8">
        <f t="shared" si="6"/>
        <v>0.3333333333333357</v>
      </c>
      <c r="F133" s="8">
        <f t="shared" si="7"/>
        <v>0.11111111111111269</v>
      </c>
      <c r="G133" s="5">
        <f t="shared" si="8"/>
        <v>9.5238095238095923E-3</v>
      </c>
    </row>
    <row r="134" spans="1:7" ht="15.75" customHeight="1">
      <c r="A134" s="3">
        <v>21683</v>
      </c>
      <c r="B134" s="4">
        <v>42</v>
      </c>
      <c r="C134" s="8">
        <f t="shared" si="9"/>
        <v>36.333333333333336</v>
      </c>
      <c r="D134" s="8">
        <f t="shared" ref="D134:D197" si="10">B134-C134</f>
        <v>5.6666666666666643</v>
      </c>
      <c r="E134" s="8">
        <f t="shared" ref="E134:E197" si="11">ABS(D134)</f>
        <v>5.6666666666666643</v>
      </c>
      <c r="F134" s="8">
        <f t="shared" ref="F134:F197" si="12">E134^2</f>
        <v>32.111111111111086</v>
      </c>
      <c r="G134" s="5">
        <f t="shared" ref="G134:G197" si="13">E134/B134</f>
        <v>0.13492063492063486</v>
      </c>
    </row>
    <row r="135" spans="1:7" ht="15.75" customHeight="1">
      <c r="A135" s="3">
        <v>21684</v>
      </c>
      <c r="B135" s="4">
        <v>41</v>
      </c>
      <c r="C135" s="8">
        <f t="shared" ref="C135:C198" si="14">AVERAGE(B132:B134)</f>
        <v>39</v>
      </c>
      <c r="D135" s="8">
        <f t="shared" si="10"/>
        <v>2</v>
      </c>
      <c r="E135" s="8">
        <f t="shared" si="11"/>
        <v>2</v>
      </c>
      <c r="F135" s="8">
        <f t="shared" si="12"/>
        <v>4</v>
      </c>
      <c r="G135" s="5">
        <f t="shared" si="13"/>
        <v>4.878048780487805E-2</v>
      </c>
    </row>
    <row r="136" spans="1:7" ht="15.75" customHeight="1">
      <c r="A136" s="3">
        <v>21685</v>
      </c>
      <c r="B136" s="4">
        <v>42</v>
      </c>
      <c r="C136" s="8">
        <f t="shared" si="14"/>
        <v>39.333333333333336</v>
      </c>
      <c r="D136" s="8">
        <f t="shared" si="10"/>
        <v>2.6666666666666643</v>
      </c>
      <c r="E136" s="8">
        <f t="shared" si="11"/>
        <v>2.6666666666666643</v>
      </c>
      <c r="F136" s="8">
        <f t="shared" si="12"/>
        <v>7.1111111111110983</v>
      </c>
      <c r="G136" s="5">
        <f t="shared" si="13"/>
        <v>6.3492063492063433E-2</v>
      </c>
    </row>
    <row r="137" spans="1:7" ht="15.75" customHeight="1">
      <c r="A137" s="3">
        <v>21686</v>
      </c>
      <c r="B137" s="4">
        <v>38</v>
      </c>
      <c r="C137" s="8">
        <f t="shared" si="14"/>
        <v>41.666666666666664</v>
      </c>
      <c r="D137" s="8">
        <f t="shared" si="10"/>
        <v>-3.6666666666666643</v>
      </c>
      <c r="E137" s="8">
        <f t="shared" si="11"/>
        <v>3.6666666666666643</v>
      </c>
      <c r="F137" s="8">
        <f t="shared" si="12"/>
        <v>13.444444444444427</v>
      </c>
      <c r="G137" s="5">
        <f t="shared" si="13"/>
        <v>9.6491228070175378E-2</v>
      </c>
    </row>
    <row r="138" spans="1:7" ht="15.75" customHeight="1">
      <c r="A138" s="3">
        <v>21687</v>
      </c>
      <c r="B138" s="4">
        <v>24</v>
      </c>
      <c r="C138" s="8">
        <f t="shared" si="14"/>
        <v>40.333333333333336</v>
      </c>
      <c r="D138" s="8">
        <f t="shared" si="10"/>
        <v>-16.333333333333336</v>
      </c>
      <c r="E138" s="8">
        <f t="shared" si="11"/>
        <v>16.333333333333336</v>
      </c>
      <c r="F138" s="8">
        <f t="shared" si="12"/>
        <v>266.77777777777783</v>
      </c>
      <c r="G138" s="5">
        <f t="shared" si="13"/>
        <v>0.68055555555555569</v>
      </c>
    </row>
    <row r="139" spans="1:7" ht="15.75" customHeight="1">
      <c r="A139" s="3">
        <v>21688</v>
      </c>
      <c r="B139" s="4">
        <v>34</v>
      </c>
      <c r="C139" s="8">
        <f t="shared" si="14"/>
        <v>34.666666666666664</v>
      </c>
      <c r="D139" s="8">
        <f t="shared" si="10"/>
        <v>-0.6666666666666643</v>
      </c>
      <c r="E139" s="8">
        <f t="shared" si="11"/>
        <v>0.6666666666666643</v>
      </c>
      <c r="F139" s="8">
        <f t="shared" si="12"/>
        <v>0.44444444444444131</v>
      </c>
      <c r="G139" s="5">
        <f t="shared" si="13"/>
        <v>1.9607843137254832E-2</v>
      </c>
    </row>
    <row r="140" spans="1:7" ht="15.75" customHeight="1">
      <c r="A140" s="3">
        <v>21689</v>
      </c>
      <c r="B140" s="4">
        <v>43</v>
      </c>
      <c r="C140" s="8">
        <f t="shared" si="14"/>
        <v>32</v>
      </c>
      <c r="D140" s="8">
        <f t="shared" si="10"/>
        <v>11</v>
      </c>
      <c r="E140" s="8">
        <f t="shared" si="11"/>
        <v>11</v>
      </c>
      <c r="F140" s="8">
        <f t="shared" si="12"/>
        <v>121</v>
      </c>
      <c r="G140" s="5">
        <f t="shared" si="13"/>
        <v>0.2558139534883721</v>
      </c>
    </row>
    <row r="141" spans="1:7" ht="15.75" customHeight="1">
      <c r="A141" s="3">
        <v>21690</v>
      </c>
      <c r="B141" s="4">
        <v>36</v>
      </c>
      <c r="C141" s="8">
        <f t="shared" si="14"/>
        <v>33.666666666666664</v>
      </c>
      <c r="D141" s="8">
        <f t="shared" si="10"/>
        <v>2.3333333333333357</v>
      </c>
      <c r="E141" s="8">
        <f t="shared" si="11"/>
        <v>2.3333333333333357</v>
      </c>
      <c r="F141" s="8">
        <f t="shared" si="12"/>
        <v>5.4444444444444553</v>
      </c>
      <c r="G141" s="5">
        <f t="shared" si="13"/>
        <v>6.4814814814814881E-2</v>
      </c>
    </row>
    <row r="142" spans="1:7" ht="15.75" customHeight="1">
      <c r="A142" s="3">
        <v>21691</v>
      </c>
      <c r="B142" s="4">
        <v>55</v>
      </c>
      <c r="C142" s="8">
        <f t="shared" si="14"/>
        <v>37.666666666666664</v>
      </c>
      <c r="D142" s="8">
        <f t="shared" si="10"/>
        <v>17.333333333333336</v>
      </c>
      <c r="E142" s="8">
        <f t="shared" si="11"/>
        <v>17.333333333333336</v>
      </c>
      <c r="F142" s="8">
        <f t="shared" si="12"/>
        <v>300.44444444444451</v>
      </c>
      <c r="G142" s="5">
        <f t="shared" si="13"/>
        <v>0.31515151515151518</v>
      </c>
    </row>
    <row r="143" spans="1:7" ht="15.75" customHeight="1">
      <c r="A143" s="3">
        <v>21692</v>
      </c>
      <c r="B143" s="4">
        <v>41</v>
      </c>
      <c r="C143" s="8">
        <f t="shared" si="14"/>
        <v>44.666666666666664</v>
      </c>
      <c r="D143" s="8">
        <f t="shared" si="10"/>
        <v>-3.6666666666666643</v>
      </c>
      <c r="E143" s="8">
        <f t="shared" si="11"/>
        <v>3.6666666666666643</v>
      </c>
      <c r="F143" s="8">
        <f t="shared" si="12"/>
        <v>13.444444444444427</v>
      </c>
      <c r="G143" s="5">
        <f t="shared" si="13"/>
        <v>8.9430894308943035E-2</v>
      </c>
    </row>
    <row r="144" spans="1:7" ht="15.75" customHeight="1">
      <c r="A144" s="3">
        <v>21693</v>
      </c>
      <c r="B144" s="4">
        <v>45</v>
      </c>
      <c r="C144" s="8">
        <f t="shared" si="14"/>
        <v>44</v>
      </c>
      <c r="D144" s="8">
        <f t="shared" si="10"/>
        <v>1</v>
      </c>
      <c r="E144" s="8">
        <f t="shared" si="11"/>
        <v>1</v>
      </c>
      <c r="F144" s="8">
        <f t="shared" si="12"/>
        <v>1</v>
      </c>
      <c r="G144" s="5">
        <f t="shared" si="13"/>
        <v>2.2222222222222223E-2</v>
      </c>
    </row>
    <row r="145" spans="1:7" ht="15.75" customHeight="1">
      <c r="A145" s="3">
        <v>21694</v>
      </c>
      <c r="B145" s="4">
        <v>41</v>
      </c>
      <c r="C145" s="8">
        <f t="shared" si="14"/>
        <v>47</v>
      </c>
      <c r="D145" s="8">
        <f t="shared" si="10"/>
        <v>-6</v>
      </c>
      <c r="E145" s="8">
        <f t="shared" si="11"/>
        <v>6</v>
      </c>
      <c r="F145" s="8">
        <f t="shared" si="12"/>
        <v>36</v>
      </c>
      <c r="G145" s="5">
        <f t="shared" si="13"/>
        <v>0.14634146341463414</v>
      </c>
    </row>
    <row r="146" spans="1:7" ht="15.75" customHeight="1">
      <c r="A146" s="3">
        <v>21695</v>
      </c>
      <c r="B146" s="4">
        <v>37</v>
      </c>
      <c r="C146" s="8">
        <f t="shared" si="14"/>
        <v>42.333333333333336</v>
      </c>
      <c r="D146" s="8">
        <f t="shared" si="10"/>
        <v>-5.3333333333333357</v>
      </c>
      <c r="E146" s="8">
        <f t="shared" si="11"/>
        <v>5.3333333333333357</v>
      </c>
      <c r="F146" s="8">
        <f t="shared" si="12"/>
        <v>28.444444444444471</v>
      </c>
      <c r="G146" s="5">
        <f t="shared" si="13"/>
        <v>0.1441441441441442</v>
      </c>
    </row>
    <row r="147" spans="1:7" ht="15.75" customHeight="1">
      <c r="A147" s="3">
        <v>21696</v>
      </c>
      <c r="B147" s="4">
        <v>43</v>
      </c>
      <c r="C147" s="8">
        <f t="shared" si="14"/>
        <v>41</v>
      </c>
      <c r="D147" s="8">
        <f t="shared" si="10"/>
        <v>2</v>
      </c>
      <c r="E147" s="8">
        <f t="shared" si="11"/>
        <v>2</v>
      </c>
      <c r="F147" s="8">
        <f t="shared" si="12"/>
        <v>4</v>
      </c>
      <c r="G147" s="5">
        <f t="shared" si="13"/>
        <v>4.6511627906976744E-2</v>
      </c>
    </row>
    <row r="148" spans="1:7" ht="15.75" customHeight="1">
      <c r="A148" s="3">
        <v>21697</v>
      </c>
      <c r="B148" s="4">
        <v>39</v>
      </c>
      <c r="C148" s="8">
        <f t="shared" si="14"/>
        <v>40.333333333333336</v>
      </c>
      <c r="D148" s="8">
        <f t="shared" si="10"/>
        <v>-1.3333333333333357</v>
      </c>
      <c r="E148" s="8">
        <f t="shared" si="11"/>
        <v>1.3333333333333357</v>
      </c>
      <c r="F148" s="8">
        <f t="shared" si="12"/>
        <v>1.7777777777777841</v>
      </c>
      <c r="G148" s="5">
        <f t="shared" si="13"/>
        <v>3.4188034188034247E-2</v>
      </c>
    </row>
    <row r="149" spans="1:7" ht="15.75" customHeight="1">
      <c r="A149" s="3">
        <v>21698</v>
      </c>
      <c r="B149" s="4">
        <v>33</v>
      </c>
      <c r="C149" s="8">
        <f t="shared" si="14"/>
        <v>39.666666666666664</v>
      </c>
      <c r="D149" s="8">
        <f t="shared" si="10"/>
        <v>-6.6666666666666643</v>
      </c>
      <c r="E149" s="8">
        <f t="shared" si="11"/>
        <v>6.6666666666666643</v>
      </c>
      <c r="F149" s="8">
        <f t="shared" si="12"/>
        <v>44.444444444444414</v>
      </c>
      <c r="G149" s="5">
        <f t="shared" si="13"/>
        <v>0.20202020202020196</v>
      </c>
    </row>
    <row r="150" spans="1:7" ht="15.75" customHeight="1">
      <c r="A150" s="3">
        <v>21699</v>
      </c>
      <c r="B150" s="4">
        <v>43</v>
      </c>
      <c r="C150" s="8">
        <f t="shared" si="14"/>
        <v>38.333333333333336</v>
      </c>
      <c r="D150" s="8">
        <f t="shared" si="10"/>
        <v>4.6666666666666643</v>
      </c>
      <c r="E150" s="8">
        <f t="shared" si="11"/>
        <v>4.6666666666666643</v>
      </c>
      <c r="F150" s="8">
        <f t="shared" si="12"/>
        <v>21.777777777777757</v>
      </c>
      <c r="G150" s="5">
        <f t="shared" si="13"/>
        <v>0.10852713178294568</v>
      </c>
    </row>
    <row r="151" spans="1:7" ht="15.75" customHeight="1">
      <c r="A151" s="3">
        <v>21700</v>
      </c>
      <c r="B151" s="4">
        <v>40</v>
      </c>
      <c r="C151" s="8">
        <f t="shared" si="14"/>
        <v>38.333333333333336</v>
      </c>
      <c r="D151" s="8">
        <f t="shared" si="10"/>
        <v>1.6666666666666643</v>
      </c>
      <c r="E151" s="8">
        <f t="shared" si="11"/>
        <v>1.6666666666666643</v>
      </c>
      <c r="F151" s="8">
        <f t="shared" si="12"/>
        <v>2.7777777777777697</v>
      </c>
      <c r="G151" s="5">
        <f t="shared" si="13"/>
        <v>4.1666666666666609E-2</v>
      </c>
    </row>
    <row r="152" spans="1:7" ht="15.75" customHeight="1">
      <c r="A152" s="3">
        <v>21701</v>
      </c>
      <c r="B152" s="4">
        <v>38</v>
      </c>
      <c r="C152" s="8">
        <f t="shared" si="14"/>
        <v>38.666666666666664</v>
      </c>
      <c r="D152" s="8">
        <f t="shared" si="10"/>
        <v>-0.6666666666666643</v>
      </c>
      <c r="E152" s="8">
        <f t="shared" si="11"/>
        <v>0.6666666666666643</v>
      </c>
      <c r="F152" s="8">
        <f t="shared" si="12"/>
        <v>0.44444444444444131</v>
      </c>
      <c r="G152" s="5">
        <f t="shared" si="13"/>
        <v>1.7543859649122744E-2</v>
      </c>
    </row>
    <row r="153" spans="1:7" ht="15.75" customHeight="1">
      <c r="A153" s="3">
        <v>21702</v>
      </c>
      <c r="B153" s="4">
        <v>45</v>
      </c>
      <c r="C153" s="8">
        <f t="shared" si="14"/>
        <v>40.333333333333336</v>
      </c>
      <c r="D153" s="8">
        <f t="shared" si="10"/>
        <v>4.6666666666666643</v>
      </c>
      <c r="E153" s="8">
        <f t="shared" si="11"/>
        <v>4.6666666666666643</v>
      </c>
      <c r="F153" s="8">
        <f t="shared" si="12"/>
        <v>21.777777777777757</v>
      </c>
      <c r="G153" s="5">
        <f t="shared" si="13"/>
        <v>0.10370370370370365</v>
      </c>
    </row>
    <row r="154" spans="1:7" ht="15.75" customHeight="1">
      <c r="A154" s="3">
        <v>21703</v>
      </c>
      <c r="B154" s="4">
        <v>46</v>
      </c>
      <c r="C154" s="8">
        <f t="shared" si="14"/>
        <v>41</v>
      </c>
      <c r="D154" s="8">
        <f t="shared" si="10"/>
        <v>5</v>
      </c>
      <c r="E154" s="8">
        <f t="shared" si="11"/>
        <v>5</v>
      </c>
      <c r="F154" s="8">
        <f t="shared" si="12"/>
        <v>25</v>
      </c>
      <c r="G154" s="5">
        <f t="shared" si="13"/>
        <v>0.10869565217391304</v>
      </c>
    </row>
    <row r="155" spans="1:7" ht="15.75" customHeight="1">
      <c r="A155" s="3">
        <v>21704</v>
      </c>
      <c r="B155" s="4">
        <v>34</v>
      </c>
      <c r="C155" s="8">
        <f t="shared" si="14"/>
        <v>43</v>
      </c>
      <c r="D155" s="8">
        <f t="shared" si="10"/>
        <v>-9</v>
      </c>
      <c r="E155" s="8">
        <f t="shared" si="11"/>
        <v>9</v>
      </c>
      <c r="F155" s="8">
        <f t="shared" si="12"/>
        <v>81</v>
      </c>
      <c r="G155" s="5">
        <f t="shared" si="13"/>
        <v>0.26470588235294118</v>
      </c>
    </row>
    <row r="156" spans="1:7" ht="15.75" customHeight="1">
      <c r="A156" s="3">
        <v>21705</v>
      </c>
      <c r="B156" s="4">
        <v>35</v>
      </c>
      <c r="C156" s="8">
        <f t="shared" si="14"/>
        <v>41.666666666666664</v>
      </c>
      <c r="D156" s="8">
        <f t="shared" si="10"/>
        <v>-6.6666666666666643</v>
      </c>
      <c r="E156" s="8">
        <f t="shared" si="11"/>
        <v>6.6666666666666643</v>
      </c>
      <c r="F156" s="8">
        <f t="shared" si="12"/>
        <v>44.444444444444414</v>
      </c>
      <c r="G156" s="5">
        <f t="shared" si="13"/>
        <v>0.19047619047619041</v>
      </c>
    </row>
    <row r="157" spans="1:7" ht="15.75" customHeight="1">
      <c r="A157" s="3">
        <v>21706</v>
      </c>
      <c r="B157" s="4">
        <v>48</v>
      </c>
      <c r="C157" s="8">
        <f t="shared" si="14"/>
        <v>38.333333333333336</v>
      </c>
      <c r="D157" s="8">
        <f t="shared" si="10"/>
        <v>9.6666666666666643</v>
      </c>
      <c r="E157" s="8">
        <f t="shared" si="11"/>
        <v>9.6666666666666643</v>
      </c>
      <c r="F157" s="8">
        <f t="shared" si="12"/>
        <v>93.4444444444444</v>
      </c>
      <c r="G157" s="5">
        <f t="shared" si="13"/>
        <v>0.20138888888888884</v>
      </c>
    </row>
    <row r="158" spans="1:7" ht="15.75" customHeight="1">
      <c r="A158" s="3">
        <v>21707</v>
      </c>
      <c r="B158" s="4">
        <v>51</v>
      </c>
      <c r="C158" s="8">
        <f t="shared" si="14"/>
        <v>39</v>
      </c>
      <c r="D158" s="8">
        <f t="shared" si="10"/>
        <v>12</v>
      </c>
      <c r="E158" s="8">
        <f t="shared" si="11"/>
        <v>12</v>
      </c>
      <c r="F158" s="8">
        <f t="shared" si="12"/>
        <v>144</v>
      </c>
      <c r="G158" s="5">
        <f t="shared" si="13"/>
        <v>0.23529411764705882</v>
      </c>
    </row>
    <row r="159" spans="1:7" ht="15.75" customHeight="1">
      <c r="A159" s="3">
        <v>21708</v>
      </c>
      <c r="B159" s="4">
        <v>36</v>
      </c>
      <c r="C159" s="8">
        <f t="shared" si="14"/>
        <v>44.666666666666664</v>
      </c>
      <c r="D159" s="8">
        <f t="shared" si="10"/>
        <v>-8.6666666666666643</v>
      </c>
      <c r="E159" s="8">
        <f t="shared" si="11"/>
        <v>8.6666666666666643</v>
      </c>
      <c r="F159" s="8">
        <f t="shared" si="12"/>
        <v>75.111111111111072</v>
      </c>
      <c r="G159" s="5">
        <f t="shared" si="13"/>
        <v>0.24074074074074067</v>
      </c>
    </row>
    <row r="160" spans="1:7" ht="15.75" customHeight="1">
      <c r="A160" s="3">
        <v>21709</v>
      </c>
      <c r="B160" s="4">
        <v>33</v>
      </c>
      <c r="C160" s="8">
        <f t="shared" si="14"/>
        <v>45</v>
      </c>
      <c r="D160" s="8">
        <f t="shared" si="10"/>
        <v>-12</v>
      </c>
      <c r="E160" s="8">
        <f t="shared" si="11"/>
        <v>12</v>
      </c>
      <c r="F160" s="8">
        <f t="shared" si="12"/>
        <v>144</v>
      </c>
      <c r="G160" s="5">
        <f t="shared" si="13"/>
        <v>0.36363636363636365</v>
      </c>
    </row>
    <row r="161" spans="1:7" ht="15.75" customHeight="1">
      <c r="A161" s="3">
        <v>21710</v>
      </c>
      <c r="B161" s="4">
        <v>46</v>
      </c>
      <c r="C161" s="8">
        <f t="shared" si="14"/>
        <v>40</v>
      </c>
      <c r="D161" s="8">
        <f t="shared" si="10"/>
        <v>6</v>
      </c>
      <c r="E161" s="8">
        <f t="shared" si="11"/>
        <v>6</v>
      </c>
      <c r="F161" s="8">
        <f t="shared" si="12"/>
        <v>36</v>
      </c>
      <c r="G161" s="5">
        <f t="shared" si="13"/>
        <v>0.13043478260869565</v>
      </c>
    </row>
    <row r="162" spans="1:7" ht="15.75" customHeight="1">
      <c r="A162" s="3">
        <v>21711</v>
      </c>
      <c r="B162" s="4">
        <v>42</v>
      </c>
      <c r="C162" s="8">
        <f t="shared" si="14"/>
        <v>38.333333333333336</v>
      </c>
      <c r="D162" s="8">
        <f t="shared" si="10"/>
        <v>3.6666666666666643</v>
      </c>
      <c r="E162" s="8">
        <f t="shared" si="11"/>
        <v>3.6666666666666643</v>
      </c>
      <c r="F162" s="8">
        <f t="shared" si="12"/>
        <v>13.444444444444427</v>
      </c>
      <c r="G162" s="5">
        <f t="shared" si="13"/>
        <v>8.7301587301587241E-2</v>
      </c>
    </row>
    <row r="163" spans="1:7" ht="15.75" customHeight="1">
      <c r="A163" s="3">
        <v>21712</v>
      </c>
      <c r="B163" s="4">
        <v>48</v>
      </c>
      <c r="C163" s="8">
        <f t="shared" si="14"/>
        <v>40.333333333333336</v>
      </c>
      <c r="D163" s="8">
        <f t="shared" si="10"/>
        <v>7.6666666666666643</v>
      </c>
      <c r="E163" s="8">
        <f t="shared" si="11"/>
        <v>7.6666666666666643</v>
      </c>
      <c r="F163" s="8">
        <f t="shared" si="12"/>
        <v>58.777777777777743</v>
      </c>
      <c r="G163" s="5">
        <f t="shared" si="13"/>
        <v>0.15972222222222218</v>
      </c>
    </row>
    <row r="164" spans="1:7" ht="15.75" customHeight="1">
      <c r="A164" s="3">
        <v>21713</v>
      </c>
      <c r="B164" s="4">
        <v>34</v>
      </c>
      <c r="C164" s="8">
        <f t="shared" si="14"/>
        <v>45.333333333333336</v>
      </c>
      <c r="D164" s="8">
        <f t="shared" si="10"/>
        <v>-11.333333333333336</v>
      </c>
      <c r="E164" s="8">
        <f t="shared" si="11"/>
        <v>11.333333333333336</v>
      </c>
      <c r="F164" s="8">
        <f t="shared" si="12"/>
        <v>128.44444444444449</v>
      </c>
      <c r="G164" s="5">
        <f t="shared" si="13"/>
        <v>0.33333333333333343</v>
      </c>
    </row>
    <row r="165" spans="1:7" ht="15.75" customHeight="1">
      <c r="A165" s="3">
        <v>21714</v>
      </c>
      <c r="B165" s="4">
        <v>41</v>
      </c>
      <c r="C165" s="8">
        <f t="shared" si="14"/>
        <v>41.333333333333336</v>
      </c>
      <c r="D165" s="8">
        <f t="shared" si="10"/>
        <v>-0.3333333333333357</v>
      </c>
      <c r="E165" s="8">
        <f t="shared" si="11"/>
        <v>0.3333333333333357</v>
      </c>
      <c r="F165" s="8">
        <f t="shared" si="12"/>
        <v>0.11111111111111269</v>
      </c>
      <c r="G165" s="5">
        <f t="shared" si="13"/>
        <v>8.1300813008130662E-3</v>
      </c>
    </row>
    <row r="166" spans="1:7" ht="15.75" customHeight="1">
      <c r="A166" s="3">
        <v>21715</v>
      </c>
      <c r="B166" s="4">
        <v>35</v>
      </c>
      <c r="C166" s="8">
        <f t="shared" si="14"/>
        <v>41</v>
      </c>
      <c r="D166" s="8">
        <f t="shared" si="10"/>
        <v>-6</v>
      </c>
      <c r="E166" s="8">
        <f t="shared" si="11"/>
        <v>6</v>
      </c>
      <c r="F166" s="8">
        <f t="shared" si="12"/>
        <v>36</v>
      </c>
      <c r="G166" s="5">
        <f t="shared" si="13"/>
        <v>0.17142857142857143</v>
      </c>
    </row>
    <row r="167" spans="1:7" ht="15.75" customHeight="1">
      <c r="A167" s="3">
        <v>21716</v>
      </c>
      <c r="B167" s="4">
        <v>40</v>
      </c>
      <c r="C167" s="8">
        <f t="shared" si="14"/>
        <v>36.666666666666664</v>
      </c>
      <c r="D167" s="8">
        <f t="shared" si="10"/>
        <v>3.3333333333333357</v>
      </c>
      <c r="E167" s="8">
        <f t="shared" si="11"/>
        <v>3.3333333333333357</v>
      </c>
      <c r="F167" s="8">
        <f t="shared" si="12"/>
        <v>11.111111111111127</v>
      </c>
      <c r="G167" s="5">
        <f t="shared" si="13"/>
        <v>8.3333333333333398E-2</v>
      </c>
    </row>
    <row r="168" spans="1:7" ht="15.75" customHeight="1">
      <c r="A168" s="3">
        <v>21717</v>
      </c>
      <c r="B168" s="4">
        <v>34</v>
      </c>
      <c r="C168" s="8">
        <f t="shared" si="14"/>
        <v>38.666666666666664</v>
      </c>
      <c r="D168" s="8">
        <f t="shared" si="10"/>
        <v>-4.6666666666666643</v>
      </c>
      <c r="E168" s="8">
        <f t="shared" si="11"/>
        <v>4.6666666666666643</v>
      </c>
      <c r="F168" s="8">
        <f t="shared" si="12"/>
        <v>21.777777777777757</v>
      </c>
      <c r="G168" s="5">
        <f t="shared" si="13"/>
        <v>0.13725490196078424</v>
      </c>
    </row>
    <row r="169" spans="1:7" ht="15.75" customHeight="1">
      <c r="A169" s="3">
        <v>21718</v>
      </c>
      <c r="B169" s="4">
        <v>30</v>
      </c>
      <c r="C169" s="8">
        <f t="shared" si="14"/>
        <v>36.333333333333336</v>
      </c>
      <c r="D169" s="8">
        <f t="shared" si="10"/>
        <v>-6.3333333333333357</v>
      </c>
      <c r="E169" s="8">
        <f t="shared" si="11"/>
        <v>6.3333333333333357</v>
      </c>
      <c r="F169" s="8">
        <f t="shared" si="12"/>
        <v>40.111111111111143</v>
      </c>
      <c r="G169" s="5">
        <f t="shared" si="13"/>
        <v>0.21111111111111119</v>
      </c>
    </row>
    <row r="170" spans="1:7" ht="15.75" customHeight="1">
      <c r="A170" s="3">
        <v>21719</v>
      </c>
      <c r="B170" s="4">
        <v>36</v>
      </c>
      <c r="C170" s="8">
        <f t="shared" si="14"/>
        <v>34.666666666666664</v>
      </c>
      <c r="D170" s="8">
        <f t="shared" si="10"/>
        <v>1.3333333333333357</v>
      </c>
      <c r="E170" s="8">
        <f t="shared" si="11"/>
        <v>1.3333333333333357</v>
      </c>
      <c r="F170" s="8">
        <f t="shared" si="12"/>
        <v>1.7777777777777841</v>
      </c>
      <c r="G170" s="5">
        <f t="shared" si="13"/>
        <v>3.7037037037037104E-2</v>
      </c>
    </row>
    <row r="171" spans="1:7" ht="15.75" customHeight="1">
      <c r="A171" s="3">
        <v>21720</v>
      </c>
      <c r="B171" s="4">
        <v>40</v>
      </c>
      <c r="C171" s="8">
        <f t="shared" si="14"/>
        <v>33.333333333333336</v>
      </c>
      <c r="D171" s="8">
        <f t="shared" si="10"/>
        <v>6.6666666666666643</v>
      </c>
      <c r="E171" s="8">
        <f t="shared" si="11"/>
        <v>6.6666666666666643</v>
      </c>
      <c r="F171" s="8">
        <f t="shared" si="12"/>
        <v>44.444444444444414</v>
      </c>
      <c r="G171" s="5">
        <f t="shared" si="13"/>
        <v>0.1666666666666666</v>
      </c>
    </row>
    <row r="172" spans="1:7" ht="15.75" customHeight="1">
      <c r="A172" s="3">
        <v>21721</v>
      </c>
      <c r="B172" s="4">
        <v>39</v>
      </c>
      <c r="C172" s="8">
        <f t="shared" si="14"/>
        <v>35.333333333333336</v>
      </c>
      <c r="D172" s="8">
        <f t="shared" si="10"/>
        <v>3.6666666666666643</v>
      </c>
      <c r="E172" s="8">
        <f t="shared" si="11"/>
        <v>3.6666666666666643</v>
      </c>
      <c r="F172" s="8">
        <f t="shared" si="12"/>
        <v>13.444444444444427</v>
      </c>
      <c r="G172" s="5">
        <f t="shared" si="13"/>
        <v>9.4017094017093961E-2</v>
      </c>
    </row>
    <row r="173" spans="1:7" ht="15.75" customHeight="1">
      <c r="A173" s="3">
        <v>21722</v>
      </c>
      <c r="B173" s="4">
        <v>45</v>
      </c>
      <c r="C173" s="8">
        <f t="shared" si="14"/>
        <v>38.333333333333336</v>
      </c>
      <c r="D173" s="8">
        <f t="shared" si="10"/>
        <v>6.6666666666666643</v>
      </c>
      <c r="E173" s="8">
        <f t="shared" si="11"/>
        <v>6.6666666666666643</v>
      </c>
      <c r="F173" s="8">
        <f t="shared" si="12"/>
        <v>44.444444444444414</v>
      </c>
      <c r="G173" s="5">
        <f t="shared" si="13"/>
        <v>0.14814814814814808</v>
      </c>
    </row>
    <row r="174" spans="1:7" ht="15.75" customHeight="1">
      <c r="A174" s="3">
        <v>21723</v>
      </c>
      <c r="B174" s="4">
        <v>38</v>
      </c>
      <c r="C174" s="8">
        <f t="shared" si="14"/>
        <v>41.333333333333336</v>
      </c>
      <c r="D174" s="8">
        <f t="shared" si="10"/>
        <v>-3.3333333333333357</v>
      </c>
      <c r="E174" s="8">
        <f t="shared" si="11"/>
        <v>3.3333333333333357</v>
      </c>
      <c r="F174" s="8">
        <f t="shared" si="12"/>
        <v>11.111111111111127</v>
      </c>
      <c r="G174" s="5">
        <f t="shared" si="13"/>
        <v>8.77192982456141E-2</v>
      </c>
    </row>
    <row r="175" spans="1:7" ht="15.75" customHeight="1">
      <c r="A175" s="3">
        <v>21724</v>
      </c>
      <c r="B175" s="4">
        <v>47</v>
      </c>
      <c r="C175" s="8">
        <f t="shared" si="14"/>
        <v>40.666666666666664</v>
      </c>
      <c r="D175" s="8">
        <f t="shared" si="10"/>
        <v>6.3333333333333357</v>
      </c>
      <c r="E175" s="8">
        <f t="shared" si="11"/>
        <v>6.3333333333333357</v>
      </c>
      <c r="F175" s="8">
        <f t="shared" si="12"/>
        <v>40.111111111111143</v>
      </c>
      <c r="G175" s="5">
        <f t="shared" si="13"/>
        <v>0.13475177304964545</v>
      </c>
    </row>
    <row r="176" spans="1:7" ht="15.75" customHeight="1">
      <c r="A176" s="3">
        <v>21725</v>
      </c>
      <c r="B176" s="4">
        <v>33</v>
      </c>
      <c r="C176" s="8">
        <f t="shared" si="14"/>
        <v>43.333333333333336</v>
      </c>
      <c r="D176" s="8">
        <f t="shared" si="10"/>
        <v>-10.333333333333336</v>
      </c>
      <c r="E176" s="8">
        <f t="shared" si="11"/>
        <v>10.333333333333336</v>
      </c>
      <c r="F176" s="8">
        <f t="shared" si="12"/>
        <v>106.77777777777783</v>
      </c>
      <c r="G176" s="5">
        <f t="shared" si="13"/>
        <v>0.3131313131313132</v>
      </c>
    </row>
    <row r="177" spans="1:7" ht="15.75" customHeight="1">
      <c r="A177" s="3">
        <v>21726</v>
      </c>
      <c r="B177" s="4">
        <v>30</v>
      </c>
      <c r="C177" s="8">
        <f t="shared" si="14"/>
        <v>39.333333333333336</v>
      </c>
      <c r="D177" s="8">
        <f t="shared" si="10"/>
        <v>-9.3333333333333357</v>
      </c>
      <c r="E177" s="8">
        <f t="shared" si="11"/>
        <v>9.3333333333333357</v>
      </c>
      <c r="F177" s="8">
        <f t="shared" si="12"/>
        <v>87.111111111111157</v>
      </c>
      <c r="G177" s="5">
        <f t="shared" si="13"/>
        <v>0.31111111111111117</v>
      </c>
    </row>
    <row r="178" spans="1:7" ht="15.75" customHeight="1">
      <c r="A178" s="3">
        <v>21727</v>
      </c>
      <c r="B178" s="4">
        <v>42</v>
      </c>
      <c r="C178" s="8">
        <f t="shared" si="14"/>
        <v>36.666666666666664</v>
      </c>
      <c r="D178" s="8">
        <f t="shared" si="10"/>
        <v>5.3333333333333357</v>
      </c>
      <c r="E178" s="8">
        <f t="shared" si="11"/>
        <v>5.3333333333333357</v>
      </c>
      <c r="F178" s="8">
        <f t="shared" si="12"/>
        <v>28.444444444444471</v>
      </c>
      <c r="G178" s="5">
        <f t="shared" si="13"/>
        <v>0.12698412698412703</v>
      </c>
    </row>
    <row r="179" spans="1:7" ht="15.75" customHeight="1">
      <c r="A179" s="3">
        <v>21728</v>
      </c>
      <c r="B179" s="4">
        <v>43</v>
      </c>
      <c r="C179" s="8">
        <f t="shared" si="14"/>
        <v>35</v>
      </c>
      <c r="D179" s="8">
        <f t="shared" si="10"/>
        <v>8</v>
      </c>
      <c r="E179" s="8">
        <f t="shared" si="11"/>
        <v>8</v>
      </c>
      <c r="F179" s="8">
        <f t="shared" si="12"/>
        <v>64</v>
      </c>
      <c r="G179" s="5">
        <f t="shared" si="13"/>
        <v>0.18604651162790697</v>
      </c>
    </row>
    <row r="180" spans="1:7" ht="15.75" customHeight="1">
      <c r="A180" s="3">
        <v>21729</v>
      </c>
      <c r="B180" s="4">
        <v>41</v>
      </c>
      <c r="C180" s="8">
        <f t="shared" si="14"/>
        <v>38.333333333333336</v>
      </c>
      <c r="D180" s="8">
        <f t="shared" si="10"/>
        <v>2.6666666666666643</v>
      </c>
      <c r="E180" s="8">
        <f t="shared" si="11"/>
        <v>2.6666666666666643</v>
      </c>
      <c r="F180" s="8">
        <f t="shared" si="12"/>
        <v>7.1111111111110983</v>
      </c>
      <c r="G180" s="5">
        <f t="shared" si="13"/>
        <v>6.5040650406504003E-2</v>
      </c>
    </row>
    <row r="181" spans="1:7" ht="15.75" customHeight="1">
      <c r="A181" s="3">
        <v>21730</v>
      </c>
      <c r="B181" s="4">
        <v>41</v>
      </c>
      <c r="C181" s="8">
        <f t="shared" si="14"/>
        <v>42</v>
      </c>
      <c r="D181" s="8">
        <f t="shared" si="10"/>
        <v>-1</v>
      </c>
      <c r="E181" s="8">
        <f t="shared" si="11"/>
        <v>1</v>
      </c>
      <c r="F181" s="8">
        <f t="shared" si="12"/>
        <v>1</v>
      </c>
      <c r="G181" s="5">
        <f t="shared" si="13"/>
        <v>2.4390243902439025E-2</v>
      </c>
    </row>
    <row r="182" spans="1:7" ht="15.75" customHeight="1">
      <c r="A182" s="3">
        <v>21731</v>
      </c>
      <c r="B182" s="4">
        <v>59</v>
      </c>
      <c r="C182" s="8">
        <f t="shared" si="14"/>
        <v>41.666666666666664</v>
      </c>
      <c r="D182" s="8">
        <f t="shared" si="10"/>
        <v>17.333333333333336</v>
      </c>
      <c r="E182" s="8">
        <f t="shared" si="11"/>
        <v>17.333333333333336</v>
      </c>
      <c r="F182" s="8">
        <f t="shared" si="12"/>
        <v>300.44444444444451</v>
      </c>
      <c r="G182" s="5">
        <f t="shared" si="13"/>
        <v>0.29378531073446329</v>
      </c>
    </row>
    <row r="183" spans="1:7" ht="15.75" customHeight="1">
      <c r="A183" s="3">
        <v>21732</v>
      </c>
      <c r="B183" s="4">
        <v>43</v>
      </c>
      <c r="C183" s="8">
        <f t="shared" si="14"/>
        <v>47</v>
      </c>
      <c r="D183" s="8">
        <f t="shared" si="10"/>
        <v>-4</v>
      </c>
      <c r="E183" s="8">
        <f t="shared" si="11"/>
        <v>4</v>
      </c>
      <c r="F183" s="8">
        <f t="shared" si="12"/>
        <v>16</v>
      </c>
      <c r="G183" s="5">
        <f t="shared" si="13"/>
        <v>9.3023255813953487E-2</v>
      </c>
    </row>
    <row r="184" spans="1:7" ht="15.75" customHeight="1">
      <c r="A184" s="3">
        <v>21733</v>
      </c>
      <c r="B184" s="4">
        <v>45</v>
      </c>
      <c r="C184" s="8">
        <f t="shared" si="14"/>
        <v>47.666666666666664</v>
      </c>
      <c r="D184" s="8">
        <f t="shared" si="10"/>
        <v>-2.6666666666666643</v>
      </c>
      <c r="E184" s="8">
        <f t="shared" si="11"/>
        <v>2.6666666666666643</v>
      </c>
      <c r="F184" s="8">
        <f t="shared" si="12"/>
        <v>7.1111111111110983</v>
      </c>
      <c r="G184" s="5">
        <f t="shared" si="13"/>
        <v>5.9259259259259206E-2</v>
      </c>
    </row>
    <row r="185" spans="1:7" ht="15.75" customHeight="1">
      <c r="A185" s="3">
        <v>21734</v>
      </c>
      <c r="B185" s="4">
        <v>38</v>
      </c>
      <c r="C185" s="8">
        <f t="shared" si="14"/>
        <v>49</v>
      </c>
      <c r="D185" s="8">
        <f t="shared" si="10"/>
        <v>-11</v>
      </c>
      <c r="E185" s="8">
        <f t="shared" si="11"/>
        <v>11</v>
      </c>
      <c r="F185" s="8">
        <f t="shared" si="12"/>
        <v>121</v>
      </c>
      <c r="G185" s="5">
        <f t="shared" si="13"/>
        <v>0.28947368421052633</v>
      </c>
    </row>
    <row r="186" spans="1:7" ht="15.75" customHeight="1">
      <c r="A186" s="3">
        <v>21735</v>
      </c>
      <c r="B186" s="4">
        <v>37</v>
      </c>
      <c r="C186" s="8">
        <f t="shared" si="14"/>
        <v>42</v>
      </c>
      <c r="D186" s="8">
        <f t="shared" si="10"/>
        <v>-5</v>
      </c>
      <c r="E186" s="8">
        <f t="shared" si="11"/>
        <v>5</v>
      </c>
      <c r="F186" s="8">
        <f t="shared" si="12"/>
        <v>25</v>
      </c>
      <c r="G186" s="5">
        <f t="shared" si="13"/>
        <v>0.13513513513513514</v>
      </c>
    </row>
    <row r="187" spans="1:7" ht="15.75" customHeight="1">
      <c r="A187" s="3">
        <v>21736</v>
      </c>
      <c r="B187" s="4">
        <v>45</v>
      </c>
      <c r="C187" s="8">
        <f t="shared" si="14"/>
        <v>40</v>
      </c>
      <c r="D187" s="8">
        <f t="shared" si="10"/>
        <v>5</v>
      </c>
      <c r="E187" s="8">
        <f t="shared" si="11"/>
        <v>5</v>
      </c>
      <c r="F187" s="8">
        <f t="shared" si="12"/>
        <v>25</v>
      </c>
      <c r="G187" s="5">
        <f t="shared" si="13"/>
        <v>0.1111111111111111</v>
      </c>
    </row>
    <row r="188" spans="1:7" ht="15.75" customHeight="1">
      <c r="A188" s="3">
        <v>21737</v>
      </c>
      <c r="B188" s="4">
        <v>42</v>
      </c>
      <c r="C188" s="8">
        <f t="shared" si="14"/>
        <v>40</v>
      </c>
      <c r="D188" s="8">
        <f t="shared" si="10"/>
        <v>2</v>
      </c>
      <c r="E188" s="8">
        <f t="shared" si="11"/>
        <v>2</v>
      </c>
      <c r="F188" s="8">
        <f t="shared" si="12"/>
        <v>4</v>
      </c>
      <c r="G188" s="5">
        <f t="shared" si="13"/>
        <v>4.7619047619047616E-2</v>
      </c>
    </row>
    <row r="189" spans="1:7" ht="15.75" customHeight="1">
      <c r="A189" s="3">
        <v>21738</v>
      </c>
      <c r="B189" s="4">
        <v>57</v>
      </c>
      <c r="C189" s="8">
        <f t="shared" si="14"/>
        <v>41.333333333333336</v>
      </c>
      <c r="D189" s="8">
        <f t="shared" si="10"/>
        <v>15.666666666666664</v>
      </c>
      <c r="E189" s="8">
        <f t="shared" si="11"/>
        <v>15.666666666666664</v>
      </c>
      <c r="F189" s="8">
        <f t="shared" si="12"/>
        <v>245.44444444444437</v>
      </c>
      <c r="G189" s="5">
        <f t="shared" si="13"/>
        <v>0.27485380116959063</v>
      </c>
    </row>
    <row r="190" spans="1:7" ht="15.75" customHeight="1">
      <c r="A190" s="3">
        <v>21739</v>
      </c>
      <c r="B190" s="4">
        <v>46</v>
      </c>
      <c r="C190" s="8">
        <f t="shared" si="14"/>
        <v>48</v>
      </c>
      <c r="D190" s="8">
        <f t="shared" si="10"/>
        <v>-2</v>
      </c>
      <c r="E190" s="8">
        <f t="shared" si="11"/>
        <v>2</v>
      </c>
      <c r="F190" s="8">
        <f t="shared" si="12"/>
        <v>4</v>
      </c>
      <c r="G190" s="5">
        <f t="shared" si="13"/>
        <v>4.3478260869565216E-2</v>
      </c>
    </row>
    <row r="191" spans="1:7" ht="15.75" customHeight="1">
      <c r="A191" s="3">
        <v>21740</v>
      </c>
      <c r="B191" s="4">
        <v>51</v>
      </c>
      <c r="C191" s="8">
        <f t="shared" si="14"/>
        <v>48.333333333333336</v>
      </c>
      <c r="D191" s="8">
        <f t="shared" si="10"/>
        <v>2.6666666666666643</v>
      </c>
      <c r="E191" s="8">
        <f t="shared" si="11"/>
        <v>2.6666666666666643</v>
      </c>
      <c r="F191" s="8">
        <f t="shared" si="12"/>
        <v>7.1111111111110983</v>
      </c>
      <c r="G191" s="5">
        <f t="shared" si="13"/>
        <v>5.2287581699346358E-2</v>
      </c>
    </row>
    <row r="192" spans="1:7" ht="15.75" customHeight="1">
      <c r="A192" s="3">
        <v>21741</v>
      </c>
      <c r="B192" s="4">
        <v>41</v>
      </c>
      <c r="C192" s="8">
        <f t="shared" si="14"/>
        <v>51.333333333333336</v>
      </c>
      <c r="D192" s="8">
        <f t="shared" si="10"/>
        <v>-10.333333333333336</v>
      </c>
      <c r="E192" s="8">
        <f t="shared" si="11"/>
        <v>10.333333333333336</v>
      </c>
      <c r="F192" s="8">
        <f t="shared" si="12"/>
        <v>106.77777777777783</v>
      </c>
      <c r="G192" s="5">
        <f t="shared" si="13"/>
        <v>0.25203252032520329</v>
      </c>
    </row>
    <row r="193" spans="1:7" ht="15.75" customHeight="1">
      <c r="A193" s="3">
        <v>21742</v>
      </c>
      <c r="B193" s="4">
        <v>47</v>
      </c>
      <c r="C193" s="8">
        <f t="shared" si="14"/>
        <v>46</v>
      </c>
      <c r="D193" s="8">
        <f t="shared" si="10"/>
        <v>1</v>
      </c>
      <c r="E193" s="8">
        <f t="shared" si="11"/>
        <v>1</v>
      </c>
      <c r="F193" s="8">
        <f t="shared" si="12"/>
        <v>1</v>
      </c>
      <c r="G193" s="5">
        <f t="shared" si="13"/>
        <v>2.1276595744680851E-2</v>
      </c>
    </row>
    <row r="194" spans="1:7" ht="15.75" customHeight="1">
      <c r="A194" s="3">
        <v>21743</v>
      </c>
      <c r="B194" s="4">
        <v>26</v>
      </c>
      <c r="C194" s="8">
        <f t="shared" si="14"/>
        <v>46.333333333333336</v>
      </c>
      <c r="D194" s="8">
        <f t="shared" si="10"/>
        <v>-20.333333333333336</v>
      </c>
      <c r="E194" s="8">
        <f t="shared" si="11"/>
        <v>20.333333333333336</v>
      </c>
      <c r="F194" s="8">
        <f t="shared" si="12"/>
        <v>413.44444444444451</v>
      </c>
      <c r="G194" s="5">
        <f t="shared" si="13"/>
        <v>0.78205128205128216</v>
      </c>
    </row>
    <row r="195" spans="1:7" ht="15.75" customHeight="1">
      <c r="A195" s="3">
        <v>21744</v>
      </c>
      <c r="B195" s="4">
        <v>35</v>
      </c>
      <c r="C195" s="8">
        <f t="shared" si="14"/>
        <v>38</v>
      </c>
      <c r="D195" s="8">
        <f t="shared" si="10"/>
        <v>-3</v>
      </c>
      <c r="E195" s="8">
        <f t="shared" si="11"/>
        <v>3</v>
      </c>
      <c r="F195" s="8">
        <f t="shared" si="12"/>
        <v>9</v>
      </c>
      <c r="G195" s="5">
        <f t="shared" si="13"/>
        <v>8.5714285714285715E-2</v>
      </c>
    </row>
    <row r="196" spans="1:7" ht="15.75" customHeight="1">
      <c r="A196" s="3">
        <v>21745</v>
      </c>
      <c r="B196" s="4">
        <v>44</v>
      </c>
      <c r="C196" s="8">
        <f t="shared" si="14"/>
        <v>36</v>
      </c>
      <c r="D196" s="8">
        <f t="shared" si="10"/>
        <v>8</v>
      </c>
      <c r="E196" s="8">
        <f t="shared" si="11"/>
        <v>8</v>
      </c>
      <c r="F196" s="8">
        <f t="shared" si="12"/>
        <v>64</v>
      </c>
      <c r="G196" s="5">
        <f t="shared" si="13"/>
        <v>0.18181818181818182</v>
      </c>
    </row>
    <row r="197" spans="1:7" ht="15.75" customHeight="1">
      <c r="A197" s="3">
        <v>21746</v>
      </c>
      <c r="B197" s="4">
        <v>41</v>
      </c>
      <c r="C197" s="8">
        <f t="shared" si="14"/>
        <v>35</v>
      </c>
      <c r="D197" s="8">
        <f t="shared" si="10"/>
        <v>6</v>
      </c>
      <c r="E197" s="8">
        <f t="shared" si="11"/>
        <v>6</v>
      </c>
      <c r="F197" s="8">
        <f t="shared" si="12"/>
        <v>36</v>
      </c>
      <c r="G197" s="5">
        <f t="shared" si="13"/>
        <v>0.14634146341463414</v>
      </c>
    </row>
    <row r="198" spans="1:7" ht="15.75" customHeight="1">
      <c r="A198" s="3">
        <v>21747</v>
      </c>
      <c r="B198" s="4">
        <v>42</v>
      </c>
      <c r="C198" s="8">
        <f t="shared" si="14"/>
        <v>40</v>
      </c>
      <c r="D198" s="8">
        <f t="shared" ref="D198:D261" si="15">B198-C198</f>
        <v>2</v>
      </c>
      <c r="E198" s="8">
        <f t="shared" ref="E198:E261" si="16">ABS(D198)</f>
        <v>2</v>
      </c>
      <c r="F198" s="8">
        <f t="shared" ref="F198:F261" si="17">E198^2</f>
        <v>4</v>
      </c>
      <c r="G198" s="5">
        <f t="shared" ref="G198:G261" si="18">E198/B198</f>
        <v>4.7619047619047616E-2</v>
      </c>
    </row>
    <row r="199" spans="1:7" ht="15.75" customHeight="1">
      <c r="A199" s="3">
        <v>21748</v>
      </c>
      <c r="B199" s="4">
        <v>36</v>
      </c>
      <c r="C199" s="8">
        <f t="shared" ref="C199:C262" si="19">AVERAGE(B196:B198)</f>
        <v>42.333333333333336</v>
      </c>
      <c r="D199" s="8">
        <f t="shared" si="15"/>
        <v>-6.3333333333333357</v>
      </c>
      <c r="E199" s="8">
        <f t="shared" si="16"/>
        <v>6.3333333333333357</v>
      </c>
      <c r="F199" s="8">
        <f t="shared" si="17"/>
        <v>40.111111111111143</v>
      </c>
      <c r="G199" s="5">
        <f t="shared" si="18"/>
        <v>0.17592592592592599</v>
      </c>
    </row>
    <row r="200" spans="1:7" ht="15.75" customHeight="1">
      <c r="A200" s="3">
        <v>21749</v>
      </c>
      <c r="B200" s="4">
        <v>45</v>
      </c>
      <c r="C200" s="8">
        <f t="shared" si="19"/>
        <v>39.666666666666664</v>
      </c>
      <c r="D200" s="8">
        <f t="shared" si="15"/>
        <v>5.3333333333333357</v>
      </c>
      <c r="E200" s="8">
        <f t="shared" si="16"/>
        <v>5.3333333333333357</v>
      </c>
      <c r="F200" s="8">
        <f t="shared" si="17"/>
        <v>28.444444444444471</v>
      </c>
      <c r="G200" s="5">
        <f t="shared" si="18"/>
        <v>0.11851851851851856</v>
      </c>
    </row>
    <row r="201" spans="1:7" ht="15.75" customHeight="1">
      <c r="A201" s="3">
        <v>21750</v>
      </c>
      <c r="B201" s="4">
        <v>45</v>
      </c>
      <c r="C201" s="8">
        <f t="shared" si="19"/>
        <v>41</v>
      </c>
      <c r="D201" s="8">
        <f t="shared" si="15"/>
        <v>4</v>
      </c>
      <c r="E201" s="8">
        <f t="shared" si="16"/>
        <v>4</v>
      </c>
      <c r="F201" s="8">
        <f t="shared" si="17"/>
        <v>16</v>
      </c>
      <c r="G201" s="5">
        <f t="shared" si="18"/>
        <v>8.8888888888888892E-2</v>
      </c>
    </row>
    <row r="202" spans="1:7" ht="15.75" customHeight="1">
      <c r="A202" s="3">
        <v>21751</v>
      </c>
      <c r="B202" s="4">
        <v>45</v>
      </c>
      <c r="C202" s="8">
        <f t="shared" si="19"/>
        <v>42</v>
      </c>
      <c r="D202" s="8">
        <f t="shared" si="15"/>
        <v>3</v>
      </c>
      <c r="E202" s="8">
        <f t="shared" si="16"/>
        <v>3</v>
      </c>
      <c r="F202" s="8">
        <f t="shared" si="17"/>
        <v>9</v>
      </c>
      <c r="G202" s="5">
        <f t="shared" si="18"/>
        <v>6.6666666666666666E-2</v>
      </c>
    </row>
    <row r="203" spans="1:7" ht="15.75" customHeight="1">
      <c r="A203" s="3">
        <v>21752</v>
      </c>
      <c r="B203" s="4">
        <v>47</v>
      </c>
      <c r="C203" s="8">
        <f t="shared" si="19"/>
        <v>45</v>
      </c>
      <c r="D203" s="8">
        <f t="shared" si="15"/>
        <v>2</v>
      </c>
      <c r="E203" s="8">
        <f t="shared" si="16"/>
        <v>2</v>
      </c>
      <c r="F203" s="8">
        <f t="shared" si="17"/>
        <v>4</v>
      </c>
      <c r="G203" s="5">
        <f t="shared" si="18"/>
        <v>4.2553191489361701E-2</v>
      </c>
    </row>
    <row r="204" spans="1:7" ht="15.75" customHeight="1">
      <c r="A204" s="3">
        <v>21753</v>
      </c>
      <c r="B204" s="4">
        <v>38</v>
      </c>
      <c r="C204" s="8">
        <f t="shared" si="19"/>
        <v>45.666666666666664</v>
      </c>
      <c r="D204" s="8">
        <f t="shared" si="15"/>
        <v>-7.6666666666666643</v>
      </c>
      <c r="E204" s="8">
        <f t="shared" si="16"/>
        <v>7.6666666666666643</v>
      </c>
      <c r="F204" s="8">
        <f t="shared" si="17"/>
        <v>58.777777777777743</v>
      </c>
      <c r="G204" s="5">
        <f t="shared" si="18"/>
        <v>0.20175438596491221</v>
      </c>
    </row>
    <row r="205" spans="1:7" ht="15.75" customHeight="1">
      <c r="A205" s="3">
        <v>21754</v>
      </c>
      <c r="B205" s="4">
        <v>42</v>
      </c>
      <c r="C205" s="8">
        <f t="shared" si="19"/>
        <v>43.333333333333336</v>
      </c>
      <c r="D205" s="8">
        <f t="shared" si="15"/>
        <v>-1.3333333333333357</v>
      </c>
      <c r="E205" s="8">
        <f t="shared" si="16"/>
        <v>1.3333333333333357</v>
      </c>
      <c r="F205" s="8">
        <f t="shared" si="17"/>
        <v>1.7777777777777841</v>
      </c>
      <c r="G205" s="5">
        <f t="shared" si="18"/>
        <v>3.17460317460318E-2</v>
      </c>
    </row>
    <row r="206" spans="1:7" ht="15.75" customHeight="1">
      <c r="A206" s="3">
        <v>21755</v>
      </c>
      <c r="B206" s="4">
        <v>35</v>
      </c>
      <c r="C206" s="8">
        <f t="shared" si="19"/>
        <v>42.333333333333336</v>
      </c>
      <c r="D206" s="8">
        <f t="shared" si="15"/>
        <v>-7.3333333333333357</v>
      </c>
      <c r="E206" s="8">
        <f t="shared" si="16"/>
        <v>7.3333333333333357</v>
      </c>
      <c r="F206" s="8">
        <f t="shared" si="17"/>
        <v>53.777777777777814</v>
      </c>
      <c r="G206" s="5">
        <f t="shared" si="18"/>
        <v>0.20952380952380958</v>
      </c>
    </row>
    <row r="207" spans="1:7" ht="15.75" customHeight="1">
      <c r="A207" s="3">
        <v>21756</v>
      </c>
      <c r="B207" s="4">
        <v>36</v>
      </c>
      <c r="C207" s="8">
        <f t="shared" si="19"/>
        <v>38.333333333333336</v>
      </c>
      <c r="D207" s="8">
        <f t="shared" si="15"/>
        <v>-2.3333333333333357</v>
      </c>
      <c r="E207" s="8">
        <f t="shared" si="16"/>
        <v>2.3333333333333357</v>
      </c>
      <c r="F207" s="8">
        <f t="shared" si="17"/>
        <v>5.4444444444444553</v>
      </c>
      <c r="G207" s="5">
        <f t="shared" si="18"/>
        <v>6.4814814814814881E-2</v>
      </c>
    </row>
    <row r="208" spans="1:7" ht="15.75" customHeight="1">
      <c r="A208" s="3">
        <v>21757</v>
      </c>
      <c r="B208" s="4">
        <v>39</v>
      </c>
      <c r="C208" s="8">
        <f t="shared" si="19"/>
        <v>37.666666666666664</v>
      </c>
      <c r="D208" s="8">
        <f t="shared" si="15"/>
        <v>1.3333333333333357</v>
      </c>
      <c r="E208" s="8">
        <f t="shared" si="16"/>
        <v>1.3333333333333357</v>
      </c>
      <c r="F208" s="8">
        <f t="shared" si="17"/>
        <v>1.7777777777777841</v>
      </c>
      <c r="G208" s="5">
        <f t="shared" si="18"/>
        <v>3.4188034188034247E-2</v>
      </c>
    </row>
    <row r="209" spans="1:7" ht="15.75" customHeight="1">
      <c r="A209" s="3">
        <v>21758</v>
      </c>
      <c r="B209" s="4">
        <v>45</v>
      </c>
      <c r="C209" s="8">
        <f t="shared" si="19"/>
        <v>36.666666666666664</v>
      </c>
      <c r="D209" s="8">
        <f t="shared" si="15"/>
        <v>8.3333333333333357</v>
      </c>
      <c r="E209" s="8">
        <f t="shared" si="16"/>
        <v>8.3333333333333357</v>
      </c>
      <c r="F209" s="8">
        <f t="shared" si="17"/>
        <v>69.444444444444485</v>
      </c>
      <c r="G209" s="5">
        <f t="shared" si="18"/>
        <v>0.18518518518518523</v>
      </c>
    </row>
    <row r="210" spans="1:7" ht="15.75" customHeight="1">
      <c r="A210" s="3">
        <v>21759</v>
      </c>
      <c r="B210" s="4">
        <v>43</v>
      </c>
      <c r="C210" s="8">
        <f t="shared" si="19"/>
        <v>40</v>
      </c>
      <c r="D210" s="8">
        <f t="shared" si="15"/>
        <v>3</v>
      </c>
      <c r="E210" s="8">
        <f t="shared" si="16"/>
        <v>3</v>
      </c>
      <c r="F210" s="8">
        <f t="shared" si="17"/>
        <v>9</v>
      </c>
      <c r="G210" s="5">
        <f t="shared" si="18"/>
        <v>6.9767441860465115E-2</v>
      </c>
    </row>
    <row r="211" spans="1:7" ht="15.75" customHeight="1">
      <c r="A211" s="3">
        <v>21760</v>
      </c>
      <c r="B211" s="4">
        <v>47</v>
      </c>
      <c r="C211" s="8">
        <f t="shared" si="19"/>
        <v>42.333333333333336</v>
      </c>
      <c r="D211" s="8">
        <f t="shared" si="15"/>
        <v>4.6666666666666643</v>
      </c>
      <c r="E211" s="8">
        <f t="shared" si="16"/>
        <v>4.6666666666666643</v>
      </c>
      <c r="F211" s="8">
        <f t="shared" si="17"/>
        <v>21.777777777777757</v>
      </c>
      <c r="G211" s="5">
        <f t="shared" si="18"/>
        <v>9.9290780141843921E-2</v>
      </c>
    </row>
    <row r="212" spans="1:7" ht="15.75" customHeight="1">
      <c r="A212" s="3">
        <v>21761</v>
      </c>
      <c r="B212" s="4">
        <v>36</v>
      </c>
      <c r="C212" s="8">
        <f t="shared" si="19"/>
        <v>45</v>
      </c>
      <c r="D212" s="8">
        <f t="shared" si="15"/>
        <v>-9</v>
      </c>
      <c r="E212" s="8">
        <f t="shared" si="16"/>
        <v>9</v>
      </c>
      <c r="F212" s="8">
        <f t="shared" si="17"/>
        <v>81</v>
      </c>
      <c r="G212" s="5">
        <f t="shared" si="18"/>
        <v>0.25</v>
      </c>
    </row>
    <row r="213" spans="1:7" ht="15.75" customHeight="1">
      <c r="A213" s="3">
        <v>21762</v>
      </c>
      <c r="B213" s="4">
        <v>41</v>
      </c>
      <c r="C213" s="8">
        <f t="shared" si="19"/>
        <v>42</v>
      </c>
      <c r="D213" s="8">
        <f t="shared" si="15"/>
        <v>-1</v>
      </c>
      <c r="E213" s="8">
        <f t="shared" si="16"/>
        <v>1</v>
      </c>
      <c r="F213" s="8">
        <f t="shared" si="17"/>
        <v>1</v>
      </c>
      <c r="G213" s="5">
        <f t="shared" si="18"/>
        <v>2.4390243902439025E-2</v>
      </c>
    </row>
    <row r="214" spans="1:7" ht="15.75" customHeight="1">
      <c r="A214" s="3">
        <v>21763</v>
      </c>
      <c r="B214" s="4">
        <v>50</v>
      </c>
      <c r="C214" s="8">
        <f t="shared" si="19"/>
        <v>41.333333333333336</v>
      </c>
      <c r="D214" s="8">
        <f t="shared" si="15"/>
        <v>8.6666666666666643</v>
      </c>
      <c r="E214" s="8">
        <f t="shared" si="16"/>
        <v>8.6666666666666643</v>
      </c>
      <c r="F214" s="8">
        <f t="shared" si="17"/>
        <v>75.111111111111072</v>
      </c>
      <c r="G214" s="5">
        <f t="shared" si="18"/>
        <v>0.17333333333333328</v>
      </c>
    </row>
    <row r="215" spans="1:7" ht="15.75" customHeight="1">
      <c r="A215" s="3">
        <v>21764</v>
      </c>
      <c r="B215" s="4">
        <v>39</v>
      </c>
      <c r="C215" s="8">
        <f t="shared" si="19"/>
        <v>42.333333333333336</v>
      </c>
      <c r="D215" s="8">
        <f t="shared" si="15"/>
        <v>-3.3333333333333357</v>
      </c>
      <c r="E215" s="8">
        <f t="shared" si="16"/>
        <v>3.3333333333333357</v>
      </c>
      <c r="F215" s="8">
        <f t="shared" si="17"/>
        <v>11.111111111111127</v>
      </c>
      <c r="G215" s="5">
        <f t="shared" si="18"/>
        <v>8.5470085470085527E-2</v>
      </c>
    </row>
    <row r="216" spans="1:7" ht="15.75" customHeight="1">
      <c r="A216" s="3">
        <v>21765</v>
      </c>
      <c r="B216" s="4">
        <v>41</v>
      </c>
      <c r="C216" s="8">
        <f t="shared" si="19"/>
        <v>43.333333333333336</v>
      </c>
      <c r="D216" s="8">
        <f t="shared" si="15"/>
        <v>-2.3333333333333357</v>
      </c>
      <c r="E216" s="8">
        <f t="shared" si="16"/>
        <v>2.3333333333333357</v>
      </c>
      <c r="F216" s="8">
        <f t="shared" si="17"/>
        <v>5.4444444444444553</v>
      </c>
      <c r="G216" s="5">
        <f t="shared" si="18"/>
        <v>5.6910569105691117E-2</v>
      </c>
    </row>
    <row r="217" spans="1:7" ht="15.75" customHeight="1">
      <c r="A217" s="3">
        <v>21766</v>
      </c>
      <c r="B217" s="4">
        <v>46</v>
      </c>
      <c r="C217" s="8">
        <f t="shared" si="19"/>
        <v>43.333333333333336</v>
      </c>
      <c r="D217" s="8">
        <f t="shared" si="15"/>
        <v>2.6666666666666643</v>
      </c>
      <c r="E217" s="8">
        <f t="shared" si="16"/>
        <v>2.6666666666666643</v>
      </c>
      <c r="F217" s="8">
        <f t="shared" si="17"/>
        <v>7.1111111111110983</v>
      </c>
      <c r="G217" s="5">
        <f t="shared" si="18"/>
        <v>5.7971014492753568E-2</v>
      </c>
    </row>
    <row r="218" spans="1:7" ht="15.75" customHeight="1">
      <c r="A218" s="3">
        <v>21767</v>
      </c>
      <c r="B218" s="4">
        <v>64</v>
      </c>
      <c r="C218" s="8">
        <f t="shared" si="19"/>
        <v>42</v>
      </c>
      <c r="D218" s="8">
        <f t="shared" si="15"/>
        <v>22</v>
      </c>
      <c r="E218" s="8">
        <f t="shared" si="16"/>
        <v>22</v>
      </c>
      <c r="F218" s="8">
        <f t="shared" si="17"/>
        <v>484</v>
      </c>
      <c r="G218" s="5">
        <f t="shared" si="18"/>
        <v>0.34375</v>
      </c>
    </row>
    <row r="219" spans="1:7" ht="15.75" customHeight="1">
      <c r="A219" s="3">
        <v>21768</v>
      </c>
      <c r="B219" s="4">
        <v>45</v>
      </c>
      <c r="C219" s="8">
        <f t="shared" si="19"/>
        <v>50.333333333333336</v>
      </c>
      <c r="D219" s="8">
        <f t="shared" si="15"/>
        <v>-5.3333333333333357</v>
      </c>
      <c r="E219" s="8">
        <f t="shared" si="16"/>
        <v>5.3333333333333357</v>
      </c>
      <c r="F219" s="8">
        <f t="shared" si="17"/>
        <v>28.444444444444471</v>
      </c>
      <c r="G219" s="5">
        <f t="shared" si="18"/>
        <v>0.11851851851851856</v>
      </c>
    </row>
    <row r="220" spans="1:7" ht="15.75" customHeight="1">
      <c r="A220" s="3">
        <v>21769</v>
      </c>
      <c r="B220" s="4">
        <v>34</v>
      </c>
      <c r="C220" s="8">
        <f t="shared" si="19"/>
        <v>51.666666666666664</v>
      </c>
      <c r="D220" s="8">
        <f t="shared" si="15"/>
        <v>-17.666666666666664</v>
      </c>
      <c r="E220" s="8">
        <f t="shared" si="16"/>
        <v>17.666666666666664</v>
      </c>
      <c r="F220" s="8">
        <f t="shared" si="17"/>
        <v>312.11111111111103</v>
      </c>
      <c r="G220" s="5">
        <f t="shared" si="18"/>
        <v>0.51960784313725483</v>
      </c>
    </row>
    <row r="221" spans="1:7" ht="15.75" customHeight="1">
      <c r="A221" s="3">
        <v>21770</v>
      </c>
      <c r="B221" s="4">
        <v>38</v>
      </c>
      <c r="C221" s="8">
        <f t="shared" si="19"/>
        <v>47.666666666666664</v>
      </c>
      <c r="D221" s="8">
        <f t="shared" si="15"/>
        <v>-9.6666666666666643</v>
      </c>
      <c r="E221" s="8">
        <f t="shared" si="16"/>
        <v>9.6666666666666643</v>
      </c>
      <c r="F221" s="8">
        <f t="shared" si="17"/>
        <v>93.4444444444444</v>
      </c>
      <c r="G221" s="5">
        <f t="shared" si="18"/>
        <v>0.25438596491228066</v>
      </c>
    </row>
    <row r="222" spans="1:7" ht="15.75" customHeight="1">
      <c r="A222" s="3">
        <v>21771</v>
      </c>
      <c r="B222" s="4">
        <v>44</v>
      </c>
      <c r="C222" s="8">
        <f t="shared" si="19"/>
        <v>39</v>
      </c>
      <c r="D222" s="8">
        <f t="shared" si="15"/>
        <v>5</v>
      </c>
      <c r="E222" s="8">
        <f t="shared" si="16"/>
        <v>5</v>
      </c>
      <c r="F222" s="8">
        <f t="shared" si="17"/>
        <v>25</v>
      </c>
      <c r="G222" s="5">
        <f t="shared" si="18"/>
        <v>0.11363636363636363</v>
      </c>
    </row>
    <row r="223" spans="1:7" ht="15.75" customHeight="1">
      <c r="A223" s="3">
        <v>21772</v>
      </c>
      <c r="B223" s="4">
        <v>48</v>
      </c>
      <c r="C223" s="8">
        <f t="shared" si="19"/>
        <v>38.666666666666664</v>
      </c>
      <c r="D223" s="8">
        <f t="shared" si="15"/>
        <v>9.3333333333333357</v>
      </c>
      <c r="E223" s="8">
        <f t="shared" si="16"/>
        <v>9.3333333333333357</v>
      </c>
      <c r="F223" s="8">
        <f t="shared" si="17"/>
        <v>87.111111111111157</v>
      </c>
      <c r="G223" s="5">
        <f t="shared" si="18"/>
        <v>0.1944444444444445</v>
      </c>
    </row>
    <row r="224" spans="1:7" ht="15.75" customHeight="1">
      <c r="A224" s="3">
        <v>21773</v>
      </c>
      <c r="B224" s="4">
        <v>46</v>
      </c>
      <c r="C224" s="8">
        <f t="shared" si="19"/>
        <v>43.333333333333336</v>
      </c>
      <c r="D224" s="8">
        <f t="shared" si="15"/>
        <v>2.6666666666666643</v>
      </c>
      <c r="E224" s="8">
        <f t="shared" si="16"/>
        <v>2.6666666666666643</v>
      </c>
      <c r="F224" s="8">
        <f t="shared" si="17"/>
        <v>7.1111111111110983</v>
      </c>
      <c r="G224" s="5">
        <f t="shared" si="18"/>
        <v>5.7971014492753568E-2</v>
      </c>
    </row>
    <row r="225" spans="1:7" ht="15.75" customHeight="1">
      <c r="A225" s="3">
        <v>21774</v>
      </c>
      <c r="B225" s="4">
        <v>44</v>
      </c>
      <c r="C225" s="8">
        <f t="shared" si="19"/>
        <v>46</v>
      </c>
      <c r="D225" s="8">
        <f t="shared" si="15"/>
        <v>-2</v>
      </c>
      <c r="E225" s="8">
        <f t="shared" si="16"/>
        <v>2</v>
      </c>
      <c r="F225" s="8">
        <f t="shared" si="17"/>
        <v>4</v>
      </c>
      <c r="G225" s="5">
        <f t="shared" si="18"/>
        <v>4.5454545454545456E-2</v>
      </c>
    </row>
    <row r="226" spans="1:7" ht="15.75" customHeight="1">
      <c r="A226" s="3">
        <v>21775</v>
      </c>
      <c r="B226" s="4">
        <v>37</v>
      </c>
      <c r="C226" s="8">
        <f t="shared" si="19"/>
        <v>46</v>
      </c>
      <c r="D226" s="8">
        <f t="shared" si="15"/>
        <v>-9</v>
      </c>
      <c r="E226" s="8">
        <f t="shared" si="16"/>
        <v>9</v>
      </c>
      <c r="F226" s="8">
        <f t="shared" si="17"/>
        <v>81</v>
      </c>
      <c r="G226" s="5">
        <f t="shared" si="18"/>
        <v>0.24324324324324326</v>
      </c>
    </row>
    <row r="227" spans="1:7" ht="15.75" customHeight="1">
      <c r="A227" s="3">
        <v>21776</v>
      </c>
      <c r="B227" s="4">
        <v>39</v>
      </c>
      <c r="C227" s="8">
        <f t="shared" si="19"/>
        <v>42.333333333333336</v>
      </c>
      <c r="D227" s="8">
        <f t="shared" si="15"/>
        <v>-3.3333333333333357</v>
      </c>
      <c r="E227" s="8">
        <f t="shared" si="16"/>
        <v>3.3333333333333357</v>
      </c>
      <c r="F227" s="8">
        <f t="shared" si="17"/>
        <v>11.111111111111127</v>
      </c>
      <c r="G227" s="5">
        <f t="shared" si="18"/>
        <v>8.5470085470085527E-2</v>
      </c>
    </row>
    <row r="228" spans="1:7" ht="15.75" customHeight="1">
      <c r="A228" s="3">
        <v>21777</v>
      </c>
      <c r="B228" s="4">
        <v>44</v>
      </c>
      <c r="C228" s="8">
        <f t="shared" si="19"/>
        <v>40</v>
      </c>
      <c r="D228" s="8">
        <f t="shared" si="15"/>
        <v>4</v>
      </c>
      <c r="E228" s="8">
        <f t="shared" si="16"/>
        <v>4</v>
      </c>
      <c r="F228" s="8">
        <f t="shared" si="17"/>
        <v>16</v>
      </c>
      <c r="G228" s="5">
        <f t="shared" si="18"/>
        <v>9.0909090909090912E-2</v>
      </c>
    </row>
    <row r="229" spans="1:7" ht="15.75" customHeight="1">
      <c r="A229" s="3">
        <v>21778</v>
      </c>
      <c r="B229" s="4">
        <v>45</v>
      </c>
      <c r="C229" s="8">
        <f t="shared" si="19"/>
        <v>40</v>
      </c>
      <c r="D229" s="8">
        <f t="shared" si="15"/>
        <v>5</v>
      </c>
      <c r="E229" s="8">
        <f t="shared" si="16"/>
        <v>5</v>
      </c>
      <c r="F229" s="8">
        <f t="shared" si="17"/>
        <v>25</v>
      </c>
      <c r="G229" s="5">
        <f t="shared" si="18"/>
        <v>0.1111111111111111</v>
      </c>
    </row>
    <row r="230" spans="1:7" ht="15.75" customHeight="1">
      <c r="A230" s="3">
        <v>21779</v>
      </c>
      <c r="B230" s="4">
        <v>33</v>
      </c>
      <c r="C230" s="8">
        <f t="shared" si="19"/>
        <v>42.666666666666664</v>
      </c>
      <c r="D230" s="8">
        <f t="shared" si="15"/>
        <v>-9.6666666666666643</v>
      </c>
      <c r="E230" s="8">
        <f t="shared" si="16"/>
        <v>9.6666666666666643</v>
      </c>
      <c r="F230" s="8">
        <f t="shared" si="17"/>
        <v>93.4444444444444</v>
      </c>
      <c r="G230" s="5">
        <f t="shared" si="18"/>
        <v>0.29292929292929287</v>
      </c>
    </row>
    <row r="231" spans="1:7" ht="15.75" customHeight="1">
      <c r="A231" s="3">
        <v>21780</v>
      </c>
      <c r="B231" s="4">
        <v>44</v>
      </c>
      <c r="C231" s="8">
        <f t="shared" si="19"/>
        <v>40.666666666666664</v>
      </c>
      <c r="D231" s="8">
        <f t="shared" si="15"/>
        <v>3.3333333333333357</v>
      </c>
      <c r="E231" s="8">
        <f t="shared" si="16"/>
        <v>3.3333333333333357</v>
      </c>
      <c r="F231" s="8">
        <f t="shared" si="17"/>
        <v>11.111111111111127</v>
      </c>
      <c r="G231" s="5">
        <f t="shared" si="18"/>
        <v>7.5757575757575815E-2</v>
      </c>
    </row>
    <row r="232" spans="1:7" ht="15.75" customHeight="1">
      <c r="A232" s="3">
        <v>21781</v>
      </c>
      <c r="B232" s="4">
        <v>38</v>
      </c>
      <c r="C232" s="8">
        <f t="shared" si="19"/>
        <v>40.666666666666664</v>
      </c>
      <c r="D232" s="8">
        <f t="shared" si="15"/>
        <v>-2.6666666666666643</v>
      </c>
      <c r="E232" s="8">
        <f t="shared" si="16"/>
        <v>2.6666666666666643</v>
      </c>
      <c r="F232" s="8">
        <f t="shared" si="17"/>
        <v>7.1111111111110983</v>
      </c>
      <c r="G232" s="5">
        <f t="shared" si="18"/>
        <v>7.0175438596491169E-2</v>
      </c>
    </row>
    <row r="233" spans="1:7" ht="15.75" customHeight="1">
      <c r="A233" s="3">
        <v>21782</v>
      </c>
      <c r="B233" s="4">
        <v>46</v>
      </c>
      <c r="C233" s="8">
        <f t="shared" si="19"/>
        <v>38.333333333333336</v>
      </c>
      <c r="D233" s="8">
        <f t="shared" si="15"/>
        <v>7.6666666666666643</v>
      </c>
      <c r="E233" s="8">
        <f t="shared" si="16"/>
        <v>7.6666666666666643</v>
      </c>
      <c r="F233" s="8">
        <f t="shared" si="17"/>
        <v>58.777777777777743</v>
      </c>
      <c r="G233" s="5">
        <f t="shared" si="18"/>
        <v>0.1666666666666666</v>
      </c>
    </row>
    <row r="234" spans="1:7" ht="15.75" customHeight="1">
      <c r="A234" s="3">
        <v>21783</v>
      </c>
      <c r="B234" s="4">
        <v>46</v>
      </c>
      <c r="C234" s="8">
        <f t="shared" si="19"/>
        <v>42.666666666666664</v>
      </c>
      <c r="D234" s="8">
        <f t="shared" si="15"/>
        <v>3.3333333333333357</v>
      </c>
      <c r="E234" s="8">
        <f t="shared" si="16"/>
        <v>3.3333333333333357</v>
      </c>
      <c r="F234" s="8">
        <f t="shared" si="17"/>
        <v>11.111111111111127</v>
      </c>
      <c r="G234" s="5">
        <f t="shared" si="18"/>
        <v>7.2463768115942087E-2</v>
      </c>
    </row>
    <row r="235" spans="1:7" ht="15.75" customHeight="1">
      <c r="A235" s="3">
        <v>21784</v>
      </c>
      <c r="B235" s="4">
        <v>40</v>
      </c>
      <c r="C235" s="8">
        <f t="shared" si="19"/>
        <v>43.333333333333336</v>
      </c>
      <c r="D235" s="8">
        <f t="shared" si="15"/>
        <v>-3.3333333333333357</v>
      </c>
      <c r="E235" s="8">
        <f t="shared" si="16"/>
        <v>3.3333333333333357</v>
      </c>
      <c r="F235" s="8">
        <f t="shared" si="17"/>
        <v>11.111111111111127</v>
      </c>
      <c r="G235" s="5">
        <f t="shared" si="18"/>
        <v>8.3333333333333398E-2</v>
      </c>
    </row>
    <row r="236" spans="1:7" ht="15.75" customHeight="1">
      <c r="A236" s="3">
        <v>21785</v>
      </c>
      <c r="B236" s="4">
        <v>39</v>
      </c>
      <c r="C236" s="8">
        <f t="shared" si="19"/>
        <v>44</v>
      </c>
      <c r="D236" s="8">
        <f t="shared" si="15"/>
        <v>-5</v>
      </c>
      <c r="E236" s="8">
        <f t="shared" si="16"/>
        <v>5</v>
      </c>
      <c r="F236" s="8">
        <f t="shared" si="17"/>
        <v>25</v>
      </c>
      <c r="G236" s="5">
        <f t="shared" si="18"/>
        <v>0.12820512820512819</v>
      </c>
    </row>
    <row r="237" spans="1:7" ht="15.75" customHeight="1">
      <c r="A237" s="3">
        <v>21786</v>
      </c>
      <c r="B237" s="4">
        <v>44</v>
      </c>
      <c r="C237" s="8">
        <f t="shared" si="19"/>
        <v>41.666666666666664</v>
      </c>
      <c r="D237" s="8">
        <f t="shared" si="15"/>
        <v>2.3333333333333357</v>
      </c>
      <c r="E237" s="8">
        <f t="shared" si="16"/>
        <v>2.3333333333333357</v>
      </c>
      <c r="F237" s="8">
        <f t="shared" si="17"/>
        <v>5.4444444444444553</v>
      </c>
      <c r="G237" s="5">
        <f t="shared" si="18"/>
        <v>5.3030303030303087E-2</v>
      </c>
    </row>
    <row r="238" spans="1:7" ht="15.75" customHeight="1">
      <c r="A238" s="3">
        <v>21787</v>
      </c>
      <c r="B238" s="4">
        <v>48</v>
      </c>
      <c r="C238" s="8">
        <f t="shared" si="19"/>
        <v>41</v>
      </c>
      <c r="D238" s="8">
        <f t="shared" si="15"/>
        <v>7</v>
      </c>
      <c r="E238" s="8">
        <f t="shared" si="16"/>
        <v>7</v>
      </c>
      <c r="F238" s="8">
        <f t="shared" si="17"/>
        <v>49</v>
      </c>
      <c r="G238" s="5">
        <f t="shared" si="18"/>
        <v>0.14583333333333334</v>
      </c>
    </row>
    <row r="239" spans="1:7" ht="15.75" customHeight="1">
      <c r="A239" s="3">
        <v>21788</v>
      </c>
      <c r="B239" s="4">
        <v>50</v>
      </c>
      <c r="C239" s="8">
        <f t="shared" si="19"/>
        <v>43.666666666666664</v>
      </c>
      <c r="D239" s="8">
        <f t="shared" si="15"/>
        <v>6.3333333333333357</v>
      </c>
      <c r="E239" s="8">
        <f t="shared" si="16"/>
        <v>6.3333333333333357</v>
      </c>
      <c r="F239" s="8">
        <f t="shared" si="17"/>
        <v>40.111111111111143</v>
      </c>
      <c r="G239" s="5">
        <f t="shared" si="18"/>
        <v>0.12666666666666671</v>
      </c>
    </row>
    <row r="240" spans="1:7" ht="15.75" customHeight="1">
      <c r="A240" s="3">
        <v>21789</v>
      </c>
      <c r="B240" s="4">
        <v>41</v>
      </c>
      <c r="C240" s="8">
        <f t="shared" si="19"/>
        <v>47.333333333333336</v>
      </c>
      <c r="D240" s="8">
        <f t="shared" si="15"/>
        <v>-6.3333333333333357</v>
      </c>
      <c r="E240" s="8">
        <f t="shared" si="16"/>
        <v>6.3333333333333357</v>
      </c>
      <c r="F240" s="8">
        <f t="shared" si="17"/>
        <v>40.111111111111143</v>
      </c>
      <c r="G240" s="5">
        <f t="shared" si="18"/>
        <v>0.15447154471544722</v>
      </c>
    </row>
    <row r="241" spans="1:7" ht="15.75" customHeight="1">
      <c r="A241" s="3">
        <v>21790</v>
      </c>
      <c r="B241" s="4">
        <v>42</v>
      </c>
      <c r="C241" s="8">
        <f t="shared" si="19"/>
        <v>46.333333333333336</v>
      </c>
      <c r="D241" s="8">
        <f t="shared" si="15"/>
        <v>-4.3333333333333357</v>
      </c>
      <c r="E241" s="8">
        <f t="shared" si="16"/>
        <v>4.3333333333333357</v>
      </c>
      <c r="F241" s="8">
        <f t="shared" si="17"/>
        <v>18.7777777777778</v>
      </c>
      <c r="G241" s="5">
        <f t="shared" si="18"/>
        <v>0.10317460317460322</v>
      </c>
    </row>
    <row r="242" spans="1:7" ht="15.75" customHeight="1">
      <c r="A242" s="3">
        <v>21791</v>
      </c>
      <c r="B242" s="4">
        <v>51</v>
      </c>
      <c r="C242" s="8">
        <f t="shared" si="19"/>
        <v>44.333333333333336</v>
      </c>
      <c r="D242" s="8">
        <f t="shared" si="15"/>
        <v>6.6666666666666643</v>
      </c>
      <c r="E242" s="8">
        <f t="shared" si="16"/>
        <v>6.6666666666666643</v>
      </c>
      <c r="F242" s="8">
        <f t="shared" si="17"/>
        <v>44.444444444444414</v>
      </c>
      <c r="G242" s="5">
        <f t="shared" si="18"/>
        <v>0.13071895424836596</v>
      </c>
    </row>
    <row r="243" spans="1:7" ht="15.75" customHeight="1">
      <c r="A243" s="3">
        <v>21792</v>
      </c>
      <c r="B243" s="4">
        <v>41</v>
      </c>
      <c r="C243" s="8">
        <f t="shared" si="19"/>
        <v>44.666666666666664</v>
      </c>
      <c r="D243" s="8">
        <f t="shared" si="15"/>
        <v>-3.6666666666666643</v>
      </c>
      <c r="E243" s="8">
        <f t="shared" si="16"/>
        <v>3.6666666666666643</v>
      </c>
      <c r="F243" s="8">
        <f t="shared" si="17"/>
        <v>13.444444444444427</v>
      </c>
      <c r="G243" s="5">
        <f t="shared" si="18"/>
        <v>8.9430894308943035E-2</v>
      </c>
    </row>
    <row r="244" spans="1:7" ht="15.75" customHeight="1">
      <c r="A244" s="3">
        <v>21793</v>
      </c>
      <c r="B244" s="4">
        <v>44</v>
      </c>
      <c r="C244" s="8">
        <f t="shared" si="19"/>
        <v>44.666666666666664</v>
      </c>
      <c r="D244" s="8">
        <f t="shared" si="15"/>
        <v>-0.6666666666666643</v>
      </c>
      <c r="E244" s="8">
        <f t="shared" si="16"/>
        <v>0.6666666666666643</v>
      </c>
      <c r="F244" s="8">
        <f t="shared" si="17"/>
        <v>0.44444444444444131</v>
      </c>
      <c r="G244" s="5">
        <f t="shared" si="18"/>
        <v>1.5151515151515098E-2</v>
      </c>
    </row>
    <row r="245" spans="1:7" ht="15.75" customHeight="1">
      <c r="A245" s="3">
        <v>21794</v>
      </c>
      <c r="B245" s="4">
        <v>38</v>
      </c>
      <c r="C245" s="8">
        <f t="shared" si="19"/>
        <v>45.333333333333336</v>
      </c>
      <c r="D245" s="8">
        <f t="shared" si="15"/>
        <v>-7.3333333333333357</v>
      </c>
      <c r="E245" s="8">
        <f t="shared" si="16"/>
        <v>7.3333333333333357</v>
      </c>
      <c r="F245" s="8">
        <f t="shared" si="17"/>
        <v>53.777777777777814</v>
      </c>
      <c r="G245" s="5">
        <f t="shared" si="18"/>
        <v>0.19298245614035095</v>
      </c>
    </row>
    <row r="246" spans="1:7" ht="15.75" customHeight="1">
      <c r="A246" s="3">
        <v>21795</v>
      </c>
      <c r="B246" s="4">
        <v>68</v>
      </c>
      <c r="C246" s="8">
        <f t="shared" si="19"/>
        <v>41</v>
      </c>
      <c r="D246" s="8">
        <f t="shared" si="15"/>
        <v>27</v>
      </c>
      <c r="E246" s="8">
        <f t="shared" si="16"/>
        <v>27</v>
      </c>
      <c r="F246" s="8">
        <f t="shared" si="17"/>
        <v>729</v>
      </c>
      <c r="G246" s="5">
        <f t="shared" si="18"/>
        <v>0.39705882352941174</v>
      </c>
    </row>
    <row r="247" spans="1:7" ht="15.75" customHeight="1">
      <c r="A247" s="3">
        <v>21796</v>
      </c>
      <c r="B247" s="4">
        <v>40</v>
      </c>
      <c r="C247" s="8">
        <f t="shared" si="19"/>
        <v>50</v>
      </c>
      <c r="D247" s="8">
        <f t="shared" si="15"/>
        <v>-10</v>
      </c>
      <c r="E247" s="8">
        <f t="shared" si="16"/>
        <v>10</v>
      </c>
      <c r="F247" s="8">
        <f t="shared" si="17"/>
        <v>100</v>
      </c>
      <c r="G247" s="5">
        <f t="shared" si="18"/>
        <v>0.25</v>
      </c>
    </row>
    <row r="248" spans="1:7" ht="15.75" customHeight="1">
      <c r="A248" s="3">
        <v>21797</v>
      </c>
      <c r="B248" s="4">
        <v>42</v>
      </c>
      <c r="C248" s="8">
        <f t="shared" si="19"/>
        <v>48.666666666666664</v>
      </c>
      <c r="D248" s="8">
        <f t="shared" si="15"/>
        <v>-6.6666666666666643</v>
      </c>
      <c r="E248" s="8">
        <f t="shared" si="16"/>
        <v>6.6666666666666643</v>
      </c>
      <c r="F248" s="8">
        <f t="shared" si="17"/>
        <v>44.444444444444414</v>
      </c>
      <c r="G248" s="5">
        <f t="shared" si="18"/>
        <v>0.15873015873015867</v>
      </c>
    </row>
    <row r="249" spans="1:7" ht="15.75" customHeight="1">
      <c r="A249" s="3">
        <v>21798</v>
      </c>
      <c r="B249" s="4">
        <v>51</v>
      </c>
      <c r="C249" s="8">
        <f t="shared" si="19"/>
        <v>50</v>
      </c>
      <c r="D249" s="8">
        <f t="shared" si="15"/>
        <v>1</v>
      </c>
      <c r="E249" s="8">
        <f t="shared" si="16"/>
        <v>1</v>
      </c>
      <c r="F249" s="8">
        <f t="shared" si="17"/>
        <v>1</v>
      </c>
      <c r="G249" s="5">
        <f t="shared" si="18"/>
        <v>1.9607843137254902E-2</v>
      </c>
    </row>
    <row r="250" spans="1:7" ht="15.75" customHeight="1">
      <c r="A250" s="3">
        <v>21799</v>
      </c>
      <c r="B250" s="4">
        <v>44</v>
      </c>
      <c r="C250" s="8">
        <f t="shared" si="19"/>
        <v>44.333333333333336</v>
      </c>
      <c r="D250" s="8">
        <f t="shared" si="15"/>
        <v>-0.3333333333333357</v>
      </c>
      <c r="E250" s="8">
        <f t="shared" si="16"/>
        <v>0.3333333333333357</v>
      </c>
      <c r="F250" s="8">
        <f t="shared" si="17"/>
        <v>0.11111111111111269</v>
      </c>
      <c r="G250" s="5">
        <f t="shared" si="18"/>
        <v>7.5757575757576297E-3</v>
      </c>
    </row>
    <row r="251" spans="1:7" ht="15.75" customHeight="1">
      <c r="A251" s="3">
        <v>21800</v>
      </c>
      <c r="B251" s="4">
        <v>45</v>
      </c>
      <c r="C251" s="8">
        <f t="shared" si="19"/>
        <v>45.666666666666664</v>
      </c>
      <c r="D251" s="8">
        <f t="shared" si="15"/>
        <v>-0.6666666666666643</v>
      </c>
      <c r="E251" s="8">
        <f t="shared" si="16"/>
        <v>0.6666666666666643</v>
      </c>
      <c r="F251" s="8">
        <f t="shared" si="17"/>
        <v>0.44444444444444131</v>
      </c>
      <c r="G251" s="5">
        <f t="shared" si="18"/>
        <v>1.4814814814814762E-2</v>
      </c>
    </row>
    <row r="252" spans="1:7" ht="15.75" customHeight="1">
      <c r="A252" s="3">
        <v>21801</v>
      </c>
      <c r="B252" s="4">
        <v>36</v>
      </c>
      <c r="C252" s="8">
        <f t="shared" si="19"/>
        <v>46.666666666666664</v>
      </c>
      <c r="D252" s="8">
        <f t="shared" si="15"/>
        <v>-10.666666666666664</v>
      </c>
      <c r="E252" s="8">
        <f t="shared" si="16"/>
        <v>10.666666666666664</v>
      </c>
      <c r="F252" s="8">
        <f t="shared" si="17"/>
        <v>113.77777777777773</v>
      </c>
      <c r="G252" s="5">
        <f t="shared" si="18"/>
        <v>0.29629629629629622</v>
      </c>
    </row>
    <row r="253" spans="1:7" ht="15.75" customHeight="1">
      <c r="A253" s="3">
        <v>21802</v>
      </c>
      <c r="B253" s="4">
        <v>57</v>
      </c>
      <c r="C253" s="8">
        <f t="shared" si="19"/>
        <v>41.666666666666664</v>
      </c>
      <c r="D253" s="8">
        <f t="shared" si="15"/>
        <v>15.333333333333336</v>
      </c>
      <c r="E253" s="8">
        <f t="shared" si="16"/>
        <v>15.333333333333336</v>
      </c>
      <c r="F253" s="8">
        <f t="shared" si="17"/>
        <v>235.11111111111117</v>
      </c>
      <c r="G253" s="5">
        <f t="shared" si="18"/>
        <v>0.26900584795321641</v>
      </c>
    </row>
    <row r="254" spans="1:7" ht="15.75" customHeight="1">
      <c r="A254" s="3">
        <v>21803</v>
      </c>
      <c r="B254" s="4">
        <v>44</v>
      </c>
      <c r="C254" s="8">
        <f t="shared" si="19"/>
        <v>46</v>
      </c>
      <c r="D254" s="8">
        <f t="shared" si="15"/>
        <v>-2</v>
      </c>
      <c r="E254" s="8">
        <f t="shared" si="16"/>
        <v>2</v>
      </c>
      <c r="F254" s="8">
        <f t="shared" si="17"/>
        <v>4</v>
      </c>
      <c r="G254" s="5">
        <f t="shared" si="18"/>
        <v>4.5454545454545456E-2</v>
      </c>
    </row>
    <row r="255" spans="1:7" ht="15.75" customHeight="1">
      <c r="A255" s="3">
        <v>21804</v>
      </c>
      <c r="B255" s="4">
        <v>42</v>
      </c>
      <c r="C255" s="8">
        <f t="shared" si="19"/>
        <v>45.666666666666664</v>
      </c>
      <c r="D255" s="8">
        <f t="shared" si="15"/>
        <v>-3.6666666666666643</v>
      </c>
      <c r="E255" s="8">
        <f t="shared" si="16"/>
        <v>3.6666666666666643</v>
      </c>
      <c r="F255" s="8">
        <f t="shared" si="17"/>
        <v>13.444444444444427</v>
      </c>
      <c r="G255" s="5">
        <f t="shared" si="18"/>
        <v>8.7301587301587241E-2</v>
      </c>
    </row>
    <row r="256" spans="1:7" ht="15.75" customHeight="1">
      <c r="A256" s="3">
        <v>21805</v>
      </c>
      <c r="B256" s="4">
        <v>53</v>
      </c>
      <c r="C256" s="8">
        <f t="shared" si="19"/>
        <v>47.666666666666664</v>
      </c>
      <c r="D256" s="8">
        <f t="shared" si="15"/>
        <v>5.3333333333333357</v>
      </c>
      <c r="E256" s="8">
        <f t="shared" si="16"/>
        <v>5.3333333333333357</v>
      </c>
      <c r="F256" s="8">
        <f t="shared" si="17"/>
        <v>28.444444444444471</v>
      </c>
      <c r="G256" s="5">
        <f t="shared" si="18"/>
        <v>0.10062893081761011</v>
      </c>
    </row>
    <row r="257" spans="1:7" ht="15.75" customHeight="1">
      <c r="A257" s="3">
        <v>21806</v>
      </c>
      <c r="B257" s="4">
        <v>42</v>
      </c>
      <c r="C257" s="8">
        <f t="shared" si="19"/>
        <v>46.333333333333336</v>
      </c>
      <c r="D257" s="8">
        <f t="shared" si="15"/>
        <v>-4.3333333333333357</v>
      </c>
      <c r="E257" s="8">
        <f t="shared" si="16"/>
        <v>4.3333333333333357</v>
      </c>
      <c r="F257" s="8">
        <f t="shared" si="17"/>
        <v>18.7777777777778</v>
      </c>
      <c r="G257" s="5">
        <f t="shared" si="18"/>
        <v>0.10317460317460322</v>
      </c>
    </row>
    <row r="258" spans="1:7" ht="15.75" customHeight="1">
      <c r="A258" s="3">
        <v>21807</v>
      </c>
      <c r="B258" s="4">
        <v>34</v>
      </c>
      <c r="C258" s="8">
        <f t="shared" si="19"/>
        <v>45.666666666666664</v>
      </c>
      <c r="D258" s="8">
        <f t="shared" si="15"/>
        <v>-11.666666666666664</v>
      </c>
      <c r="E258" s="8">
        <f t="shared" si="16"/>
        <v>11.666666666666664</v>
      </c>
      <c r="F258" s="8">
        <f t="shared" si="17"/>
        <v>136.11111111111106</v>
      </c>
      <c r="G258" s="5">
        <f t="shared" si="18"/>
        <v>0.34313725490196073</v>
      </c>
    </row>
    <row r="259" spans="1:7" ht="15.75" customHeight="1">
      <c r="A259" s="3">
        <v>21808</v>
      </c>
      <c r="B259" s="4">
        <v>40</v>
      </c>
      <c r="C259" s="8">
        <f t="shared" si="19"/>
        <v>43</v>
      </c>
      <c r="D259" s="8">
        <f t="shared" si="15"/>
        <v>-3</v>
      </c>
      <c r="E259" s="8">
        <f t="shared" si="16"/>
        <v>3</v>
      </c>
      <c r="F259" s="8">
        <f t="shared" si="17"/>
        <v>9</v>
      </c>
      <c r="G259" s="5">
        <f t="shared" si="18"/>
        <v>7.4999999999999997E-2</v>
      </c>
    </row>
    <row r="260" spans="1:7" ht="15.75" customHeight="1">
      <c r="A260" s="3">
        <v>21809</v>
      </c>
      <c r="B260" s="4">
        <v>56</v>
      </c>
      <c r="C260" s="8">
        <f t="shared" si="19"/>
        <v>38.666666666666664</v>
      </c>
      <c r="D260" s="8">
        <f t="shared" si="15"/>
        <v>17.333333333333336</v>
      </c>
      <c r="E260" s="8">
        <f t="shared" si="16"/>
        <v>17.333333333333336</v>
      </c>
      <c r="F260" s="8">
        <f t="shared" si="17"/>
        <v>300.44444444444451</v>
      </c>
      <c r="G260" s="5">
        <f t="shared" si="18"/>
        <v>0.30952380952380959</v>
      </c>
    </row>
    <row r="261" spans="1:7" ht="15.75" customHeight="1">
      <c r="A261" s="3">
        <v>21810</v>
      </c>
      <c r="B261" s="4">
        <v>44</v>
      </c>
      <c r="C261" s="8">
        <f t="shared" si="19"/>
        <v>43.333333333333336</v>
      </c>
      <c r="D261" s="8">
        <f t="shared" si="15"/>
        <v>0.6666666666666643</v>
      </c>
      <c r="E261" s="8">
        <f t="shared" si="16"/>
        <v>0.6666666666666643</v>
      </c>
      <c r="F261" s="8">
        <f t="shared" si="17"/>
        <v>0.44444444444444131</v>
      </c>
      <c r="G261" s="5">
        <f t="shared" si="18"/>
        <v>1.5151515151515098E-2</v>
      </c>
    </row>
    <row r="262" spans="1:7" ht="15.75" customHeight="1">
      <c r="A262" s="3">
        <v>21811</v>
      </c>
      <c r="B262" s="4">
        <v>53</v>
      </c>
      <c r="C262" s="8">
        <f t="shared" si="19"/>
        <v>46.666666666666664</v>
      </c>
      <c r="D262" s="8">
        <f t="shared" ref="D262:D325" si="20">B262-C262</f>
        <v>6.3333333333333357</v>
      </c>
      <c r="E262" s="8">
        <f t="shared" ref="E262:E325" si="21">ABS(D262)</f>
        <v>6.3333333333333357</v>
      </c>
      <c r="F262" s="8">
        <f t="shared" ref="F262:F325" si="22">E262^2</f>
        <v>40.111111111111143</v>
      </c>
      <c r="G262" s="5">
        <f t="shared" ref="G262:G325" si="23">E262/B262</f>
        <v>0.11949685534591199</v>
      </c>
    </row>
    <row r="263" spans="1:7" ht="15.75" customHeight="1">
      <c r="A263" s="3">
        <v>21812</v>
      </c>
      <c r="B263" s="4">
        <v>55</v>
      </c>
      <c r="C263" s="8">
        <f t="shared" ref="C263:C326" si="24">AVERAGE(B260:B262)</f>
        <v>51</v>
      </c>
      <c r="D263" s="8">
        <f t="shared" si="20"/>
        <v>4</v>
      </c>
      <c r="E263" s="8">
        <f t="shared" si="21"/>
        <v>4</v>
      </c>
      <c r="F263" s="8">
        <f t="shared" si="22"/>
        <v>16</v>
      </c>
      <c r="G263" s="5">
        <f t="shared" si="23"/>
        <v>7.2727272727272724E-2</v>
      </c>
    </row>
    <row r="264" spans="1:7" ht="15.75" customHeight="1">
      <c r="A264" s="3">
        <v>21813</v>
      </c>
      <c r="B264" s="4">
        <v>39</v>
      </c>
      <c r="C264" s="8">
        <f t="shared" si="24"/>
        <v>50.666666666666664</v>
      </c>
      <c r="D264" s="8">
        <f t="shared" si="20"/>
        <v>-11.666666666666664</v>
      </c>
      <c r="E264" s="8">
        <f t="shared" si="21"/>
        <v>11.666666666666664</v>
      </c>
      <c r="F264" s="8">
        <f t="shared" si="22"/>
        <v>136.11111111111106</v>
      </c>
      <c r="G264" s="5">
        <f t="shared" si="23"/>
        <v>0.29914529914529908</v>
      </c>
    </row>
    <row r="265" spans="1:7" ht="15.75" customHeight="1">
      <c r="A265" s="3">
        <v>21814</v>
      </c>
      <c r="B265" s="4">
        <v>59</v>
      </c>
      <c r="C265" s="8">
        <f t="shared" si="24"/>
        <v>49</v>
      </c>
      <c r="D265" s="8">
        <f t="shared" si="20"/>
        <v>10</v>
      </c>
      <c r="E265" s="8">
        <f t="shared" si="21"/>
        <v>10</v>
      </c>
      <c r="F265" s="8">
        <f t="shared" si="22"/>
        <v>100</v>
      </c>
      <c r="G265" s="5">
        <f t="shared" si="23"/>
        <v>0.16949152542372881</v>
      </c>
    </row>
    <row r="266" spans="1:7" ht="15.75" customHeight="1">
      <c r="A266" s="3">
        <v>21815</v>
      </c>
      <c r="B266" s="4">
        <v>55</v>
      </c>
      <c r="C266" s="8">
        <f t="shared" si="24"/>
        <v>51</v>
      </c>
      <c r="D266" s="8">
        <f t="shared" si="20"/>
        <v>4</v>
      </c>
      <c r="E266" s="8">
        <f t="shared" si="21"/>
        <v>4</v>
      </c>
      <c r="F266" s="8">
        <f t="shared" si="22"/>
        <v>16</v>
      </c>
      <c r="G266" s="5">
        <f t="shared" si="23"/>
        <v>7.2727272727272724E-2</v>
      </c>
    </row>
    <row r="267" spans="1:7" ht="15.75" customHeight="1">
      <c r="A267" s="3">
        <v>21816</v>
      </c>
      <c r="B267" s="4">
        <v>73</v>
      </c>
      <c r="C267" s="8">
        <f t="shared" si="24"/>
        <v>51</v>
      </c>
      <c r="D267" s="8">
        <f t="shared" si="20"/>
        <v>22</v>
      </c>
      <c r="E267" s="8">
        <f t="shared" si="21"/>
        <v>22</v>
      </c>
      <c r="F267" s="8">
        <f t="shared" si="22"/>
        <v>484</v>
      </c>
      <c r="G267" s="5">
        <f t="shared" si="23"/>
        <v>0.30136986301369861</v>
      </c>
    </row>
    <row r="268" spans="1:7" ht="15.75" customHeight="1">
      <c r="A268" s="3">
        <v>21817</v>
      </c>
      <c r="B268" s="4">
        <v>55</v>
      </c>
      <c r="C268" s="8">
        <f t="shared" si="24"/>
        <v>62.333333333333336</v>
      </c>
      <c r="D268" s="8">
        <f t="shared" si="20"/>
        <v>-7.3333333333333357</v>
      </c>
      <c r="E268" s="8">
        <f t="shared" si="21"/>
        <v>7.3333333333333357</v>
      </c>
      <c r="F268" s="8">
        <f t="shared" si="22"/>
        <v>53.777777777777814</v>
      </c>
      <c r="G268" s="5">
        <f t="shared" si="23"/>
        <v>0.13333333333333339</v>
      </c>
    </row>
    <row r="269" spans="1:7" ht="15.75" customHeight="1">
      <c r="A269" s="3">
        <v>21818</v>
      </c>
      <c r="B269" s="4">
        <v>44</v>
      </c>
      <c r="C269" s="8">
        <f t="shared" si="24"/>
        <v>61</v>
      </c>
      <c r="D269" s="8">
        <f t="shared" si="20"/>
        <v>-17</v>
      </c>
      <c r="E269" s="8">
        <f t="shared" si="21"/>
        <v>17</v>
      </c>
      <c r="F269" s="8">
        <f t="shared" si="22"/>
        <v>289</v>
      </c>
      <c r="G269" s="5">
        <f t="shared" si="23"/>
        <v>0.38636363636363635</v>
      </c>
    </row>
    <row r="270" spans="1:7" ht="15.75" customHeight="1">
      <c r="A270" s="3">
        <v>21819</v>
      </c>
      <c r="B270" s="4">
        <v>43</v>
      </c>
      <c r="C270" s="8">
        <f t="shared" si="24"/>
        <v>57.333333333333336</v>
      </c>
      <c r="D270" s="8">
        <f t="shared" si="20"/>
        <v>-14.333333333333336</v>
      </c>
      <c r="E270" s="8">
        <f t="shared" si="21"/>
        <v>14.333333333333336</v>
      </c>
      <c r="F270" s="8">
        <f t="shared" si="22"/>
        <v>205.44444444444451</v>
      </c>
      <c r="G270" s="5">
        <f t="shared" si="23"/>
        <v>0.33333333333333337</v>
      </c>
    </row>
    <row r="271" spans="1:7" ht="15.75" customHeight="1">
      <c r="A271" s="3">
        <v>21820</v>
      </c>
      <c r="B271" s="4">
        <v>40</v>
      </c>
      <c r="C271" s="8">
        <f t="shared" si="24"/>
        <v>47.333333333333336</v>
      </c>
      <c r="D271" s="8">
        <f t="shared" si="20"/>
        <v>-7.3333333333333357</v>
      </c>
      <c r="E271" s="8">
        <f t="shared" si="21"/>
        <v>7.3333333333333357</v>
      </c>
      <c r="F271" s="8">
        <f t="shared" si="22"/>
        <v>53.777777777777814</v>
      </c>
      <c r="G271" s="5">
        <f t="shared" si="23"/>
        <v>0.1833333333333334</v>
      </c>
    </row>
    <row r="272" spans="1:7" ht="15.75" customHeight="1">
      <c r="A272" s="3">
        <v>21821</v>
      </c>
      <c r="B272" s="4">
        <v>47</v>
      </c>
      <c r="C272" s="8">
        <f t="shared" si="24"/>
        <v>42.333333333333336</v>
      </c>
      <c r="D272" s="8">
        <f t="shared" si="20"/>
        <v>4.6666666666666643</v>
      </c>
      <c r="E272" s="8">
        <f t="shared" si="21"/>
        <v>4.6666666666666643</v>
      </c>
      <c r="F272" s="8">
        <f t="shared" si="22"/>
        <v>21.777777777777757</v>
      </c>
      <c r="G272" s="5">
        <f t="shared" si="23"/>
        <v>9.9290780141843921E-2</v>
      </c>
    </row>
    <row r="273" spans="1:7" ht="15.75" customHeight="1">
      <c r="A273" s="3">
        <v>21822</v>
      </c>
      <c r="B273" s="4">
        <v>51</v>
      </c>
      <c r="C273" s="8">
        <f t="shared" si="24"/>
        <v>43.333333333333336</v>
      </c>
      <c r="D273" s="8">
        <f t="shared" si="20"/>
        <v>7.6666666666666643</v>
      </c>
      <c r="E273" s="8">
        <f t="shared" si="21"/>
        <v>7.6666666666666643</v>
      </c>
      <c r="F273" s="8">
        <f t="shared" si="22"/>
        <v>58.777777777777743</v>
      </c>
      <c r="G273" s="5">
        <f t="shared" si="23"/>
        <v>0.15032679738562088</v>
      </c>
    </row>
    <row r="274" spans="1:7" ht="15.75" customHeight="1">
      <c r="A274" s="3">
        <v>21823</v>
      </c>
      <c r="B274" s="4">
        <v>56</v>
      </c>
      <c r="C274" s="8">
        <f t="shared" si="24"/>
        <v>46</v>
      </c>
      <c r="D274" s="8">
        <f t="shared" si="20"/>
        <v>10</v>
      </c>
      <c r="E274" s="8">
        <f t="shared" si="21"/>
        <v>10</v>
      </c>
      <c r="F274" s="8">
        <f t="shared" si="22"/>
        <v>100</v>
      </c>
      <c r="G274" s="5">
        <f t="shared" si="23"/>
        <v>0.17857142857142858</v>
      </c>
    </row>
    <row r="275" spans="1:7" ht="15.75" customHeight="1">
      <c r="A275" s="3">
        <v>21824</v>
      </c>
      <c r="B275" s="4">
        <v>49</v>
      </c>
      <c r="C275" s="8">
        <f t="shared" si="24"/>
        <v>51.333333333333336</v>
      </c>
      <c r="D275" s="8">
        <f t="shared" si="20"/>
        <v>-2.3333333333333357</v>
      </c>
      <c r="E275" s="8">
        <f t="shared" si="21"/>
        <v>2.3333333333333357</v>
      </c>
      <c r="F275" s="8">
        <f t="shared" si="22"/>
        <v>5.4444444444444553</v>
      </c>
      <c r="G275" s="5">
        <f t="shared" si="23"/>
        <v>4.7619047619047665E-2</v>
      </c>
    </row>
    <row r="276" spans="1:7" ht="15.75" customHeight="1">
      <c r="A276" s="3">
        <v>21825</v>
      </c>
      <c r="B276" s="4">
        <v>54</v>
      </c>
      <c r="C276" s="8">
        <f t="shared" si="24"/>
        <v>52</v>
      </c>
      <c r="D276" s="8">
        <f t="shared" si="20"/>
        <v>2</v>
      </c>
      <c r="E276" s="8">
        <f t="shared" si="21"/>
        <v>2</v>
      </c>
      <c r="F276" s="8">
        <f t="shared" si="22"/>
        <v>4</v>
      </c>
      <c r="G276" s="5">
        <f t="shared" si="23"/>
        <v>3.7037037037037035E-2</v>
      </c>
    </row>
    <row r="277" spans="1:7" ht="15.75" customHeight="1">
      <c r="A277" s="3">
        <v>21826</v>
      </c>
      <c r="B277" s="4">
        <v>56</v>
      </c>
      <c r="C277" s="8">
        <f t="shared" si="24"/>
        <v>53</v>
      </c>
      <c r="D277" s="8">
        <f t="shared" si="20"/>
        <v>3</v>
      </c>
      <c r="E277" s="8">
        <f t="shared" si="21"/>
        <v>3</v>
      </c>
      <c r="F277" s="8">
        <f t="shared" si="22"/>
        <v>9</v>
      </c>
      <c r="G277" s="5">
        <f t="shared" si="23"/>
        <v>5.3571428571428568E-2</v>
      </c>
    </row>
    <row r="278" spans="1:7" ht="15.75" customHeight="1">
      <c r="A278" s="3">
        <v>21827</v>
      </c>
      <c r="B278" s="4">
        <v>47</v>
      </c>
      <c r="C278" s="8">
        <f t="shared" si="24"/>
        <v>53</v>
      </c>
      <c r="D278" s="8">
        <f t="shared" si="20"/>
        <v>-6</v>
      </c>
      <c r="E278" s="8">
        <f t="shared" si="21"/>
        <v>6</v>
      </c>
      <c r="F278" s="8">
        <f t="shared" si="22"/>
        <v>36</v>
      </c>
      <c r="G278" s="5">
        <f t="shared" si="23"/>
        <v>0.1276595744680851</v>
      </c>
    </row>
    <row r="279" spans="1:7" ht="15.75" customHeight="1">
      <c r="A279" s="3">
        <v>21828</v>
      </c>
      <c r="B279" s="4">
        <v>44</v>
      </c>
      <c r="C279" s="8">
        <f t="shared" si="24"/>
        <v>52.333333333333336</v>
      </c>
      <c r="D279" s="8">
        <f t="shared" si="20"/>
        <v>-8.3333333333333357</v>
      </c>
      <c r="E279" s="8">
        <f t="shared" si="21"/>
        <v>8.3333333333333357</v>
      </c>
      <c r="F279" s="8">
        <f t="shared" si="22"/>
        <v>69.444444444444485</v>
      </c>
      <c r="G279" s="5">
        <f t="shared" si="23"/>
        <v>0.18939393939393945</v>
      </c>
    </row>
    <row r="280" spans="1:7" ht="15.75" customHeight="1">
      <c r="A280" s="3">
        <v>21829</v>
      </c>
      <c r="B280" s="4">
        <v>43</v>
      </c>
      <c r="C280" s="8">
        <f t="shared" si="24"/>
        <v>49</v>
      </c>
      <c r="D280" s="8">
        <f t="shared" si="20"/>
        <v>-6</v>
      </c>
      <c r="E280" s="8">
        <f t="shared" si="21"/>
        <v>6</v>
      </c>
      <c r="F280" s="8">
        <f t="shared" si="22"/>
        <v>36</v>
      </c>
      <c r="G280" s="5">
        <f t="shared" si="23"/>
        <v>0.13953488372093023</v>
      </c>
    </row>
    <row r="281" spans="1:7" ht="15.75" customHeight="1">
      <c r="A281" s="3">
        <v>21830</v>
      </c>
      <c r="B281" s="4">
        <v>42</v>
      </c>
      <c r="C281" s="8">
        <f t="shared" si="24"/>
        <v>44.666666666666664</v>
      </c>
      <c r="D281" s="8">
        <f t="shared" si="20"/>
        <v>-2.6666666666666643</v>
      </c>
      <c r="E281" s="8">
        <f t="shared" si="21"/>
        <v>2.6666666666666643</v>
      </c>
      <c r="F281" s="8">
        <f t="shared" si="22"/>
        <v>7.1111111111110983</v>
      </c>
      <c r="G281" s="5">
        <f t="shared" si="23"/>
        <v>6.3492063492063433E-2</v>
      </c>
    </row>
    <row r="282" spans="1:7" ht="15.75" customHeight="1">
      <c r="A282" s="3">
        <v>21831</v>
      </c>
      <c r="B282" s="4">
        <v>45</v>
      </c>
      <c r="C282" s="8">
        <f t="shared" si="24"/>
        <v>43</v>
      </c>
      <c r="D282" s="8">
        <f t="shared" si="20"/>
        <v>2</v>
      </c>
      <c r="E282" s="8">
        <f t="shared" si="21"/>
        <v>2</v>
      </c>
      <c r="F282" s="8">
        <f t="shared" si="22"/>
        <v>4</v>
      </c>
      <c r="G282" s="5">
        <f t="shared" si="23"/>
        <v>4.4444444444444446E-2</v>
      </c>
    </row>
    <row r="283" spans="1:7" ht="15.75" customHeight="1">
      <c r="A283" s="3">
        <v>21832</v>
      </c>
      <c r="B283" s="4">
        <v>50</v>
      </c>
      <c r="C283" s="8">
        <f t="shared" si="24"/>
        <v>43.333333333333336</v>
      </c>
      <c r="D283" s="8">
        <f t="shared" si="20"/>
        <v>6.6666666666666643</v>
      </c>
      <c r="E283" s="8">
        <f t="shared" si="21"/>
        <v>6.6666666666666643</v>
      </c>
      <c r="F283" s="8">
        <f t="shared" si="22"/>
        <v>44.444444444444414</v>
      </c>
      <c r="G283" s="5">
        <f t="shared" si="23"/>
        <v>0.13333333333333328</v>
      </c>
    </row>
    <row r="284" spans="1:7" ht="15.75" customHeight="1">
      <c r="A284" s="3">
        <v>21833</v>
      </c>
      <c r="B284" s="4">
        <v>48</v>
      </c>
      <c r="C284" s="8">
        <f t="shared" si="24"/>
        <v>45.666666666666664</v>
      </c>
      <c r="D284" s="8">
        <f t="shared" si="20"/>
        <v>2.3333333333333357</v>
      </c>
      <c r="E284" s="8">
        <f t="shared" si="21"/>
        <v>2.3333333333333357</v>
      </c>
      <c r="F284" s="8">
        <f t="shared" si="22"/>
        <v>5.4444444444444553</v>
      </c>
      <c r="G284" s="5">
        <f t="shared" si="23"/>
        <v>4.861111111111116E-2</v>
      </c>
    </row>
    <row r="285" spans="1:7" ht="15.75" customHeight="1">
      <c r="A285" s="3">
        <v>21834</v>
      </c>
      <c r="B285" s="4">
        <v>43</v>
      </c>
      <c r="C285" s="8">
        <f t="shared" si="24"/>
        <v>47.666666666666664</v>
      </c>
      <c r="D285" s="8">
        <f t="shared" si="20"/>
        <v>-4.6666666666666643</v>
      </c>
      <c r="E285" s="8">
        <f t="shared" si="21"/>
        <v>4.6666666666666643</v>
      </c>
      <c r="F285" s="8">
        <f t="shared" si="22"/>
        <v>21.777777777777757</v>
      </c>
      <c r="G285" s="5">
        <f t="shared" si="23"/>
        <v>0.10852713178294568</v>
      </c>
    </row>
    <row r="286" spans="1:7" ht="15.75" customHeight="1">
      <c r="A286" s="3">
        <v>21835</v>
      </c>
      <c r="B286" s="4">
        <v>40</v>
      </c>
      <c r="C286" s="8">
        <f t="shared" si="24"/>
        <v>47</v>
      </c>
      <c r="D286" s="8">
        <f t="shared" si="20"/>
        <v>-7</v>
      </c>
      <c r="E286" s="8">
        <f t="shared" si="21"/>
        <v>7</v>
      </c>
      <c r="F286" s="8">
        <f t="shared" si="22"/>
        <v>49</v>
      </c>
      <c r="G286" s="5">
        <f t="shared" si="23"/>
        <v>0.17499999999999999</v>
      </c>
    </row>
    <row r="287" spans="1:7" ht="15.75" customHeight="1">
      <c r="A287" s="3">
        <v>21836</v>
      </c>
      <c r="B287" s="4">
        <v>59</v>
      </c>
      <c r="C287" s="8">
        <f t="shared" si="24"/>
        <v>43.666666666666664</v>
      </c>
      <c r="D287" s="8">
        <f t="shared" si="20"/>
        <v>15.333333333333336</v>
      </c>
      <c r="E287" s="8">
        <f t="shared" si="21"/>
        <v>15.333333333333336</v>
      </c>
      <c r="F287" s="8">
        <f t="shared" si="22"/>
        <v>235.11111111111117</v>
      </c>
      <c r="G287" s="5">
        <f t="shared" si="23"/>
        <v>0.25988700564971756</v>
      </c>
    </row>
    <row r="288" spans="1:7" ht="15.75" customHeight="1">
      <c r="A288" s="3">
        <v>21837</v>
      </c>
      <c r="B288" s="4">
        <v>41</v>
      </c>
      <c r="C288" s="8">
        <f t="shared" si="24"/>
        <v>47.333333333333336</v>
      </c>
      <c r="D288" s="8">
        <f t="shared" si="20"/>
        <v>-6.3333333333333357</v>
      </c>
      <c r="E288" s="8">
        <f t="shared" si="21"/>
        <v>6.3333333333333357</v>
      </c>
      <c r="F288" s="8">
        <f t="shared" si="22"/>
        <v>40.111111111111143</v>
      </c>
      <c r="G288" s="5">
        <f t="shared" si="23"/>
        <v>0.15447154471544722</v>
      </c>
    </row>
    <row r="289" spans="1:7" ht="15.75" customHeight="1">
      <c r="A289" s="3">
        <v>21838</v>
      </c>
      <c r="B289" s="4">
        <v>42</v>
      </c>
      <c r="C289" s="8">
        <f t="shared" si="24"/>
        <v>46.666666666666664</v>
      </c>
      <c r="D289" s="8">
        <f t="shared" si="20"/>
        <v>-4.6666666666666643</v>
      </c>
      <c r="E289" s="8">
        <f t="shared" si="21"/>
        <v>4.6666666666666643</v>
      </c>
      <c r="F289" s="8">
        <f t="shared" si="22"/>
        <v>21.777777777777757</v>
      </c>
      <c r="G289" s="5">
        <f t="shared" si="23"/>
        <v>0.11111111111111105</v>
      </c>
    </row>
    <row r="290" spans="1:7" ht="15.75" customHeight="1">
      <c r="A290" s="3">
        <v>21839</v>
      </c>
      <c r="B290" s="4">
        <v>51</v>
      </c>
      <c r="C290" s="8">
        <f t="shared" si="24"/>
        <v>47.333333333333336</v>
      </c>
      <c r="D290" s="8">
        <f t="shared" si="20"/>
        <v>3.6666666666666643</v>
      </c>
      <c r="E290" s="8">
        <f t="shared" si="21"/>
        <v>3.6666666666666643</v>
      </c>
      <c r="F290" s="8">
        <f t="shared" si="22"/>
        <v>13.444444444444427</v>
      </c>
      <c r="G290" s="5">
        <f t="shared" si="23"/>
        <v>7.189542483660126E-2</v>
      </c>
    </row>
    <row r="291" spans="1:7" ht="15.75" customHeight="1">
      <c r="A291" s="3">
        <v>21840</v>
      </c>
      <c r="B291" s="4">
        <v>49</v>
      </c>
      <c r="C291" s="8">
        <f t="shared" si="24"/>
        <v>44.666666666666664</v>
      </c>
      <c r="D291" s="8">
        <f t="shared" si="20"/>
        <v>4.3333333333333357</v>
      </c>
      <c r="E291" s="8">
        <f t="shared" si="21"/>
        <v>4.3333333333333357</v>
      </c>
      <c r="F291" s="8">
        <f t="shared" si="22"/>
        <v>18.7777777777778</v>
      </c>
      <c r="G291" s="5">
        <f t="shared" si="23"/>
        <v>8.8435374149659907E-2</v>
      </c>
    </row>
    <row r="292" spans="1:7" ht="15.75" customHeight="1">
      <c r="A292" s="3">
        <v>21841</v>
      </c>
      <c r="B292" s="4">
        <v>45</v>
      </c>
      <c r="C292" s="8">
        <f t="shared" si="24"/>
        <v>47.333333333333336</v>
      </c>
      <c r="D292" s="8">
        <f t="shared" si="20"/>
        <v>-2.3333333333333357</v>
      </c>
      <c r="E292" s="8">
        <f t="shared" si="21"/>
        <v>2.3333333333333357</v>
      </c>
      <c r="F292" s="8">
        <f t="shared" si="22"/>
        <v>5.4444444444444553</v>
      </c>
      <c r="G292" s="5">
        <f t="shared" si="23"/>
        <v>5.1851851851851906E-2</v>
      </c>
    </row>
    <row r="293" spans="1:7" ht="15.75" customHeight="1">
      <c r="A293" s="3">
        <v>21842</v>
      </c>
      <c r="B293" s="4">
        <v>43</v>
      </c>
      <c r="C293" s="8">
        <f t="shared" si="24"/>
        <v>48.333333333333336</v>
      </c>
      <c r="D293" s="8">
        <f t="shared" si="20"/>
        <v>-5.3333333333333357</v>
      </c>
      <c r="E293" s="8">
        <f t="shared" si="21"/>
        <v>5.3333333333333357</v>
      </c>
      <c r="F293" s="8">
        <f t="shared" si="22"/>
        <v>28.444444444444471</v>
      </c>
      <c r="G293" s="5">
        <f t="shared" si="23"/>
        <v>0.12403100775193804</v>
      </c>
    </row>
    <row r="294" spans="1:7" ht="15.75" customHeight="1">
      <c r="A294" s="3">
        <v>21843</v>
      </c>
      <c r="B294" s="4">
        <v>42</v>
      </c>
      <c r="C294" s="8">
        <f t="shared" si="24"/>
        <v>45.666666666666664</v>
      </c>
      <c r="D294" s="8">
        <f t="shared" si="20"/>
        <v>-3.6666666666666643</v>
      </c>
      <c r="E294" s="8">
        <f t="shared" si="21"/>
        <v>3.6666666666666643</v>
      </c>
      <c r="F294" s="8">
        <f t="shared" si="22"/>
        <v>13.444444444444427</v>
      </c>
      <c r="G294" s="5">
        <f t="shared" si="23"/>
        <v>8.7301587301587241E-2</v>
      </c>
    </row>
    <row r="295" spans="1:7" ht="15.75" customHeight="1">
      <c r="A295" s="3">
        <v>21844</v>
      </c>
      <c r="B295" s="4">
        <v>38</v>
      </c>
      <c r="C295" s="8">
        <f t="shared" si="24"/>
        <v>43.333333333333336</v>
      </c>
      <c r="D295" s="8">
        <f t="shared" si="20"/>
        <v>-5.3333333333333357</v>
      </c>
      <c r="E295" s="8">
        <f t="shared" si="21"/>
        <v>5.3333333333333357</v>
      </c>
      <c r="F295" s="8">
        <f t="shared" si="22"/>
        <v>28.444444444444471</v>
      </c>
      <c r="G295" s="5">
        <f t="shared" si="23"/>
        <v>0.14035087719298253</v>
      </c>
    </row>
    <row r="296" spans="1:7" ht="15.75" customHeight="1">
      <c r="A296" s="3">
        <v>21845</v>
      </c>
      <c r="B296" s="4">
        <v>47</v>
      </c>
      <c r="C296" s="8">
        <f t="shared" si="24"/>
        <v>41</v>
      </c>
      <c r="D296" s="8">
        <f t="shared" si="20"/>
        <v>6</v>
      </c>
      <c r="E296" s="8">
        <f t="shared" si="21"/>
        <v>6</v>
      </c>
      <c r="F296" s="8">
        <f t="shared" si="22"/>
        <v>36</v>
      </c>
      <c r="G296" s="5">
        <f t="shared" si="23"/>
        <v>0.1276595744680851</v>
      </c>
    </row>
    <row r="297" spans="1:7" ht="15.75" customHeight="1">
      <c r="A297" s="3">
        <v>21846</v>
      </c>
      <c r="B297" s="4">
        <v>38</v>
      </c>
      <c r="C297" s="8">
        <f t="shared" si="24"/>
        <v>42.333333333333336</v>
      </c>
      <c r="D297" s="8">
        <f t="shared" si="20"/>
        <v>-4.3333333333333357</v>
      </c>
      <c r="E297" s="8">
        <f t="shared" si="21"/>
        <v>4.3333333333333357</v>
      </c>
      <c r="F297" s="8">
        <f t="shared" si="22"/>
        <v>18.7777777777778</v>
      </c>
      <c r="G297" s="5">
        <f t="shared" si="23"/>
        <v>0.11403508771929831</v>
      </c>
    </row>
    <row r="298" spans="1:7" ht="15.75" customHeight="1">
      <c r="A298" s="3">
        <v>21847</v>
      </c>
      <c r="B298" s="4">
        <v>36</v>
      </c>
      <c r="C298" s="8">
        <f t="shared" si="24"/>
        <v>41</v>
      </c>
      <c r="D298" s="8">
        <f t="shared" si="20"/>
        <v>-5</v>
      </c>
      <c r="E298" s="8">
        <f t="shared" si="21"/>
        <v>5</v>
      </c>
      <c r="F298" s="8">
        <f t="shared" si="22"/>
        <v>25</v>
      </c>
      <c r="G298" s="5">
        <f t="shared" si="23"/>
        <v>0.1388888888888889</v>
      </c>
    </row>
    <row r="299" spans="1:7" ht="15.75" customHeight="1">
      <c r="A299" s="3">
        <v>21848</v>
      </c>
      <c r="B299" s="4">
        <v>42</v>
      </c>
      <c r="C299" s="8">
        <f t="shared" si="24"/>
        <v>40.333333333333336</v>
      </c>
      <c r="D299" s="8">
        <f t="shared" si="20"/>
        <v>1.6666666666666643</v>
      </c>
      <c r="E299" s="8">
        <f t="shared" si="21"/>
        <v>1.6666666666666643</v>
      </c>
      <c r="F299" s="8">
        <f t="shared" si="22"/>
        <v>2.7777777777777697</v>
      </c>
      <c r="G299" s="5">
        <f t="shared" si="23"/>
        <v>3.9682539682539625E-2</v>
      </c>
    </row>
    <row r="300" spans="1:7" ht="15.75" customHeight="1">
      <c r="A300" s="3">
        <v>21849</v>
      </c>
      <c r="B300" s="4">
        <v>35</v>
      </c>
      <c r="C300" s="8">
        <f t="shared" si="24"/>
        <v>38.666666666666664</v>
      </c>
      <c r="D300" s="8">
        <f t="shared" si="20"/>
        <v>-3.6666666666666643</v>
      </c>
      <c r="E300" s="8">
        <f t="shared" si="21"/>
        <v>3.6666666666666643</v>
      </c>
      <c r="F300" s="8">
        <f t="shared" si="22"/>
        <v>13.444444444444427</v>
      </c>
      <c r="G300" s="5">
        <f t="shared" si="23"/>
        <v>0.1047619047619047</v>
      </c>
    </row>
    <row r="301" spans="1:7" ht="15.75" customHeight="1">
      <c r="A301" s="3">
        <v>21850</v>
      </c>
      <c r="B301" s="4">
        <v>28</v>
      </c>
      <c r="C301" s="8">
        <f t="shared" si="24"/>
        <v>37.666666666666664</v>
      </c>
      <c r="D301" s="8">
        <f t="shared" si="20"/>
        <v>-9.6666666666666643</v>
      </c>
      <c r="E301" s="8">
        <f t="shared" si="21"/>
        <v>9.6666666666666643</v>
      </c>
      <c r="F301" s="8">
        <f t="shared" si="22"/>
        <v>93.4444444444444</v>
      </c>
      <c r="G301" s="5">
        <f t="shared" si="23"/>
        <v>0.34523809523809518</v>
      </c>
    </row>
    <row r="302" spans="1:7" ht="15.75" customHeight="1">
      <c r="A302" s="3">
        <v>21851</v>
      </c>
      <c r="B302" s="4">
        <v>44</v>
      </c>
      <c r="C302" s="8">
        <f t="shared" si="24"/>
        <v>35</v>
      </c>
      <c r="D302" s="8">
        <f t="shared" si="20"/>
        <v>9</v>
      </c>
      <c r="E302" s="8">
        <f t="shared" si="21"/>
        <v>9</v>
      </c>
      <c r="F302" s="8">
        <f t="shared" si="22"/>
        <v>81</v>
      </c>
      <c r="G302" s="5">
        <f t="shared" si="23"/>
        <v>0.20454545454545456</v>
      </c>
    </row>
    <row r="303" spans="1:7" ht="15.75" customHeight="1">
      <c r="A303" s="3">
        <v>21852</v>
      </c>
      <c r="B303" s="4">
        <v>36</v>
      </c>
      <c r="C303" s="8">
        <f t="shared" si="24"/>
        <v>35.666666666666664</v>
      </c>
      <c r="D303" s="8">
        <f t="shared" si="20"/>
        <v>0.3333333333333357</v>
      </c>
      <c r="E303" s="8">
        <f t="shared" si="21"/>
        <v>0.3333333333333357</v>
      </c>
      <c r="F303" s="8">
        <f t="shared" si="22"/>
        <v>0.11111111111111269</v>
      </c>
      <c r="G303" s="5">
        <f t="shared" si="23"/>
        <v>9.2592592592593247E-3</v>
      </c>
    </row>
    <row r="304" spans="1:7" ht="15.75" customHeight="1">
      <c r="A304" s="3">
        <v>21853</v>
      </c>
      <c r="B304" s="4">
        <v>45</v>
      </c>
      <c r="C304" s="8">
        <f t="shared" si="24"/>
        <v>36</v>
      </c>
      <c r="D304" s="8">
        <f t="shared" si="20"/>
        <v>9</v>
      </c>
      <c r="E304" s="8">
        <f t="shared" si="21"/>
        <v>9</v>
      </c>
      <c r="F304" s="8">
        <f t="shared" si="22"/>
        <v>81</v>
      </c>
      <c r="G304" s="5">
        <f t="shared" si="23"/>
        <v>0.2</v>
      </c>
    </row>
    <row r="305" spans="1:7" ht="15.75" customHeight="1">
      <c r="A305" s="3">
        <v>21854</v>
      </c>
      <c r="B305" s="4">
        <v>46</v>
      </c>
      <c r="C305" s="8">
        <f t="shared" si="24"/>
        <v>41.666666666666664</v>
      </c>
      <c r="D305" s="8">
        <f t="shared" si="20"/>
        <v>4.3333333333333357</v>
      </c>
      <c r="E305" s="8">
        <f t="shared" si="21"/>
        <v>4.3333333333333357</v>
      </c>
      <c r="F305" s="8">
        <f t="shared" si="22"/>
        <v>18.7777777777778</v>
      </c>
      <c r="G305" s="5">
        <f t="shared" si="23"/>
        <v>9.4202898550724695E-2</v>
      </c>
    </row>
    <row r="306" spans="1:7" ht="15.75" customHeight="1">
      <c r="A306" s="3">
        <v>21855</v>
      </c>
      <c r="B306" s="4">
        <v>48</v>
      </c>
      <c r="C306" s="8">
        <f t="shared" si="24"/>
        <v>42.333333333333336</v>
      </c>
      <c r="D306" s="8">
        <f t="shared" si="20"/>
        <v>5.6666666666666643</v>
      </c>
      <c r="E306" s="8">
        <f t="shared" si="21"/>
        <v>5.6666666666666643</v>
      </c>
      <c r="F306" s="8">
        <f t="shared" si="22"/>
        <v>32.111111111111086</v>
      </c>
      <c r="G306" s="5">
        <f t="shared" si="23"/>
        <v>0.11805555555555551</v>
      </c>
    </row>
    <row r="307" spans="1:7" ht="15.75" customHeight="1">
      <c r="A307" s="3">
        <v>21856</v>
      </c>
      <c r="B307" s="4">
        <v>49</v>
      </c>
      <c r="C307" s="8">
        <f t="shared" si="24"/>
        <v>46.333333333333336</v>
      </c>
      <c r="D307" s="8">
        <f t="shared" si="20"/>
        <v>2.6666666666666643</v>
      </c>
      <c r="E307" s="8">
        <f t="shared" si="21"/>
        <v>2.6666666666666643</v>
      </c>
      <c r="F307" s="8">
        <f t="shared" si="22"/>
        <v>7.1111111111110983</v>
      </c>
      <c r="G307" s="5">
        <f t="shared" si="23"/>
        <v>5.4421768707482943E-2</v>
      </c>
    </row>
    <row r="308" spans="1:7" ht="15.75" customHeight="1">
      <c r="A308" s="3">
        <v>21857</v>
      </c>
      <c r="B308" s="4">
        <v>43</v>
      </c>
      <c r="C308" s="8">
        <f t="shared" si="24"/>
        <v>47.666666666666664</v>
      </c>
      <c r="D308" s="8">
        <f t="shared" si="20"/>
        <v>-4.6666666666666643</v>
      </c>
      <c r="E308" s="8">
        <f t="shared" si="21"/>
        <v>4.6666666666666643</v>
      </c>
      <c r="F308" s="8">
        <f t="shared" si="22"/>
        <v>21.777777777777757</v>
      </c>
      <c r="G308" s="5">
        <f t="shared" si="23"/>
        <v>0.10852713178294568</v>
      </c>
    </row>
    <row r="309" spans="1:7" ht="15.75" customHeight="1">
      <c r="A309" s="3">
        <v>21858</v>
      </c>
      <c r="B309" s="4">
        <v>42</v>
      </c>
      <c r="C309" s="8">
        <f t="shared" si="24"/>
        <v>46.666666666666664</v>
      </c>
      <c r="D309" s="8">
        <f t="shared" si="20"/>
        <v>-4.6666666666666643</v>
      </c>
      <c r="E309" s="8">
        <f t="shared" si="21"/>
        <v>4.6666666666666643</v>
      </c>
      <c r="F309" s="8">
        <f t="shared" si="22"/>
        <v>21.777777777777757</v>
      </c>
      <c r="G309" s="5">
        <f t="shared" si="23"/>
        <v>0.11111111111111105</v>
      </c>
    </row>
    <row r="310" spans="1:7" ht="15.75" customHeight="1">
      <c r="A310" s="3">
        <v>21859</v>
      </c>
      <c r="B310" s="4">
        <v>59</v>
      </c>
      <c r="C310" s="8">
        <f t="shared" si="24"/>
        <v>44.666666666666664</v>
      </c>
      <c r="D310" s="8">
        <f t="shared" si="20"/>
        <v>14.333333333333336</v>
      </c>
      <c r="E310" s="8">
        <f t="shared" si="21"/>
        <v>14.333333333333336</v>
      </c>
      <c r="F310" s="8">
        <f t="shared" si="22"/>
        <v>205.44444444444451</v>
      </c>
      <c r="G310" s="5">
        <f t="shared" si="23"/>
        <v>0.24293785310734467</v>
      </c>
    </row>
    <row r="311" spans="1:7" ht="15.75" customHeight="1">
      <c r="A311" s="3">
        <v>21860</v>
      </c>
      <c r="B311" s="4">
        <v>45</v>
      </c>
      <c r="C311" s="8">
        <f t="shared" si="24"/>
        <v>48</v>
      </c>
      <c r="D311" s="8">
        <f t="shared" si="20"/>
        <v>-3</v>
      </c>
      <c r="E311" s="8">
        <f t="shared" si="21"/>
        <v>3</v>
      </c>
      <c r="F311" s="8">
        <f t="shared" si="22"/>
        <v>9</v>
      </c>
      <c r="G311" s="5">
        <f t="shared" si="23"/>
        <v>6.6666666666666666E-2</v>
      </c>
    </row>
    <row r="312" spans="1:7" ht="15.75" customHeight="1">
      <c r="A312" s="3">
        <v>21861</v>
      </c>
      <c r="B312" s="4">
        <v>52</v>
      </c>
      <c r="C312" s="8">
        <f t="shared" si="24"/>
        <v>48.666666666666664</v>
      </c>
      <c r="D312" s="8">
        <f t="shared" si="20"/>
        <v>3.3333333333333357</v>
      </c>
      <c r="E312" s="8">
        <f t="shared" si="21"/>
        <v>3.3333333333333357</v>
      </c>
      <c r="F312" s="8">
        <f t="shared" si="22"/>
        <v>11.111111111111127</v>
      </c>
      <c r="G312" s="5">
        <f t="shared" si="23"/>
        <v>6.4102564102564152E-2</v>
      </c>
    </row>
    <row r="313" spans="1:7" ht="15.75" customHeight="1">
      <c r="A313" s="3">
        <v>21862</v>
      </c>
      <c r="B313" s="4">
        <v>46</v>
      </c>
      <c r="C313" s="8">
        <f t="shared" si="24"/>
        <v>52</v>
      </c>
      <c r="D313" s="8">
        <f t="shared" si="20"/>
        <v>-6</v>
      </c>
      <c r="E313" s="8">
        <f t="shared" si="21"/>
        <v>6</v>
      </c>
      <c r="F313" s="8">
        <f t="shared" si="22"/>
        <v>36</v>
      </c>
      <c r="G313" s="5">
        <f t="shared" si="23"/>
        <v>0.13043478260869565</v>
      </c>
    </row>
    <row r="314" spans="1:7" ht="15.75" customHeight="1">
      <c r="A314" s="3">
        <v>21863</v>
      </c>
      <c r="B314" s="4">
        <v>42</v>
      </c>
      <c r="C314" s="8">
        <f t="shared" si="24"/>
        <v>47.666666666666664</v>
      </c>
      <c r="D314" s="8">
        <f t="shared" si="20"/>
        <v>-5.6666666666666643</v>
      </c>
      <c r="E314" s="8">
        <f t="shared" si="21"/>
        <v>5.6666666666666643</v>
      </c>
      <c r="F314" s="8">
        <f t="shared" si="22"/>
        <v>32.111111111111086</v>
      </c>
      <c r="G314" s="5">
        <f t="shared" si="23"/>
        <v>0.13492063492063486</v>
      </c>
    </row>
    <row r="315" spans="1:7" ht="15.75" customHeight="1">
      <c r="A315" s="3">
        <v>21864</v>
      </c>
      <c r="B315" s="4">
        <v>40</v>
      </c>
      <c r="C315" s="8">
        <f t="shared" si="24"/>
        <v>46.666666666666664</v>
      </c>
      <c r="D315" s="8">
        <f t="shared" si="20"/>
        <v>-6.6666666666666643</v>
      </c>
      <c r="E315" s="8">
        <f t="shared" si="21"/>
        <v>6.6666666666666643</v>
      </c>
      <c r="F315" s="8">
        <f t="shared" si="22"/>
        <v>44.444444444444414</v>
      </c>
      <c r="G315" s="5">
        <f t="shared" si="23"/>
        <v>0.1666666666666666</v>
      </c>
    </row>
    <row r="316" spans="1:7" ht="15.75" customHeight="1">
      <c r="A316" s="3">
        <v>21865</v>
      </c>
      <c r="B316" s="4">
        <v>40</v>
      </c>
      <c r="C316" s="8">
        <f t="shared" si="24"/>
        <v>42.666666666666664</v>
      </c>
      <c r="D316" s="8">
        <f t="shared" si="20"/>
        <v>-2.6666666666666643</v>
      </c>
      <c r="E316" s="8">
        <f t="shared" si="21"/>
        <v>2.6666666666666643</v>
      </c>
      <c r="F316" s="8">
        <f t="shared" si="22"/>
        <v>7.1111111111110983</v>
      </c>
      <c r="G316" s="5">
        <f t="shared" si="23"/>
        <v>6.666666666666661E-2</v>
      </c>
    </row>
    <row r="317" spans="1:7" ht="15.75" customHeight="1">
      <c r="A317" s="3">
        <v>21866</v>
      </c>
      <c r="B317" s="4">
        <v>45</v>
      </c>
      <c r="C317" s="8">
        <f t="shared" si="24"/>
        <v>40.666666666666664</v>
      </c>
      <c r="D317" s="8">
        <f t="shared" si="20"/>
        <v>4.3333333333333357</v>
      </c>
      <c r="E317" s="8">
        <f t="shared" si="21"/>
        <v>4.3333333333333357</v>
      </c>
      <c r="F317" s="8">
        <f t="shared" si="22"/>
        <v>18.7777777777778</v>
      </c>
      <c r="G317" s="5">
        <f t="shared" si="23"/>
        <v>9.6296296296296352E-2</v>
      </c>
    </row>
    <row r="318" spans="1:7" ht="15.75" customHeight="1">
      <c r="A318" s="3">
        <v>21867</v>
      </c>
      <c r="B318" s="4">
        <v>35</v>
      </c>
      <c r="C318" s="8">
        <f t="shared" si="24"/>
        <v>41.666666666666664</v>
      </c>
      <c r="D318" s="8">
        <f t="shared" si="20"/>
        <v>-6.6666666666666643</v>
      </c>
      <c r="E318" s="8">
        <f t="shared" si="21"/>
        <v>6.6666666666666643</v>
      </c>
      <c r="F318" s="8">
        <f t="shared" si="22"/>
        <v>44.444444444444414</v>
      </c>
      <c r="G318" s="5">
        <f t="shared" si="23"/>
        <v>0.19047619047619041</v>
      </c>
    </row>
    <row r="319" spans="1:7" ht="15.75" customHeight="1">
      <c r="A319" s="3">
        <v>21868</v>
      </c>
      <c r="B319" s="4">
        <v>35</v>
      </c>
      <c r="C319" s="8">
        <f t="shared" si="24"/>
        <v>40</v>
      </c>
      <c r="D319" s="8">
        <f t="shared" si="20"/>
        <v>-5</v>
      </c>
      <c r="E319" s="8">
        <f t="shared" si="21"/>
        <v>5</v>
      </c>
      <c r="F319" s="8">
        <f t="shared" si="22"/>
        <v>25</v>
      </c>
      <c r="G319" s="5">
        <f t="shared" si="23"/>
        <v>0.14285714285714285</v>
      </c>
    </row>
    <row r="320" spans="1:7" ht="15.75" customHeight="1">
      <c r="A320" s="3">
        <v>21869</v>
      </c>
      <c r="B320" s="4">
        <v>40</v>
      </c>
      <c r="C320" s="8">
        <f t="shared" si="24"/>
        <v>38.333333333333336</v>
      </c>
      <c r="D320" s="8">
        <f t="shared" si="20"/>
        <v>1.6666666666666643</v>
      </c>
      <c r="E320" s="8">
        <f t="shared" si="21"/>
        <v>1.6666666666666643</v>
      </c>
      <c r="F320" s="8">
        <f t="shared" si="22"/>
        <v>2.7777777777777697</v>
      </c>
      <c r="G320" s="5">
        <f t="shared" si="23"/>
        <v>4.1666666666666609E-2</v>
      </c>
    </row>
    <row r="321" spans="1:7" ht="15.75" customHeight="1">
      <c r="A321" s="3">
        <v>21870</v>
      </c>
      <c r="B321" s="4">
        <v>39</v>
      </c>
      <c r="C321" s="8">
        <f t="shared" si="24"/>
        <v>36.666666666666664</v>
      </c>
      <c r="D321" s="8">
        <f t="shared" si="20"/>
        <v>2.3333333333333357</v>
      </c>
      <c r="E321" s="8">
        <f t="shared" si="21"/>
        <v>2.3333333333333357</v>
      </c>
      <c r="F321" s="8">
        <f t="shared" si="22"/>
        <v>5.4444444444444553</v>
      </c>
      <c r="G321" s="5">
        <f t="shared" si="23"/>
        <v>5.9829059829059887E-2</v>
      </c>
    </row>
    <row r="322" spans="1:7" ht="15.75" customHeight="1">
      <c r="A322" s="3">
        <v>21871</v>
      </c>
      <c r="B322" s="4">
        <v>33</v>
      </c>
      <c r="C322" s="8">
        <f t="shared" si="24"/>
        <v>38</v>
      </c>
      <c r="D322" s="8">
        <f t="shared" si="20"/>
        <v>-5</v>
      </c>
      <c r="E322" s="8">
        <f t="shared" si="21"/>
        <v>5</v>
      </c>
      <c r="F322" s="8">
        <f t="shared" si="22"/>
        <v>25</v>
      </c>
      <c r="G322" s="5">
        <f t="shared" si="23"/>
        <v>0.15151515151515152</v>
      </c>
    </row>
    <row r="323" spans="1:7" ht="15.75" customHeight="1">
      <c r="A323" s="3">
        <v>21872</v>
      </c>
      <c r="B323" s="4">
        <v>42</v>
      </c>
      <c r="C323" s="8">
        <f t="shared" si="24"/>
        <v>37.333333333333336</v>
      </c>
      <c r="D323" s="8">
        <f t="shared" si="20"/>
        <v>4.6666666666666643</v>
      </c>
      <c r="E323" s="8">
        <f t="shared" si="21"/>
        <v>4.6666666666666643</v>
      </c>
      <c r="F323" s="8">
        <f t="shared" si="22"/>
        <v>21.777777777777757</v>
      </c>
      <c r="G323" s="5">
        <f t="shared" si="23"/>
        <v>0.11111111111111105</v>
      </c>
    </row>
    <row r="324" spans="1:7" ht="15.75" customHeight="1">
      <c r="A324" s="3">
        <v>21873</v>
      </c>
      <c r="B324" s="4">
        <v>47</v>
      </c>
      <c r="C324" s="8">
        <f t="shared" si="24"/>
        <v>38</v>
      </c>
      <c r="D324" s="8">
        <f t="shared" si="20"/>
        <v>9</v>
      </c>
      <c r="E324" s="8">
        <f t="shared" si="21"/>
        <v>9</v>
      </c>
      <c r="F324" s="8">
        <f t="shared" si="22"/>
        <v>81</v>
      </c>
      <c r="G324" s="5">
        <f t="shared" si="23"/>
        <v>0.19148936170212766</v>
      </c>
    </row>
    <row r="325" spans="1:7" ht="15.75" customHeight="1">
      <c r="A325" s="3">
        <v>21874</v>
      </c>
      <c r="B325" s="4">
        <v>51</v>
      </c>
      <c r="C325" s="8">
        <f t="shared" si="24"/>
        <v>40.666666666666664</v>
      </c>
      <c r="D325" s="8">
        <f t="shared" si="20"/>
        <v>10.333333333333336</v>
      </c>
      <c r="E325" s="8">
        <f t="shared" si="21"/>
        <v>10.333333333333336</v>
      </c>
      <c r="F325" s="8">
        <f t="shared" si="22"/>
        <v>106.77777777777783</v>
      </c>
      <c r="G325" s="5">
        <f t="shared" si="23"/>
        <v>0.20261437908496738</v>
      </c>
    </row>
    <row r="326" spans="1:7" ht="15.75" customHeight="1">
      <c r="A326" s="3">
        <v>21875</v>
      </c>
      <c r="B326" s="4">
        <v>44</v>
      </c>
      <c r="C326" s="8">
        <f t="shared" si="24"/>
        <v>46.666666666666664</v>
      </c>
      <c r="D326" s="8">
        <f t="shared" ref="D326:D366" si="25">B326-C326</f>
        <v>-2.6666666666666643</v>
      </c>
      <c r="E326" s="8">
        <f t="shared" ref="E326:E366" si="26">ABS(D326)</f>
        <v>2.6666666666666643</v>
      </c>
      <c r="F326" s="8">
        <f t="shared" ref="F326:F366" si="27">E326^2</f>
        <v>7.1111111111110983</v>
      </c>
      <c r="G326" s="5">
        <f t="shared" ref="G326:G366" si="28">E326/B326</f>
        <v>6.0606060606060552E-2</v>
      </c>
    </row>
    <row r="327" spans="1:7" ht="15.75" customHeight="1">
      <c r="A327" s="3">
        <v>21876</v>
      </c>
      <c r="B327" s="4">
        <v>40</v>
      </c>
      <c r="C327" s="8">
        <f t="shared" ref="C327:C366" si="29">AVERAGE(B324:B326)</f>
        <v>47.333333333333336</v>
      </c>
      <c r="D327" s="8">
        <f t="shared" si="25"/>
        <v>-7.3333333333333357</v>
      </c>
      <c r="E327" s="8">
        <f t="shared" si="26"/>
        <v>7.3333333333333357</v>
      </c>
      <c r="F327" s="8">
        <f t="shared" si="27"/>
        <v>53.777777777777814</v>
      </c>
      <c r="G327" s="5">
        <f t="shared" si="28"/>
        <v>0.1833333333333334</v>
      </c>
    </row>
    <row r="328" spans="1:7" ht="15.75" customHeight="1">
      <c r="A328" s="3">
        <v>21877</v>
      </c>
      <c r="B328" s="4">
        <v>57</v>
      </c>
      <c r="C328" s="8">
        <f t="shared" si="29"/>
        <v>45</v>
      </c>
      <c r="D328" s="8">
        <f t="shared" si="25"/>
        <v>12</v>
      </c>
      <c r="E328" s="8">
        <f t="shared" si="26"/>
        <v>12</v>
      </c>
      <c r="F328" s="8">
        <f t="shared" si="27"/>
        <v>144</v>
      </c>
      <c r="G328" s="5">
        <f t="shared" si="28"/>
        <v>0.21052631578947367</v>
      </c>
    </row>
    <row r="329" spans="1:7" ht="15.75" customHeight="1">
      <c r="A329" s="3">
        <v>21878</v>
      </c>
      <c r="B329" s="4">
        <v>49</v>
      </c>
      <c r="C329" s="8">
        <f t="shared" si="29"/>
        <v>47</v>
      </c>
      <c r="D329" s="8">
        <f t="shared" si="25"/>
        <v>2</v>
      </c>
      <c r="E329" s="8">
        <f t="shared" si="26"/>
        <v>2</v>
      </c>
      <c r="F329" s="8">
        <f t="shared" si="27"/>
        <v>4</v>
      </c>
      <c r="G329" s="5">
        <f t="shared" si="28"/>
        <v>4.0816326530612242E-2</v>
      </c>
    </row>
    <row r="330" spans="1:7" ht="15.75" customHeight="1">
      <c r="A330" s="3">
        <v>21879</v>
      </c>
      <c r="B330" s="4">
        <v>45</v>
      </c>
      <c r="C330" s="8">
        <f t="shared" si="29"/>
        <v>48.666666666666664</v>
      </c>
      <c r="D330" s="8">
        <f t="shared" si="25"/>
        <v>-3.6666666666666643</v>
      </c>
      <c r="E330" s="8">
        <f t="shared" si="26"/>
        <v>3.6666666666666643</v>
      </c>
      <c r="F330" s="8">
        <f t="shared" si="27"/>
        <v>13.444444444444427</v>
      </c>
      <c r="G330" s="5">
        <f t="shared" si="28"/>
        <v>8.1481481481481433E-2</v>
      </c>
    </row>
    <row r="331" spans="1:7" ht="15.75" customHeight="1">
      <c r="A331" s="3">
        <v>21880</v>
      </c>
      <c r="B331" s="4">
        <v>49</v>
      </c>
      <c r="C331" s="8">
        <f t="shared" si="29"/>
        <v>50.333333333333336</v>
      </c>
      <c r="D331" s="8">
        <f t="shared" si="25"/>
        <v>-1.3333333333333357</v>
      </c>
      <c r="E331" s="8">
        <f t="shared" si="26"/>
        <v>1.3333333333333357</v>
      </c>
      <c r="F331" s="8">
        <f t="shared" si="27"/>
        <v>1.7777777777777841</v>
      </c>
      <c r="G331" s="5">
        <f t="shared" si="28"/>
        <v>2.7210884353741544E-2</v>
      </c>
    </row>
    <row r="332" spans="1:7" ht="15.75" customHeight="1">
      <c r="A332" s="3">
        <v>21881</v>
      </c>
      <c r="B332" s="4">
        <v>51</v>
      </c>
      <c r="C332" s="8">
        <f t="shared" si="29"/>
        <v>47.666666666666664</v>
      </c>
      <c r="D332" s="8">
        <f t="shared" si="25"/>
        <v>3.3333333333333357</v>
      </c>
      <c r="E332" s="8">
        <f t="shared" si="26"/>
        <v>3.3333333333333357</v>
      </c>
      <c r="F332" s="8">
        <f t="shared" si="27"/>
        <v>11.111111111111127</v>
      </c>
      <c r="G332" s="5">
        <f t="shared" si="28"/>
        <v>6.5359477124183052E-2</v>
      </c>
    </row>
    <row r="333" spans="1:7" ht="15.75" customHeight="1">
      <c r="A333" s="3">
        <v>21882</v>
      </c>
      <c r="B333" s="4">
        <v>46</v>
      </c>
      <c r="C333" s="8">
        <f t="shared" si="29"/>
        <v>48.333333333333336</v>
      </c>
      <c r="D333" s="8">
        <f t="shared" si="25"/>
        <v>-2.3333333333333357</v>
      </c>
      <c r="E333" s="8">
        <f t="shared" si="26"/>
        <v>2.3333333333333357</v>
      </c>
      <c r="F333" s="8">
        <f t="shared" si="27"/>
        <v>5.4444444444444553</v>
      </c>
      <c r="G333" s="5">
        <f t="shared" si="28"/>
        <v>5.0724637681159472E-2</v>
      </c>
    </row>
    <row r="334" spans="1:7" ht="15.75" customHeight="1">
      <c r="A334" s="3">
        <v>21883</v>
      </c>
      <c r="B334" s="4">
        <v>44</v>
      </c>
      <c r="C334" s="8">
        <f t="shared" si="29"/>
        <v>48.666666666666664</v>
      </c>
      <c r="D334" s="8">
        <f t="shared" si="25"/>
        <v>-4.6666666666666643</v>
      </c>
      <c r="E334" s="8">
        <f t="shared" si="26"/>
        <v>4.6666666666666643</v>
      </c>
      <c r="F334" s="8">
        <f t="shared" si="27"/>
        <v>21.777777777777757</v>
      </c>
      <c r="G334" s="5">
        <f t="shared" si="28"/>
        <v>0.10606060606060601</v>
      </c>
    </row>
    <row r="335" spans="1:7" ht="15.75" customHeight="1">
      <c r="A335" s="3">
        <v>21884</v>
      </c>
      <c r="B335" s="4">
        <v>52</v>
      </c>
      <c r="C335" s="8">
        <f t="shared" si="29"/>
        <v>47</v>
      </c>
      <c r="D335" s="8">
        <f t="shared" si="25"/>
        <v>5</v>
      </c>
      <c r="E335" s="8">
        <f t="shared" si="26"/>
        <v>5</v>
      </c>
      <c r="F335" s="8">
        <f t="shared" si="27"/>
        <v>25</v>
      </c>
      <c r="G335" s="5">
        <f t="shared" si="28"/>
        <v>9.6153846153846159E-2</v>
      </c>
    </row>
    <row r="336" spans="1:7" ht="15.75" customHeight="1">
      <c r="A336" s="3">
        <v>21885</v>
      </c>
      <c r="B336" s="4">
        <v>45</v>
      </c>
      <c r="C336" s="8">
        <f t="shared" si="29"/>
        <v>47.333333333333336</v>
      </c>
      <c r="D336" s="8">
        <f t="shared" si="25"/>
        <v>-2.3333333333333357</v>
      </c>
      <c r="E336" s="8">
        <f t="shared" si="26"/>
        <v>2.3333333333333357</v>
      </c>
      <c r="F336" s="8">
        <f t="shared" si="27"/>
        <v>5.4444444444444553</v>
      </c>
      <c r="G336" s="5">
        <f t="shared" si="28"/>
        <v>5.1851851851851906E-2</v>
      </c>
    </row>
    <row r="337" spans="1:7" ht="15.75" customHeight="1">
      <c r="A337" s="3">
        <v>21886</v>
      </c>
      <c r="B337" s="4">
        <v>32</v>
      </c>
      <c r="C337" s="8">
        <f t="shared" si="29"/>
        <v>47</v>
      </c>
      <c r="D337" s="8">
        <f t="shared" si="25"/>
        <v>-15</v>
      </c>
      <c r="E337" s="8">
        <f t="shared" si="26"/>
        <v>15</v>
      </c>
      <c r="F337" s="8">
        <f t="shared" si="27"/>
        <v>225</v>
      </c>
      <c r="G337" s="5">
        <f t="shared" si="28"/>
        <v>0.46875</v>
      </c>
    </row>
    <row r="338" spans="1:7" ht="15.75" customHeight="1">
      <c r="A338" s="3">
        <v>21887</v>
      </c>
      <c r="B338" s="4">
        <v>46</v>
      </c>
      <c r="C338" s="8">
        <f t="shared" si="29"/>
        <v>43</v>
      </c>
      <c r="D338" s="8">
        <f t="shared" si="25"/>
        <v>3</v>
      </c>
      <c r="E338" s="8">
        <f t="shared" si="26"/>
        <v>3</v>
      </c>
      <c r="F338" s="8">
        <f t="shared" si="27"/>
        <v>9</v>
      </c>
      <c r="G338" s="5">
        <f t="shared" si="28"/>
        <v>6.5217391304347824E-2</v>
      </c>
    </row>
    <row r="339" spans="1:7" ht="15.75" customHeight="1">
      <c r="A339" s="3">
        <v>21888</v>
      </c>
      <c r="B339" s="4">
        <v>41</v>
      </c>
      <c r="C339" s="8">
        <f t="shared" si="29"/>
        <v>41</v>
      </c>
      <c r="D339" s="8">
        <f t="shared" si="25"/>
        <v>0</v>
      </c>
      <c r="E339" s="8">
        <f t="shared" si="26"/>
        <v>0</v>
      </c>
      <c r="F339" s="8">
        <f t="shared" si="27"/>
        <v>0</v>
      </c>
      <c r="G339" s="5">
        <f t="shared" si="28"/>
        <v>0</v>
      </c>
    </row>
    <row r="340" spans="1:7" ht="15.75" customHeight="1">
      <c r="A340" s="3">
        <v>21889</v>
      </c>
      <c r="B340" s="4">
        <v>34</v>
      </c>
      <c r="C340" s="8">
        <f t="shared" si="29"/>
        <v>39.666666666666664</v>
      </c>
      <c r="D340" s="8">
        <f t="shared" si="25"/>
        <v>-5.6666666666666643</v>
      </c>
      <c r="E340" s="8">
        <f t="shared" si="26"/>
        <v>5.6666666666666643</v>
      </c>
      <c r="F340" s="8">
        <f t="shared" si="27"/>
        <v>32.111111111111086</v>
      </c>
      <c r="G340" s="5">
        <f t="shared" si="28"/>
        <v>0.1666666666666666</v>
      </c>
    </row>
    <row r="341" spans="1:7" ht="15.75" customHeight="1">
      <c r="A341" s="3">
        <v>21890</v>
      </c>
      <c r="B341" s="4">
        <v>33</v>
      </c>
      <c r="C341" s="8">
        <f t="shared" si="29"/>
        <v>40.333333333333336</v>
      </c>
      <c r="D341" s="8">
        <f t="shared" si="25"/>
        <v>-7.3333333333333357</v>
      </c>
      <c r="E341" s="8">
        <f t="shared" si="26"/>
        <v>7.3333333333333357</v>
      </c>
      <c r="F341" s="8">
        <f t="shared" si="27"/>
        <v>53.777777777777814</v>
      </c>
      <c r="G341" s="5">
        <f t="shared" si="28"/>
        <v>0.22222222222222229</v>
      </c>
    </row>
    <row r="342" spans="1:7" ht="15.75" customHeight="1">
      <c r="A342" s="3">
        <v>21891</v>
      </c>
      <c r="B342" s="4">
        <v>36</v>
      </c>
      <c r="C342" s="8">
        <f t="shared" si="29"/>
        <v>36</v>
      </c>
      <c r="D342" s="8">
        <f t="shared" si="25"/>
        <v>0</v>
      </c>
      <c r="E342" s="8">
        <f t="shared" si="26"/>
        <v>0</v>
      </c>
      <c r="F342" s="8">
        <f t="shared" si="27"/>
        <v>0</v>
      </c>
      <c r="G342" s="5">
        <f t="shared" si="28"/>
        <v>0</v>
      </c>
    </row>
    <row r="343" spans="1:7" ht="15.75" customHeight="1">
      <c r="A343" s="3">
        <v>21892</v>
      </c>
      <c r="B343" s="4">
        <v>49</v>
      </c>
      <c r="C343" s="8">
        <f t="shared" si="29"/>
        <v>34.333333333333336</v>
      </c>
      <c r="D343" s="8">
        <f t="shared" si="25"/>
        <v>14.666666666666664</v>
      </c>
      <c r="E343" s="8">
        <f t="shared" si="26"/>
        <v>14.666666666666664</v>
      </c>
      <c r="F343" s="8">
        <f t="shared" si="27"/>
        <v>215.11111111111103</v>
      </c>
      <c r="G343" s="5">
        <f t="shared" si="28"/>
        <v>0.29931972789115641</v>
      </c>
    </row>
    <row r="344" spans="1:7" ht="15.75" customHeight="1">
      <c r="A344" s="3">
        <v>21893</v>
      </c>
      <c r="B344" s="4">
        <v>43</v>
      </c>
      <c r="C344" s="8">
        <f t="shared" si="29"/>
        <v>39.333333333333336</v>
      </c>
      <c r="D344" s="8">
        <f t="shared" si="25"/>
        <v>3.6666666666666643</v>
      </c>
      <c r="E344" s="8">
        <f t="shared" si="26"/>
        <v>3.6666666666666643</v>
      </c>
      <c r="F344" s="8">
        <f t="shared" si="27"/>
        <v>13.444444444444427</v>
      </c>
      <c r="G344" s="5">
        <f t="shared" si="28"/>
        <v>8.5271317829457308E-2</v>
      </c>
    </row>
    <row r="345" spans="1:7" ht="15.75" customHeight="1">
      <c r="A345" s="3">
        <v>21894</v>
      </c>
      <c r="B345" s="4">
        <v>43</v>
      </c>
      <c r="C345" s="8">
        <f t="shared" si="29"/>
        <v>42.666666666666664</v>
      </c>
      <c r="D345" s="8">
        <f t="shared" si="25"/>
        <v>0.3333333333333357</v>
      </c>
      <c r="E345" s="8">
        <f t="shared" si="26"/>
        <v>0.3333333333333357</v>
      </c>
      <c r="F345" s="8">
        <f t="shared" si="27"/>
        <v>0.11111111111111269</v>
      </c>
      <c r="G345" s="5">
        <f t="shared" si="28"/>
        <v>7.7519379844961794E-3</v>
      </c>
    </row>
    <row r="346" spans="1:7" ht="15.75" customHeight="1">
      <c r="A346" s="3">
        <v>21895</v>
      </c>
      <c r="B346" s="4">
        <v>34</v>
      </c>
      <c r="C346" s="8">
        <f t="shared" si="29"/>
        <v>45</v>
      </c>
      <c r="D346" s="8">
        <f t="shared" si="25"/>
        <v>-11</v>
      </c>
      <c r="E346" s="8">
        <f t="shared" si="26"/>
        <v>11</v>
      </c>
      <c r="F346" s="8">
        <f t="shared" si="27"/>
        <v>121</v>
      </c>
      <c r="G346" s="5">
        <f t="shared" si="28"/>
        <v>0.3235294117647059</v>
      </c>
    </row>
    <row r="347" spans="1:7" ht="15.75" customHeight="1">
      <c r="A347" s="3">
        <v>21896</v>
      </c>
      <c r="B347" s="4">
        <v>39</v>
      </c>
      <c r="C347" s="8">
        <f t="shared" si="29"/>
        <v>40</v>
      </c>
      <c r="D347" s="8">
        <f t="shared" si="25"/>
        <v>-1</v>
      </c>
      <c r="E347" s="8">
        <f t="shared" si="26"/>
        <v>1</v>
      </c>
      <c r="F347" s="8">
        <f t="shared" si="27"/>
        <v>1</v>
      </c>
      <c r="G347" s="5">
        <f t="shared" si="28"/>
        <v>2.564102564102564E-2</v>
      </c>
    </row>
    <row r="348" spans="1:7" ht="15.75" customHeight="1">
      <c r="A348" s="3">
        <v>21897</v>
      </c>
      <c r="B348" s="4">
        <v>35</v>
      </c>
      <c r="C348" s="8">
        <f t="shared" si="29"/>
        <v>38.666666666666664</v>
      </c>
      <c r="D348" s="8">
        <f t="shared" si="25"/>
        <v>-3.6666666666666643</v>
      </c>
      <c r="E348" s="8">
        <f t="shared" si="26"/>
        <v>3.6666666666666643</v>
      </c>
      <c r="F348" s="8">
        <f t="shared" si="27"/>
        <v>13.444444444444427</v>
      </c>
      <c r="G348" s="5">
        <f t="shared" si="28"/>
        <v>0.1047619047619047</v>
      </c>
    </row>
    <row r="349" spans="1:7" ht="15.75" customHeight="1">
      <c r="A349" s="3">
        <v>21898</v>
      </c>
      <c r="B349" s="4">
        <v>52</v>
      </c>
      <c r="C349" s="8">
        <f t="shared" si="29"/>
        <v>36</v>
      </c>
      <c r="D349" s="8">
        <f t="shared" si="25"/>
        <v>16</v>
      </c>
      <c r="E349" s="8">
        <f t="shared" si="26"/>
        <v>16</v>
      </c>
      <c r="F349" s="8">
        <f t="shared" si="27"/>
        <v>256</v>
      </c>
      <c r="G349" s="5">
        <f t="shared" si="28"/>
        <v>0.30769230769230771</v>
      </c>
    </row>
    <row r="350" spans="1:7" ht="15.75" customHeight="1">
      <c r="A350" s="3">
        <v>21899</v>
      </c>
      <c r="B350" s="4">
        <v>47</v>
      </c>
      <c r="C350" s="8">
        <f t="shared" si="29"/>
        <v>42</v>
      </c>
      <c r="D350" s="8">
        <f t="shared" si="25"/>
        <v>5</v>
      </c>
      <c r="E350" s="8">
        <f t="shared" si="26"/>
        <v>5</v>
      </c>
      <c r="F350" s="8">
        <f t="shared" si="27"/>
        <v>25</v>
      </c>
      <c r="G350" s="5">
        <f t="shared" si="28"/>
        <v>0.10638297872340426</v>
      </c>
    </row>
    <row r="351" spans="1:7" ht="15.75" customHeight="1">
      <c r="A351" s="3">
        <v>21900</v>
      </c>
      <c r="B351" s="4">
        <v>52</v>
      </c>
      <c r="C351" s="8">
        <f t="shared" si="29"/>
        <v>44.666666666666664</v>
      </c>
      <c r="D351" s="8">
        <f t="shared" si="25"/>
        <v>7.3333333333333357</v>
      </c>
      <c r="E351" s="8">
        <f t="shared" si="26"/>
        <v>7.3333333333333357</v>
      </c>
      <c r="F351" s="8">
        <f t="shared" si="27"/>
        <v>53.777777777777814</v>
      </c>
      <c r="G351" s="5">
        <f t="shared" si="28"/>
        <v>0.14102564102564108</v>
      </c>
    </row>
    <row r="352" spans="1:7" ht="15.75" customHeight="1">
      <c r="A352" s="3">
        <v>21901</v>
      </c>
      <c r="B352" s="4">
        <v>39</v>
      </c>
      <c r="C352" s="8">
        <f t="shared" si="29"/>
        <v>50.333333333333336</v>
      </c>
      <c r="D352" s="8">
        <f t="shared" si="25"/>
        <v>-11.333333333333336</v>
      </c>
      <c r="E352" s="8">
        <f t="shared" si="26"/>
        <v>11.333333333333336</v>
      </c>
      <c r="F352" s="8">
        <f t="shared" si="27"/>
        <v>128.44444444444449</v>
      </c>
      <c r="G352" s="5">
        <f t="shared" si="28"/>
        <v>0.29059829059829068</v>
      </c>
    </row>
    <row r="353" spans="1:7" ht="15.75" customHeight="1">
      <c r="A353" s="3">
        <v>21902</v>
      </c>
      <c r="B353" s="4">
        <v>40</v>
      </c>
      <c r="C353" s="8">
        <f t="shared" si="29"/>
        <v>46</v>
      </c>
      <c r="D353" s="8">
        <f t="shared" si="25"/>
        <v>-6</v>
      </c>
      <c r="E353" s="8">
        <f t="shared" si="26"/>
        <v>6</v>
      </c>
      <c r="F353" s="8">
        <f t="shared" si="27"/>
        <v>36</v>
      </c>
      <c r="G353" s="5">
        <f t="shared" si="28"/>
        <v>0.15</v>
      </c>
    </row>
    <row r="354" spans="1:7" ht="15.75" customHeight="1">
      <c r="A354" s="3">
        <v>21903</v>
      </c>
      <c r="B354" s="4">
        <v>42</v>
      </c>
      <c r="C354" s="8">
        <f t="shared" si="29"/>
        <v>43.666666666666664</v>
      </c>
      <c r="D354" s="8">
        <f t="shared" si="25"/>
        <v>-1.6666666666666643</v>
      </c>
      <c r="E354" s="8">
        <f t="shared" si="26"/>
        <v>1.6666666666666643</v>
      </c>
      <c r="F354" s="8">
        <f t="shared" si="27"/>
        <v>2.7777777777777697</v>
      </c>
      <c r="G354" s="5">
        <f t="shared" si="28"/>
        <v>3.9682539682539625E-2</v>
      </c>
    </row>
    <row r="355" spans="1:7" ht="15.75" customHeight="1">
      <c r="A355" s="3">
        <v>21904</v>
      </c>
      <c r="B355" s="4">
        <v>42</v>
      </c>
      <c r="C355" s="8">
        <f t="shared" si="29"/>
        <v>40.333333333333336</v>
      </c>
      <c r="D355" s="8">
        <f t="shared" si="25"/>
        <v>1.6666666666666643</v>
      </c>
      <c r="E355" s="8">
        <f t="shared" si="26"/>
        <v>1.6666666666666643</v>
      </c>
      <c r="F355" s="8">
        <f t="shared" si="27"/>
        <v>2.7777777777777697</v>
      </c>
      <c r="G355" s="5">
        <f t="shared" si="28"/>
        <v>3.9682539682539625E-2</v>
      </c>
    </row>
    <row r="356" spans="1:7" ht="15.75" customHeight="1">
      <c r="A356" s="3">
        <v>21905</v>
      </c>
      <c r="B356" s="4">
        <v>53</v>
      </c>
      <c r="C356" s="8">
        <f t="shared" si="29"/>
        <v>41.333333333333336</v>
      </c>
      <c r="D356" s="8">
        <f t="shared" si="25"/>
        <v>11.666666666666664</v>
      </c>
      <c r="E356" s="8">
        <f t="shared" si="26"/>
        <v>11.666666666666664</v>
      </c>
      <c r="F356" s="8">
        <f t="shared" si="27"/>
        <v>136.11111111111106</v>
      </c>
      <c r="G356" s="5">
        <f t="shared" si="28"/>
        <v>0.22012578616352196</v>
      </c>
    </row>
    <row r="357" spans="1:7" ht="15.75" customHeight="1">
      <c r="A357" s="3">
        <v>21906</v>
      </c>
      <c r="B357" s="4">
        <v>39</v>
      </c>
      <c r="C357" s="8">
        <f t="shared" si="29"/>
        <v>45.666666666666664</v>
      </c>
      <c r="D357" s="8">
        <f t="shared" si="25"/>
        <v>-6.6666666666666643</v>
      </c>
      <c r="E357" s="8">
        <f t="shared" si="26"/>
        <v>6.6666666666666643</v>
      </c>
      <c r="F357" s="8">
        <f t="shared" si="27"/>
        <v>44.444444444444414</v>
      </c>
      <c r="G357" s="5">
        <f t="shared" si="28"/>
        <v>0.17094017094017089</v>
      </c>
    </row>
    <row r="358" spans="1:7" ht="15.75" customHeight="1">
      <c r="A358" s="3">
        <v>21907</v>
      </c>
      <c r="B358" s="4">
        <v>40</v>
      </c>
      <c r="C358" s="8">
        <f t="shared" si="29"/>
        <v>44.666666666666664</v>
      </c>
      <c r="D358" s="8">
        <f t="shared" si="25"/>
        <v>-4.6666666666666643</v>
      </c>
      <c r="E358" s="8">
        <f t="shared" si="26"/>
        <v>4.6666666666666643</v>
      </c>
      <c r="F358" s="8">
        <f t="shared" si="27"/>
        <v>21.777777777777757</v>
      </c>
      <c r="G358" s="5">
        <f t="shared" si="28"/>
        <v>0.11666666666666661</v>
      </c>
    </row>
    <row r="359" spans="1:7" ht="15.75" customHeight="1">
      <c r="A359" s="3">
        <v>21908</v>
      </c>
      <c r="B359" s="4">
        <v>38</v>
      </c>
      <c r="C359" s="8">
        <f t="shared" si="29"/>
        <v>44</v>
      </c>
      <c r="D359" s="8">
        <f t="shared" si="25"/>
        <v>-6</v>
      </c>
      <c r="E359" s="8">
        <f t="shared" si="26"/>
        <v>6</v>
      </c>
      <c r="F359" s="8">
        <f t="shared" si="27"/>
        <v>36</v>
      </c>
      <c r="G359" s="5">
        <f t="shared" si="28"/>
        <v>0.15789473684210525</v>
      </c>
    </row>
    <row r="360" spans="1:7" ht="15.75" customHeight="1">
      <c r="A360" s="3">
        <v>21909</v>
      </c>
      <c r="B360" s="4">
        <v>44</v>
      </c>
      <c r="C360" s="8">
        <f t="shared" si="29"/>
        <v>39</v>
      </c>
      <c r="D360" s="8">
        <f t="shared" si="25"/>
        <v>5</v>
      </c>
      <c r="E360" s="8">
        <f t="shared" si="26"/>
        <v>5</v>
      </c>
      <c r="F360" s="8">
        <f t="shared" si="27"/>
        <v>25</v>
      </c>
      <c r="G360" s="5">
        <f t="shared" si="28"/>
        <v>0.11363636363636363</v>
      </c>
    </row>
    <row r="361" spans="1:7" ht="15.75" customHeight="1">
      <c r="A361" s="3">
        <v>21910</v>
      </c>
      <c r="B361" s="4">
        <v>34</v>
      </c>
      <c r="C361" s="8">
        <f t="shared" si="29"/>
        <v>40.666666666666664</v>
      </c>
      <c r="D361" s="8">
        <f t="shared" si="25"/>
        <v>-6.6666666666666643</v>
      </c>
      <c r="E361" s="8">
        <f t="shared" si="26"/>
        <v>6.6666666666666643</v>
      </c>
      <c r="F361" s="8">
        <f t="shared" si="27"/>
        <v>44.444444444444414</v>
      </c>
      <c r="G361" s="5">
        <f t="shared" si="28"/>
        <v>0.19607843137254896</v>
      </c>
    </row>
    <row r="362" spans="1:7" ht="15.75" customHeight="1">
      <c r="A362" s="3">
        <v>21911</v>
      </c>
      <c r="B362" s="4">
        <v>37</v>
      </c>
      <c r="C362" s="8">
        <f t="shared" si="29"/>
        <v>38.666666666666664</v>
      </c>
      <c r="D362" s="8">
        <f t="shared" si="25"/>
        <v>-1.6666666666666643</v>
      </c>
      <c r="E362" s="8">
        <f t="shared" si="26"/>
        <v>1.6666666666666643</v>
      </c>
      <c r="F362" s="8">
        <f t="shared" si="27"/>
        <v>2.7777777777777697</v>
      </c>
      <c r="G362" s="5">
        <f t="shared" si="28"/>
        <v>4.504504504504498E-2</v>
      </c>
    </row>
    <row r="363" spans="1:7" ht="15.75" customHeight="1">
      <c r="A363" s="3">
        <v>21912</v>
      </c>
      <c r="B363" s="4">
        <v>52</v>
      </c>
      <c r="C363" s="8">
        <f t="shared" si="29"/>
        <v>38.333333333333336</v>
      </c>
      <c r="D363" s="8">
        <f t="shared" si="25"/>
        <v>13.666666666666664</v>
      </c>
      <c r="E363" s="8">
        <f t="shared" si="26"/>
        <v>13.666666666666664</v>
      </c>
      <c r="F363" s="8">
        <f t="shared" si="27"/>
        <v>186.77777777777771</v>
      </c>
      <c r="G363" s="5">
        <f t="shared" si="28"/>
        <v>0.26282051282051277</v>
      </c>
    </row>
    <row r="364" spans="1:7" ht="15.75" customHeight="1">
      <c r="A364" s="3">
        <v>21913</v>
      </c>
      <c r="B364" s="4">
        <v>48</v>
      </c>
      <c r="C364" s="8">
        <f t="shared" si="29"/>
        <v>41</v>
      </c>
      <c r="D364" s="8">
        <f t="shared" si="25"/>
        <v>7</v>
      </c>
      <c r="E364" s="8">
        <f t="shared" si="26"/>
        <v>7</v>
      </c>
      <c r="F364" s="8">
        <f t="shared" si="27"/>
        <v>49</v>
      </c>
      <c r="G364" s="5">
        <f t="shared" si="28"/>
        <v>0.14583333333333334</v>
      </c>
    </row>
    <row r="365" spans="1:7" ht="15.75" customHeight="1">
      <c r="A365" s="3">
        <v>21914</v>
      </c>
      <c r="B365" s="4">
        <v>55</v>
      </c>
      <c r="C365" s="8">
        <f t="shared" si="29"/>
        <v>45.666666666666664</v>
      </c>
      <c r="D365" s="8">
        <f t="shared" si="25"/>
        <v>9.3333333333333357</v>
      </c>
      <c r="E365" s="8">
        <f t="shared" si="26"/>
        <v>9.3333333333333357</v>
      </c>
      <c r="F365" s="8">
        <f t="shared" si="27"/>
        <v>87.111111111111157</v>
      </c>
      <c r="G365" s="5">
        <f t="shared" si="28"/>
        <v>0.16969696969696973</v>
      </c>
    </row>
    <row r="366" spans="1:7" ht="15.75" customHeight="1">
      <c r="A366" s="3">
        <v>21915</v>
      </c>
      <c r="B366" s="4">
        <v>50</v>
      </c>
      <c r="C366" s="8">
        <f t="shared" si="29"/>
        <v>51.666666666666664</v>
      </c>
      <c r="D366" s="8">
        <f t="shared" si="25"/>
        <v>-1.6666666666666643</v>
      </c>
      <c r="E366" s="8">
        <f t="shared" si="26"/>
        <v>1.6666666666666643</v>
      </c>
      <c r="F366" s="8">
        <f t="shared" si="27"/>
        <v>2.7777777777777697</v>
      </c>
      <c r="G366" s="5">
        <f t="shared" si="28"/>
        <v>3.3333333333333284E-2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B72C-5751-403F-A0B6-F2F7075C01F2}">
  <dimension ref="A1:K1000"/>
  <sheetViews>
    <sheetView workbookViewId="0">
      <selection activeCell="K10" sqref="K10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2.89843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20.296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11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D2" s="8"/>
      <c r="E2" s="8"/>
      <c r="F2" s="8"/>
      <c r="G2" s="5"/>
    </row>
    <row r="3" spans="1:11" ht="15.75" customHeight="1">
      <c r="A3" s="3">
        <v>21552</v>
      </c>
      <c r="B3" s="4">
        <v>32</v>
      </c>
      <c r="D3" s="8"/>
      <c r="E3" s="8"/>
      <c r="F3" s="8"/>
      <c r="G3" s="5"/>
    </row>
    <row r="4" spans="1:11" ht="15.75" customHeight="1">
      <c r="A4" s="3">
        <v>21553</v>
      </c>
      <c r="B4" s="4">
        <v>30</v>
      </c>
      <c r="D4" s="8"/>
      <c r="E4" s="8"/>
      <c r="F4" s="8"/>
      <c r="G4" s="5"/>
    </row>
    <row r="5" spans="1:11" ht="15.75" customHeight="1">
      <c r="A5" s="3">
        <v>21554</v>
      </c>
      <c r="B5" s="4">
        <v>31</v>
      </c>
      <c r="C5" s="8"/>
      <c r="D5" s="8"/>
      <c r="E5" s="8"/>
      <c r="F5" s="8"/>
      <c r="G5" s="5"/>
    </row>
    <row r="6" spans="1:11" ht="15.75" customHeight="1">
      <c r="A6" s="3">
        <v>21555</v>
      </c>
      <c r="B6" s="4">
        <v>44</v>
      </c>
      <c r="C6" s="8"/>
      <c r="D6" s="8"/>
      <c r="E6" s="8"/>
      <c r="F6" s="8"/>
      <c r="G6" s="5"/>
    </row>
    <row r="7" spans="1:11" ht="15.75" customHeight="1">
      <c r="A7" s="3">
        <v>21556</v>
      </c>
      <c r="B7" s="4">
        <v>29</v>
      </c>
      <c r="C7" s="8"/>
      <c r="D7" s="8"/>
      <c r="E7" s="8"/>
      <c r="F7" s="8"/>
      <c r="G7" s="5"/>
    </row>
    <row r="8" spans="1:11" ht="15.75" customHeight="1">
      <c r="A8" s="3">
        <v>21557</v>
      </c>
      <c r="B8" s="4">
        <v>45</v>
      </c>
      <c r="C8" s="8"/>
      <c r="D8" s="8"/>
      <c r="E8" s="8"/>
      <c r="F8" s="8"/>
      <c r="G8" s="5"/>
      <c r="J8" s="6" t="s">
        <v>7</v>
      </c>
      <c r="K8" s="7">
        <f>AVERAGE(E9:E366)</f>
        <v>5.8296089385474898</v>
      </c>
    </row>
    <row r="9" spans="1:11" ht="15.75" customHeight="1">
      <c r="A9" s="3">
        <v>21558</v>
      </c>
      <c r="B9" s="4">
        <v>43</v>
      </c>
      <c r="C9" s="8">
        <f>AVERAGE(B2:B8)</f>
        <v>35.142857142857146</v>
      </c>
      <c r="D9" s="8">
        <f>B9-C9</f>
        <v>7.8571428571428541</v>
      </c>
      <c r="E9" s="8">
        <f>ABS(D9)</f>
        <v>7.8571428571428541</v>
      </c>
      <c r="F9" s="8">
        <f>E9^2</f>
        <v>61.734693877550974</v>
      </c>
      <c r="G9" s="5">
        <f>E9/B9</f>
        <v>0.18272425249169427</v>
      </c>
      <c r="J9" s="2" t="s">
        <v>8</v>
      </c>
      <c r="K9" s="8">
        <f>AVERAGE(F9:F366)</f>
        <v>53.023999543951668</v>
      </c>
    </row>
    <row r="10" spans="1:11" ht="15.75" customHeight="1">
      <c r="A10" s="3">
        <v>21559</v>
      </c>
      <c r="B10" s="4">
        <v>38</v>
      </c>
      <c r="C10" s="8">
        <f>AVERAGE(B3:B9)</f>
        <v>36.285714285714285</v>
      </c>
      <c r="D10" s="8">
        <f t="shared" ref="D10:D73" si="0">B10-C10</f>
        <v>1.7142857142857153</v>
      </c>
      <c r="E10" s="8">
        <f t="shared" ref="E10:E73" si="1">ABS(D10)</f>
        <v>1.7142857142857153</v>
      </c>
      <c r="F10" s="8">
        <f t="shared" ref="F10:F73" si="2">E10^2</f>
        <v>2.9387755102040849</v>
      </c>
      <c r="G10" s="5">
        <f t="shared" ref="G10:G73" si="3">E10/B10</f>
        <v>4.5112781954887243E-2</v>
      </c>
      <c r="J10" s="2" t="s">
        <v>9</v>
      </c>
      <c r="K10" s="27">
        <f>AVERAGE(G9:G366)</f>
        <v>0.14207069084832133</v>
      </c>
    </row>
    <row r="11" spans="1:11" ht="15.75" customHeight="1">
      <c r="A11" s="3">
        <v>21560</v>
      </c>
      <c r="B11" s="4">
        <v>27</v>
      </c>
      <c r="C11" s="8">
        <f t="shared" ref="C11:C74" si="4">AVERAGE(B4:B10)</f>
        <v>37.142857142857146</v>
      </c>
      <c r="D11" s="8">
        <f t="shared" si="0"/>
        <v>-10.142857142857146</v>
      </c>
      <c r="E11" s="8">
        <f t="shared" si="1"/>
        <v>10.142857142857146</v>
      </c>
      <c r="F11" s="8">
        <f t="shared" si="2"/>
        <v>102.87755102040822</v>
      </c>
      <c r="G11" s="5">
        <f t="shared" si="3"/>
        <v>0.37566137566137575</v>
      </c>
      <c r="J11" s="11" t="s">
        <v>10</v>
      </c>
      <c r="K11" s="12">
        <f>100%-K10</f>
        <v>0.85792930915167864</v>
      </c>
    </row>
    <row r="12" spans="1:11" ht="15.75" customHeight="1">
      <c r="A12" s="3">
        <v>21561</v>
      </c>
      <c r="B12" s="4">
        <v>38</v>
      </c>
      <c r="C12" s="8">
        <f t="shared" si="4"/>
        <v>36.714285714285715</v>
      </c>
      <c r="D12" s="8">
        <f t="shared" si="0"/>
        <v>1.2857142857142847</v>
      </c>
      <c r="E12" s="8">
        <f t="shared" si="1"/>
        <v>1.2857142857142847</v>
      </c>
      <c r="F12" s="8">
        <f t="shared" si="2"/>
        <v>1.6530612244897933</v>
      </c>
      <c r="G12" s="5">
        <f t="shared" si="3"/>
        <v>3.3834586466165384E-2</v>
      </c>
    </row>
    <row r="13" spans="1:11" ht="15.75" customHeight="1">
      <c r="A13" s="3">
        <v>21562</v>
      </c>
      <c r="B13" s="4">
        <v>33</v>
      </c>
      <c r="C13" s="8">
        <f t="shared" si="4"/>
        <v>37.714285714285715</v>
      </c>
      <c r="D13" s="8">
        <f t="shared" si="0"/>
        <v>-4.7142857142857153</v>
      </c>
      <c r="E13" s="8">
        <f t="shared" si="1"/>
        <v>4.7142857142857153</v>
      </c>
      <c r="F13" s="8">
        <f t="shared" si="2"/>
        <v>22.224489795918377</v>
      </c>
      <c r="G13" s="5">
        <f t="shared" si="3"/>
        <v>0.14285714285714288</v>
      </c>
    </row>
    <row r="14" spans="1:11" ht="15.75" customHeight="1">
      <c r="A14" s="3">
        <v>21563</v>
      </c>
      <c r="B14" s="4">
        <v>55</v>
      </c>
      <c r="C14" s="8">
        <f t="shared" si="4"/>
        <v>36.142857142857146</v>
      </c>
      <c r="D14" s="8">
        <f t="shared" si="0"/>
        <v>18.857142857142854</v>
      </c>
      <c r="E14" s="8">
        <f t="shared" si="1"/>
        <v>18.857142857142854</v>
      </c>
      <c r="F14" s="8">
        <f t="shared" si="2"/>
        <v>355.59183673469374</v>
      </c>
      <c r="G14" s="5">
        <f t="shared" si="3"/>
        <v>0.3428571428571428</v>
      </c>
    </row>
    <row r="15" spans="1:11" ht="15.75" customHeight="1">
      <c r="A15" s="3">
        <v>21564</v>
      </c>
      <c r="B15" s="4">
        <v>47</v>
      </c>
      <c r="C15" s="8">
        <f t="shared" si="4"/>
        <v>39.857142857142854</v>
      </c>
      <c r="D15" s="8">
        <f t="shared" si="0"/>
        <v>7.1428571428571459</v>
      </c>
      <c r="E15" s="8">
        <f t="shared" si="1"/>
        <v>7.1428571428571459</v>
      </c>
      <c r="F15" s="8">
        <f t="shared" si="2"/>
        <v>51.020408163265351</v>
      </c>
      <c r="G15" s="5">
        <f t="shared" si="3"/>
        <v>0.15197568389057758</v>
      </c>
    </row>
    <row r="16" spans="1:11" ht="15.75" customHeight="1">
      <c r="A16" s="3">
        <v>21565</v>
      </c>
      <c r="B16" s="4">
        <v>45</v>
      </c>
      <c r="C16" s="8">
        <f t="shared" si="4"/>
        <v>40.142857142857146</v>
      </c>
      <c r="D16" s="8">
        <f t="shared" si="0"/>
        <v>4.8571428571428541</v>
      </c>
      <c r="E16" s="8">
        <f t="shared" si="1"/>
        <v>4.8571428571428541</v>
      </c>
      <c r="F16" s="8">
        <f t="shared" si="2"/>
        <v>23.59183673469385</v>
      </c>
      <c r="G16" s="5">
        <f t="shared" si="3"/>
        <v>0.10793650793650787</v>
      </c>
    </row>
    <row r="17" spans="1:7" ht="15.75" customHeight="1">
      <c r="A17" s="3">
        <v>21566</v>
      </c>
      <c r="B17" s="4">
        <v>37</v>
      </c>
      <c r="C17" s="8">
        <f t="shared" si="4"/>
        <v>40.428571428571431</v>
      </c>
      <c r="D17" s="8">
        <f t="shared" si="0"/>
        <v>-3.4285714285714306</v>
      </c>
      <c r="E17" s="8">
        <f t="shared" si="1"/>
        <v>3.4285714285714306</v>
      </c>
      <c r="F17" s="8">
        <f t="shared" si="2"/>
        <v>11.75510204081634</v>
      </c>
      <c r="G17" s="5">
        <f t="shared" si="3"/>
        <v>9.2664092664092715E-2</v>
      </c>
    </row>
    <row r="18" spans="1:7" ht="15.75" customHeight="1">
      <c r="A18" s="3">
        <v>21567</v>
      </c>
      <c r="B18" s="4">
        <v>50</v>
      </c>
      <c r="C18" s="8">
        <f t="shared" si="4"/>
        <v>40.285714285714285</v>
      </c>
      <c r="D18" s="8">
        <f t="shared" si="0"/>
        <v>9.7142857142857153</v>
      </c>
      <c r="E18" s="8">
        <f t="shared" si="1"/>
        <v>9.7142857142857153</v>
      </c>
      <c r="F18" s="8">
        <f t="shared" si="2"/>
        <v>94.367346938775526</v>
      </c>
      <c r="G18" s="5">
        <f t="shared" si="3"/>
        <v>0.19428571428571431</v>
      </c>
    </row>
    <row r="19" spans="1:7" ht="15.75" customHeight="1">
      <c r="A19" s="3">
        <v>21568</v>
      </c>
      <c r="B19" s="4">
        <v>43</v>
      </c>
      <c r="C19" s="8">
        <f t="shared" si="4"/>
        <v>43.571428571428569</v>
      </c>
      <c r="D19" s="8">
        <f t="shared" si="0"/>
        <v>-0.5714285714285694</v>
      </c>
      <c r="E19" s="8">
        <f t="shared" si="1"/>
        <v>0.5714285714285694</v>
      </c>
      <c r="F19" s="8">
        <f t="shared" si="2"/>
        <v>0.32653061224489566</v>
      </c>
      <c r="G19" s="5">
        <f t="shared" si="3"/>
        <v>1.3289036544850452E-2</v>
      </c>
    </row>
    <row r="20" spans="1:7" ht="15.75" customHeight="1">
      <c r="A20" s="3">
        <v>21569</v>
      </c>
      <c r="B20" s="4">
        <v>41</v>
      </c>
      <c r="C20" s="8">
        <f t="shared" si="4"/>
        <v>44.285714285714285</v>
      </c>
      <c r="D20" s="8">
        <f t="shared" si="0"/>
        <v>-3.2857142857142847</v>
      </c>
      <c r="E20" s="8">
        <f t="shared" si="1"/>
        <v>3.2857142857142847</v>
      </c>
      <c r="F20" s="8">
        <f t="shared" si="2"/>
        <v>10.795918367346932</v>
      </c>
      <c r="G20" s="5">
        <f t="shared" si="3"/>
        <v>8.0139372822299632E-2</v>
      </c>
    </row>
    <row r="21" spans="1:7" ht="15.75" customHeight="1">
      <c r="A21" s="3">
        <v>21570</v>
      </c>
      <c r="B21" s="4">
        <v>52</v>
      </c>
      <c r="C21" s="8">
        <f t="shared" si="4"/>
        <v>45.428571428571431</v>
      </c>
      <c r="D21" s="8">
        <f t="shared" si="0"/>
        <v>6.5714285714285694</v>
      </c>
      <c r="E21" s="8">
        <f t="shared" si="1"/>
        <v>6.5714285714285694</v>
      </c>
      <c r="F21" s="8">
        <f t="shared" si="2"/>
        <v>43.183673469387728</v>
      </c>
      <c r="G21" s="5">
        <f t="shared" si="3"/>
        <v>0.12637362637362634</v>
      </c>
    </row>
    <row r="22" spans="1:7" ht="15.75" customHeight="1">
      <c r="A22" s="3">
        <v>21571</v>
      </c>
      <c r="B22" s="4">
        <v>34</v>
      </c>
      <c r="C22" s="8">
        <f t="shared" si="4"/>
        <v>45</v>
      </c>
      <c r="D22" s="8">
        <f t="shared" si="0"/>
        <v>-11</v>
      </c>
      <c r="E22" s="8">
        <f t="shared" si="1"/>
        <v>11</v>
      </c>
      <c r="F22" s="8">
        <f t="shared" si="2"/>
        <v>121</v>
      </c>
      <c r="G22" s="5">
        <f t="shared" si="3"/>
        <v>0.3235294117647059</v>
      </c>
    </row>
    <row r="23" spans="1:7" ht="15.75" customHeight="1">
      <c r="A23" s="3">
        <v>21572</v>
      </c>
      <c r="B23" s="4">
        <v>53</v>
      </c>
      <c r="C23" s="8">
        <f t="shared" si="4"/>
        <v>43.142857142857146</v>
      </c>
      <c r="D23" s="8">
        <f t="shared" si="0"/>
        <v>9.8571428571428541</v>
      </c>
      <c r="E23" s="8">
        <f t="shared" si="1"/>
        <v>9.8571428571428541</v>
      </c>
      <c r="F23" s="8">
        <f t="shared" si="2"/>
        <v>97.163265306122383</v>
      </c>
      <c r="G23" s="5">
        <f t="shared" si="3"/>
        <v>0.18598382749326139</v>
      </c>
    </row>
    <row r="24" spans="1:7" ht="15.75" customHeight="1">
      <c r="A24" s="3">
        <v>21573</v>
      </c>
      <c r="B24" s="4">
        <v>39</v>
      </c>
      <c r="C24" s="8">
        <f t="shared" si="4"/>
        <v>44.285714285714285</v>
      </c>
      <c r="D24" s="8">
        <f t="shared" si="0"/>
        <v>-5.2857142857142847</v>
      </c>
      <c r="E24" s="8">
        <f t="shared" si="1"/>
        <v>5.2857142857142847</v>
      </c>
      <c r="F24" s="8">
        <f t="shared" si="2"/>
        <v>27.938775510204071</v>
      </c>
      <c r="G24" s="5">
        <f t="shared" si="3"/>
        <v>0.13553113553113549</v>
      </c>
    </row>
    <row r="25" spans="1:7" ht="15.75" customHeight="1">
      <c r="A25" s="3">
        <v>21574</v>
      </c>
      <c r="B25" s="4">
        <v>32</v>
      </c>
      <c r="C25" s="8">
        <f t="shared" si="4"/>
        <v>44.571428571428569</v>
      </c>
      <c r="D25" s="8">
        <f t="shared" si="0"/>
        <v>-12.571428571428569</v>
      </c>
      <c r="E25" s="8">
        <f t="shared" si="1"/>
        <v>12.571428571428569</v>
      </c>
      <c r="F25" s="8">
        <f t="shared" si="2"/>
        <v>158.04081632653057</v>
      </c>
      <c r="G25" s="5">
        <f t="shared" si="3"/>
        <v>0.39285714285714279</v>
      </c>
    </row>
    <row r="26" spans="1:7" ht="15.75" customHeight="1">
      <c r="A26" s="3">
        <v>21575</v>
      </c>
      <c r="B26" s="4">
        <v>37</v>
      </c>
      <c r="C26" s="8">
        <f t="shared" si="4"/>
        <v>42</v>
      </c>
      <c r="D26" s="8">
        <f t="shared" si="0"/>
        <v>-5</v>
      </c>
      <c r="E26" s="8">
        <f t="shared" si="1"/>
        <v>5</v>
      </c>
      <c r="F26" s="8">
        <f t="shared" si="2"/>
        <v>25</v>
      </c>
      <c r="G26" s="5">
        <f t="shared" si="3"/>
        <v>0.13513513513513514</v>
      </c>
    </row>
    <row r="27" spans="1:7" ht="15.75" customHeight="1">
      <c r="A27" s="3">
        <v>21576</v>
      </c>
      <c r="B27" s="4">
        <v>43</v>
      </c>
      <c r="C27" s="8">
        <f t="shared" si="4"/>
        <v>41.142857142857146</v>
      </c>
      <c r="D27" s="8">
        <f t="shared" si="0"/>
        <v>1.8571428571428541</v>
      </c>
      <c r="E27" s="8">
        <f t="shared" si="1"/>
        <v>1.8571428571428541</v>
      </c>
      <c r="F27" s="8">
        <f t="shared" si="2"/>
        <v>3.4489795918367232</v>
      </c>
      <c r="G27" s="5">
        <f t="shared" si="3"/>
        <v>4.3189368770764049E-2</v>
      </c>
    </row>
    <row r="28" spans="1:7" ht="15.75" customHeight="1">
      <c r="A28" s="3">
        <v>21577</v>
      </c>
      <c r="B28" s="4">
        <v>39</v>
      </c>
      <c r="C28" s="8">
        <f t="shared" si="4"/>
        <v>41.428571428571431</v>
      </c>
      <c r="D28" s="8">
        <f t="shared" si="0"/>
        <v>-2.4285714285714306</v>
      </c>
      <c r="E28" s="8">
        <f t="shared" si="1"/>
        <v>2.4285714285714306</v>
      </c>
      <c r="F28" s="8">
        <f t="shared" si="2"/>
        <v>5.8979591836734793</v>
      </c>
      <c r="G28" s="5">
        <f t="shared" si="3"/>
        <v>6.227106227106232E-2</v>
      </c>
    </row>
    <row r="29" spans="1:7" ht="15.75" customHeight="1">
      <c r="A29" s="3">
        <v>21578</v>
      </c>
      <c r="B29" s="4">
        <v>35</v>
      </c>
      <c r="C29" s="8">
        <f t="shared" si="4"/>
        <v>39.571428571428569</v>
      </c>
      <c r="D29" s="8">
        <f t="shared" si="0"/>
        <v>-4.5714285714285694</v>
      </c>
      <c r="E29" s="8">
        <f t="shared" si="1"/>
        <v>4.5714285714285694</v>
      </c>
      <c r="F29" s="8">
        <f t="shared" si="2"/>
        <v>20.89795918367345</v>
      </c>
      <c r="G29" s="5">
        <f t="shared" si="3"/>
        <v>0.13061224489795911</v>
      </c>
    </row>
    <row r="30" spans="1:7" ht="15.75" customHeight="1">
      <c r="A30" s="3">
        <v>21579</v>
      </c>
      <c r="B30" s="4">
        <v>44</v>
      </c>
      <c r="C30" s="8">
        <f t="shared" si="4"/>
        <v>39.714285714285715</v>
      </c>
      <c r="D30" s="8">
        <f t="shared" si="0"/>
        <v>4.2857142857142847</v>
      </c>
      <c r="E30" s="8">
        <f t="shared" si="1"/>
        <v>4.2857142857142847</v>
      </c>
      <c r="F30" s="8">
        <f t="shared" si="2"/>
        <v>18.367346938775501</v>
      </c>
      <c r="G30" s="5">
        <f t="shared" si="3"/>
        <v>9.740259740259738E-2</v>
      </c>
    </row>
    <row r="31" spans="1:7" ht="15.75" customHeight="1">
      <c r="A31" s="3">
        <v>21580</v>
      </c>
      <c r="B31" s="4">
        <v>38</v>
      </c>
      <c r="C31" s="8">
        <f t="shared" si="4"/>
        <v>38.428571428571431</v>
      </c>
      <c r="D31" s="8">
        <f t="shared" si="0"/>
        <v>-0.4285714285714306</v>
      </c>
      <c r="E31" s="8">
        <f t="shared" si="1"/>
        <v>0.4285714285714306</v>
      </c>
      <c r="F31" s="8">
        <f t="shared" si="2"/>
        <v>0.18367346938775683</v>
      </c>
      <c r="G31" s="5">
        <f t="shared" si="3"/>
        <v>1.1278195488721858E-2</v>
      </c>
    </row>
    <row r="32" spans="1:7" ht="15.75" customHeight="1">
      <c r="A32" s="3">
        <v>21581</v>
      </c>
      <c r="B32" s="4">
        <v>24</v>
      </c>
      <c r="C32" s="8">
        <f t="shared" si="4"/>
        <v>38.285714285714285</v>
      </c>
      <c r="D32" s="8">
        <f t="shared" si="0"/>
        <v>-14.285714285714285</v>
      </c>
      <c r="E32" s="8">
        <f t="shared" si="1"/>
        <v>14.285714285714285</v>
      </c>
      <c r="F32" s="8">
        <f t="shared" si="2"/>
        <v>204.08163265306121</v>
      </c>
      <c r="G32" s="5">
        <f t="shared" si="3"/>
        <v>0.59523809523809523</v>
      </c>
    </row>
    <row r="33" spans="1:7" ht="15.75" customHeight="1">
      <c r="A33" s="3">
        <v>21582</v>
      </c>
      <c r="B33" s="4">
        <v>23</v>
      </c>
      <c r="C33" s="8">
        <f t="shared" si="4"/>
        <v>37.142857142857146</v>
      </c>
      <c r="D33" s="8">
        <f t="shared" si="0"/>
        <v>-14.142857142857146</v>
      </c>
      <c r="E33" s="8">
        <f t="shared" si="1"/>
        <v>14.142857142857146</v>
      </c>
      <c r="F33" s="8">
        <f t="shared" si="2"/>
        <v>200.02040816326539</v>
      </c>
      <c r="G33" s="5">
        <f t="shared" si="3"/>
        <v>0.61490683229813681</v>
      </c>
    </row>
    <row r="34" spans="1:7" ht="15.75" customHeight="1">
      <c r="A34" s="3">
        <v>21583</v>
      </c>
      <c r="B34" s="4">
        <v>31</v>
      </c>
      <c r="C34" s="8">
        <f t="shared" si="4"/>
        <v>35.142857142857146</v>
      </c>
      <c r="D34" s="8">
        <f t="shared" si="0"/>
        <v>-4.1428571428571459</v>
      </c>
      <c r="E34" s="8">
        <f t="shared" si="1"/>
        <v>4.1428571428571459</v>
      </c>
      <c r="F34" s="8">
        <f t="shared" si="2"/>
        <v>17.163265306122476</v>
      </c>
      <c r="G34" s="5">
        <f t="shared" si="3"/>
        <v>0.13364055299539179</v>
      </c>
    </row>
    <row r="35" spans="1:7" ht="15.75" customHeight="1">
      <c r="A35" s="3">
        <v>21584</v>
      </c>
      <c r="B35" s="4">
        <v>44</v>
      </c>
      <c r="C35" s="8">
        <f t="shared" si="4"/>
        <v>33.428571428571431</v>
      </c>
      <c r="D35" s="8">
        <f t="shared" si="0"/>
        <v>10.571428571428569</v>
      </c>
      <c r="E35" s="8">
        <f t="shared" si="1"/>
        <v>10.571428571428569</v>
      </c>
      <c r="F35" s="8">
        <f t="shared" si="2"/>
        <v>111.75510204081628</v>
      </c>
      <c r="G35" s="5">
        <f t="shared" si="3"/>
        <v>0.2402597402597402</v>
      </c>
    </row>
    <row r="36" spans="1:7" ht="15.75" customHeight="1">
      <c r="A36" s="3">
        <v>21585</v>
      </c>
      <c r="B36" s="4">
        <v>38</v>
      </c>
      <c r="C36" s="8">
        <f t="shared" si="4"/>
        <v>34.142857142857146</v>
      </c>
      <c r="D36" s="8">
        <f t="shared" si="0"/>
        <v>3.8571428571428541</v>
      </c>
      <c r="E36" s="8">
        <f t="shared" si="1"/>
        <v>3.8571428571428541</v>
      </c>
      <c r="F36" s="8">
        <f t="shared" si="2"/>
        <v>14.87755102040814</v>
      </c>
      <c r="G36" s="5">
        <f t="shared" si="3"/>
        <v>0.10150375939849617</v>
      </c>
    </row>
    <row r="37" spans="1:7" ht="15.75" customHeight="1">
      <c r="A37" s="3">
        <v>21586</v>
      </c>
      <c r="B37" s="4">
        <v>50</v>
      </c>
      <c r="C37" s="8">
        <f t="shared" si="4"/>
        <v>34.571428571428569</v>
      </c>
      <c r="D37" s="8">
        <f t="shared" si="0"/>
        <v>15.428571428571431</v>
      </c>
      <c r="E37" s="8">
        <f t="shared" si="1"/>
        <v>15.428571428571431</v>
      </c>
      <c r="F37" s="8">
        <f t="shared" si="2"/>
        <v>238.04081632653069</v>
      </c>
      <c r="G37" s="5">
        <f t="shared" si="3"/>
        <v>0.30857142857142861</v>
      </c>
    </row>
    <row r="38" spans="1:7" ht="15.75" customHeight="1">
      <c r="A38" s="3">
        <v>21587</v>
      </c>
      <c r="B38" s="4">
        <v>38</v>
      </c>
      <c r="C38" s="8">
        <f t="shared" si="4"/>
        <v>35.428571428571431</v>
      </c>
      <c r="D38" s="8">
        <f t="shared" si="0"/>
        <v>2.5714285714285694</v>
      </c>
      <c r="E38" s="8">
        <f t="shared" si="1"/>
        <v>2.5714285714285694</v>
      </c>
      <c r="F38" s="8">
        <f t="shared" si="2"/>
        <v>6.6122448979591733</v>
      </c>
      <c r="G38" s="5">
        <f t="shared" si="3"/>
        <v>6.7669172932330768E-2</v>
      </c>
    </row>
    <row r="39" spans="1:7" ht="15.75" customHeight="1">
      <c r="A39" s="3">
        <v>21588</v>
      </c>
      <c r="B39" s="4">
        <v>51</v>
      </c>
      <c r="C39" s="8">
        <f t="shared" si="4"/>
        <v>35.428571428571431</v>
      </c>
      <c r="D39" s="8">
        <f t="shared" si="0"/>
        <v>15.571428571428569</v>
      </c>
      <c r="E39" s="8">
        <f t="shared" si="1"/>
        <v>15.571428571428569</v>
      </c>
      <c r="F39" s="8">
        <f t="shared" si="2"/>
        <v>242.46938775510199</v>
      </c>
      <c r="G39" s="5">
        <f t="shared" si="3"/>
        <v>0.30532212885154059</v>
      </c>
    </row>
    <row r="40" spans="1:7" ht="15.75" customHeight="1">
      <c r="A40" s="3">
        <v>21589</v>
      </c>
      <c r="B40" s="4">
        <v>31</v>
      </c>
      <c r="C40" s="8">
        <f t="shared" si="4"/>
        <v>39.285714285714285</v>
      </c>
      <c r="D40" s="8">
        <f t="shared" si="0"/>
        <v>-8.2857142857142847</v>
      </c>
      <c r="E40" s="8">
        <f t="shared" si="1"/>
        <v>8.2857142857142847</v>
      </c>
      <c r="F40" s="8">
        <f t="shared" si="2"/>
        <v>68.653061224489775</v>
      </c>
      <c r="G40" s="5">
        <f t="shared" si="3"/>
        <v>0.26728110599078336</v>
      </c>
    </row>
    <row r="41" spans="1:7" ht="15.75" customHeight="1">
      <c r="A41" s="3">
        <v>21590</v>
      </c>
      <c r="B41" s="4">
        <v>31</v>
      </c>
      <c r="C41" s="8">
        <f t="shared" si="4"/>
        <v>40.428571428571431</v>
      </c>
      <c r="D41" s="8">
        <f t="shared" si="0"/>
        <v>-9.4285714285714306</v>
      </c>
      <c r="E41" s="8">
        <f t="shared" si="1"/>
        <v>9.4285714285714306</v>
      </c>
      <c r="F41" s="8">
        <f t="shared" si="2"/>
        <v>88.897959183673507</v>
      </c>
      <c r="G41" s="5">
        <f t="shared" si="3"/>
        <v>0.30414746543778809</v>
      </c>
    </row>
    <row r="42" spans="1:7" ht="15.75" customHeight="1">
      <c r="A42" s="3">
        <v>21591</v>
      </c>
      <c r="B42" s="4">
        <v>51</v>
      </c>
      <c r="C42" s="8">
        <f t="shared" si="4"/>
        <v>40.428571428571431</v>
      </c>
      <c r="D42" s="8">
        <f t="shared" si="0"/>
        <v>10.571428571428569</v>
      </c>
      <c r="E42" s="8">
        <f t="shared" si="1"/>
        <v>10.571428571428569</v>
      </c>
      <c r="F42" s="8">
        <f t="shared" si="2"/>
        <v>111.75510204081628</v>
      </c>
      <c r="G42" s="5">
        <f t="shared" si="3"/>
        <v>0.20728291316526606</v>
      </c>
    </row>
    <row r="43" spans="1:7" ht="15.75" customHeight="1">
      <c r="A43" s="3">
        <v>21592</v>
      </c>
      <c r="B43" s="4">
        <v>36</v>
      </c>
      <c r="C43" s="8">
        <f t="shared" si="4"/>
        <v>41.428571428571431</v>
      </c>
      <c r="D43" s="8">
        <f t="shared" si="0"/>
        <v>-5.4285714285714306</v>
      </c>
      <c r="E43" s="8">
        <f t="shared" si="1"/>
        <v>5.4285714285714306</v>
      </c>
      <c r="F43" s="8">
        <f t="shared" si="2"/>
        <v>29.469387755102062</v>
      </c>
      <c r="G43" s="5">
        <f t="shared" si="3"/>
        <v>0.15079365079365084</v>
      </c>
    </row>
    <row r="44" spans="1:7" ht="15.75" customHeight="1">
      <c r="A44" s="3">
        <v>21593</v>
      </c>
      <c r="B44" s="4">
        <v>45</v>
      </c>
      <c r="C44" s="8">
        <f t="shared" si="4"/>
        <v>41.142857142857146</v>
      </c>
      <c r="D44" s="8">
        <f t="shared" si="0"/>
        <v>3.8571428571428541</v>
      </c>
      <c r="E44" s="8">
        <f t="shared" si="1"/>
        <v>3.8571428571428541</v>
      </c>
      <c r="F44" s="8">
        <f t="shared" si="2"/>
        <v>14.87755102040814</v>
      </c>
      <c r="G44" s="5">
        <f t="shared" si="3"/>
        <v>8.5714285714285646E-2</v>
      </c>
    </row>
    <row r="45" spans="1:7" ht="15.75" customHeight="1">
      <c r="A45" s="3">
        <v>21594</v>
      </c>
      <c r="B45" s="4">
        <v>51</v>
      </c>
      <c r="C45" s="8">
        <f t="shared" si="4"/>
        <v>40.428571428571431</v>
      </c>
      <c r="D45" s="8">
        <f t="shared" si="0"/>
        <v>10.571428571428569</v>
      </c>
      <c r="E45" s="8">
        <f t="shared" si="1"/>
        <v>10.571428571428569</v>
      </c>
      <c r="F45" s="8">
        <f t="shared" si="2"/>
        <v>111.75510204081628</v>
      </c>
      <c r="G45" s="5">
        <f t="shared" si="3"/>
        <v>0.20728291316526606</v>
      </c>
    </row>
    <row r="46" spans="1:7" ht="15.75" customHeight="1">
      <c r="A46" s="3">
        <v>21595</v>
      </c>
      <c r="B46" s="4">
        <v>34</v>
      </c>
      <c r="C46" s="8">
        <f t="shared" si="4"/>
        <v>42.285714285714285</v>
      </c>
      <c r="D46" s="8">
        <f t="shared" si="0"/>
        <v>-8.2857142857142847</v>
      </c>
      <c r="E46" s="8">
        <f t="shared" si="1"/>
        <v>8.2857142857142847</v>
      </c>
      <c r="F46" s="8">
        <f t="shared" si="2"/>
        <v>68.653061224489775</v>
      </c>
      <c r="G46" s="5">
        <f t="shared" si="3"/>
        <v>0.24369747899159661</v>
      </c>
    </row>
    <row r="47" spans="1:7" ht="15.75" customHeight="1">
      <c r="A47" s="3">
        <v>21596</v>
      </c>
      <c r="B47" s="4">
        <v>52</v>
      </c>
      <c r="C47" s="8">
        <f t="shared" si="4"/>
        <v>39.857142857142854</v>
      </c>
      <c r="D47" s="8">
        <f t="shared" si="0"/>
        <v>12.142857142857146</v>
      </c>
      <c r="E47" s="8">
        <f t="shared" si="1"/>
        <v>12.142857142857146</v>
      </c>
      <c r="F47" s="8">
        <f t="shared" si="2"/>
        <v>147.4489795918368</v>
      </c>
      <c r="G47" s="5">
        <f t="shared" si="3"/>
        <v>0.23351648351648358</v>
      </c>
    </row>
    <row r="48" spans="1:7" ht="15.75" customHeight="1">
      <c r="A48" s="3">
        <v>21597</v>
      </c>
      <c r="B48" s="4">
        <v>47</v>
      </c>
      <c r="C48" s="8">
        <f t="shared" si="4"/>
        <v>42.857142857142854</v>
      </c>
      <c r="D48" s="8">
        <f t="shared" si="0"/>
        <v>4.1428571428571459</v>
      </c>
      <c r="E48" s="8">
        <f t="shared" si="1"/>
        <v>4.1428571428571459</v>
      </c>
      <c r="F48" s="8">
        <f t="shared" si="2"/>
        <v>17.163265306122476</v>
      </c>
      <c r="G48" s="5">
        <f t="shared" si="3"/>
        <v>8.8145896656535022E-2</v>
      </c>
    </row>
    <row r="49" spans="1:7" ht="15.75" customHeight="1">
      <c r="A49" s="3">
        <v>21598</v>
      </c>
      <c r="B49" s="4">
        <v>45</v>
      </c>
      <c r="C49" s="8">
        <f t="shared" si="4"/>
        <v>45.142857142857146</v>
      </c>
      <c r="D49" s="8">
        <f t="shared" si="0"/>
        <v>-0.1428571428571459</v>
      </c>
      <c r="E49" s="8">
        <f t="shared" si="1"/>
        <v>0.1428571428571459</v>
      </c>
      <c r="F49" s="8">
        <f t="shared" si="2"/>
        <v>2.0408163265306992E-2</v>
      </c>
      <c r="G49" s="5">
        <f t="shared" si="3"/>
        <v>3.1746031746032423E-3</v>
      </c>
    </row>
    <row r="50" spans="1:7" ht="15.75" customHeight="1">
      <c r="A50" s="3">
        <v>21599</v>
      </c>
      <c r="B50" s="4">
        <v>46</v>
      </c>
      <c r="C50" s="8">
        <f t="shared" si="4"/>
        <v>44.285714285714285</v>
      </c>
      <c r="D50" s="8">
        <f t="shared" si="0"/>
        <v>1.7142857142857153</v>
      </c>
      <c r="E50" s="8">
        <f t="shared" si="1"/>
        <v>1.7142857142857153</v>
      </c>
      <c r="F50" s="8">
        <f t="shared" si="2"/>
        <v>2.9387755102040849</v>
      </c>
      <c r="G50" s="5">
        <f t="shared" si="3"/>
        <v>3.7267080745341637E-2</v>
      </c>
    </row>
    <row r="51" spans="1:7" ht="15.75" customHeight="1">
      <c r="A51" s="3">
        <v>21600</v>
      </c>
      <c r="B51" s="4">
        <v>39</v>
      </c>
      <c r="C51" s="8">
        <f t="shared" si="4"/>
        <v>45.714285714285715</v>
      </c>
      <c r="D51" s="8">
        <f t="shared" si="0"/>
        <v>-6.7142857142857153</v>
      </c>
      <c r="E51" s="8">
        <f t="shared" si="1"/>
        <v>6.7142857142857153</v>
      </c>
      <c r="F51" s="8">
        <f t="shared" si="2"/>
        <v>45.081632653061241</v>
      </c>
      <c r="G51" s="5">
        <f t="shared" si="3"/>
        <v>0.17216117216117219</v>
      </c>
    </row>
    <row r="52" spans="1:7" ht="15.75" customHeight="1">
      <c r="A52" s="3">
        <v>21601</v>
      </c>
      <c r="B52" s="4">
        <v>48</v>
      </c>
      <c r="C52" s="8">
        <f t="shared" si="4"/>
        <v>44.857142857142854</v>
      </c>
      <c r="D52" s="8">
        <f t="shared" si="0"/>
        <v>3.1428571428571459</v>
      </c>
      <c r="E52" s="8">
        <f t="shared" si="1"/>
        <v>3.1428571428571459</v>
      </c>
      <c r="F52" s="8">
        <f t="shared" si="2"/>
        <v>9.8775510204081822</v>
      </c>
      <c r="G52" s="5">
        <f t="shared" si="3"/>
        <v>6.5476190476190535E-2</v>
      </c>
    </row>
    <row r="53" spans="1:7" ht="15.75" customHeight="1">
      <c r="A53" s="3">
        <v>21602</v>
      </c>
      <c r="B53" s="4">
        <v>37</v>
      </c>
      <c r="C53" s="8">
        <f t="shared" si="4"/>
        <v>44.428571428571431</v>
      </c>
      <c r="D53" s="8">
        <f t="shared" si="0"/>
        <v>-7.4285714285714306</v>
      </c>
      <c r="E53" s="8">
        <f t="shared" si="1"/>
        <v>7.4285714285714306</v>
      </c>
      <c r="F53" s="8">
        <f t="shared" si="2"/>
        <v>55.183673469387784</v>
      </c>
      <c r="G53" s="5">
        <f t="shared" si="3"/>
        <v>0.20077220077220082</v>
      </c>
    </row>
    <row r="54" spans="1:7" ht="15.75" customHeight="1">
      <c r="A54" s="3">
        <v>21603</v>
      </c>
      <c r="B54" s="4">
        <v>35</v>
      </c>
      <c r="C54" s="8">
        <f t="shared" si="4"/>
        <v>44.857142857142854</v>
      </c>
      <c r="D54" s="8">
        <f t="shared" si="0"/>
        <v>-9.8571428571428541</v>
      </c>
      <c r="E54" s="8">
        <f t="shared" si="1"/>
        <v>9.8571428571428541</v>
      </c>
      <c r="F54" s="8">
        <f t="shared" si="2"/>
        <v>97.163265306122383</v>
      </c>
      <c r="G54" s="5">
        <f t="shared" si="3"/>
        <v>0.28163265306122442</v>
      </c>
    </row>
    <row r="55" spans="1:7" ht="15.75" customHeight="1">
      <c r="A55" s="3">
        <v>21604</v>
      </c>
      <c r="B55" s="4">
        <v>52</v>
      </c>
      <c r="C55" s="8">
        <f t="shared" si="4"/>
        <v>42.428571428571431</v>
      </c>
      <c r="D55" s="8">
        <f t="shared" si="0"/>
        <v>9.5714285714285694</v>
      </c>
      <c r="E55" s="8">
        <f t="shared" si="1"/>
        <v>9.5714285714285694</v>
      </c>
      <c r="F55" s="8">
        <f t="shared" si="2"/>
        <v>91.612244897959144</v>
      </c>
      <c r="G55" s="5">
        <f t="shared" si="3"/>
        <v>0.18406593406593402</v>
      </c>
    </row>
    <row r="56" spans="1:7" ht="15.75" customHeight="1">
      <c r="A56" s="3">
        <v>21605</v>
      </c>
      <c r="B56" s="4">
        <v>42</v>
      </c>
      <c r="C56" s="8">
        <f t="shared" si="4"/>
        <v>43.142857142857146</v>
      </c>
      <c r="D56" s="8">
        <f t="shared" si="0"/>
        <v>-1.1428571428571459</v>
      </c>
      <c r="E56" s="8">
        <f t="shared" si="1"/>
        <v>1.1428571428571459</v>
      </c>
      <c r="F56" s="8">
        <f t="shared" si="2"/>
        <v>1.3061224489795988</v>
      </c>
      <c r="G56" s="5">
        <f t="shared" si="3"/>
        <v>2.7210884353741568E-2</v>
      </c>
    </row>
    <row r="57" spans="1:7" ht="15.75" customHeight="1">
      <c r="A57" s="3">
        <v>21606</v>
      </c>
      <c r="B57" s="4">
        <v>45</v>
      </c>
      <c r="C57" s="8">
        <f t="shared" si="4"/>
        <v>42.714285714285715</v>
      </c>
      <c r="D57" s="8">
        <f t="shared" si="0"/>
        <v>2.2857142857142847</v>
      </c>
      <c r="E57" s="8">
        <f t="shared" si="1"/>
        <v>2.2857142857142847</v>
      </c>
      <c r="F57" s="8">
        <f t="shared" si="2"/>
        <v>5.2244897959183625</v>
      </c>
      <c r="G57" s="5">
        <f t="shared" si="3"/>
        <v>5.0793650793650773E-2</v>
      </c>
    </row>
    <row r="58" spans="1:7" ht="15.75" customHeight="1">
      <c r="A58" s="3">
        <v>21607</v>
      </c>
      <c r="B58" s="4">
        <v>39</v>
      </c>
      <c r="C58" s="8">
        <f t="shared" si="4"/>
        <v>42.571428571428569</v>
      </c>
      <c r="D58" s="8">
        <f t="shared" si="0"/>
        <v>-3.5714285714285694</v>
      </c>
      <c r="E58" s="8">
        <f t="shared" si="1"/>
        <v>3.5714285714285694</v>
      </c>
      <c r="F58" s="8">
        <f t="shared" si="2"/>
        <v>12.755102040816311</v>
      </c>
      <c r="G58" s="5">
        <f t="shared" si="3"/>
        <v>9.1575091575091527E-2</v>
      </c>
    </row>
    <row r="59" spans="1:7" ht="15.75" customHeight="1">
      <c r="A59" s="3">
        <v>21608</v>
      </c>
      <c r="B59" s="4">
        <v>37</v>
      </c>
      <c r="C59" s="8">
        <f t="shared" si="4"/>
        <v>42.571428571428569</v>
      </c>
      <c r="D59" s="8">
        <f t="shared" si="0"/>
        <v>-5.5714285714285694</v>
      </c>
      <c r="E59" s="8">
        <f t="shared" si="1"/>
        <v>5.5714285714285694</v>
      </c>
      <c r="F59" s="8">
        <f t="shared" si="2"/>
        <v>31.040816326530589</v>
      </c>
      <c r="G59" s="5">
        <f t="shared" si="3"/>
        <v>0.15057915057915053</v>
      </c>
    </row>
    <row r="60" spans="1:7" ht="15.75" customHeight="1">
      <c r="A60" s="3">
        <v>21609</v>
      </c>
      <c r="B60" s="4">
        <v>30</v>
      </c>
      <c r="C60" s="8">
        <f t="shared" si="4"/>
        <v>41</v>
      </c>
      <c r="D60" s="8">
        <f t="shared" si="0"/>
        <v>-11</v>
      </c>
      <c r="E60" s="8">
        <f t="shared" si="1"/>
        <v>11</v>
      </c>
      <c r="F60" s="8">
        <f t="shared" si="2"/>
        <v>121</v>
      </c>
      <c r="G60" s="5">
        <f t="shared" si="3"/>
        <v>0.36666666666666664</v>
      </c>
    </row>
    <row r="61" spans="1:7" ht="15.75" customHeight="1">
      <c r="A61" s="3">
        <v>21610</v>
      </c>
      <c r="B61" s="4">
        <v>35</v>
      </c>
      <c r="C61" s="8">
        <f t="shared" si="4"/>
        <v>40</v>
      </c>
      <c r="D61" s="8">
        <f t="shared" si="0"/>
        <v>-5</v>
      </c>
      <c r="E61" s="8">
        <f t="shared" si="1"/>
        <v>5</v>
      </c>
      <c r="F61" s="8">
        <f t="shared" si="2"/>
        <v>25</v>
      </c>
      <c r="G61" s="5">
        <f t="shared" si="3"/>
        <v>0.14285714285714285</v>
      </c>
    </row>
    <row r="62" spans="1:7" ht="15.75" customHeight="1">
      <c r="A62" s="3">
        <v>21611</v>
      </c>
      <c r="B62" s="4">
        <v>28</v>
      </c>
      <c r="C62" s="8">
        <f t="shared" si="4"/>
        <v>40</v>
      </c>
      <c r="D62" s="8">
        <f t="shared" si="0"/>
        <v>-12</v>
      </c>
      <c r="E62" s="8">
        <f t="shared" si="1"/>
        <v>12</v>
      </c>
      <c r="F62" s="8">
        <f t="shared" si="2"/>
        <v>144</v>
      </c>
      <c r="G62" s="5">
        <f t="shared" si="3"/>
        <v>0.42857142857142855</v>
      </c>
    </row>
    <row r="63" spans="1:7" ht="15.75" customHeight="1">
      <c r="A63" s="3">
        <v>21612</v>
      </c>
      <c r="B63" s="4">
        <v>45</v>
      </c>
      <c r="C63" s="8">
        <f t="shared" si="4"/>
        <v>36.571428571428569</v>
      </c>
      <c r="D63" s="8">
        <f t="shared" si="0"/>
        <v>8.4285714285714306</v>
      </c>
      <c r="E63" s="8">
        <f t="shared" si="1"/>
        <v>8.4285714285714306</v>
      </c>
      <c r="F63" s="8">
        <f t="shared" si="2"/>
        <v>71.040816326530646</v>
      </c>
      <c r="G63" s="5">
        <f t="shared" si="3"/>
        <v>0.18730158730158736</v>
      </c>
    </row>
    <row r="64" spans="1:7" ht="15.75" customHeight="1">
      <c r="A64" s="3">
        <v>21613</v>
      </c>
      <c r="B64" s="4">
        <v>34</v>
      </c>
      <c r="C64" s="8">
        <f t="shared" si="4"/>
        <v>37</v>
      </c>
      <c r="D64" s="8">
        <f t="shared" si="0"/>
        <v>-3</v>
      </c>
      <c r="E64" s="8">
        <f t="shared" si="1"/>
        <v>3</v>
      </c>
      <c r="F64" s="8">
        <f t="shared" si="2"/>
        <v>9</v>
      </c>
      <c r="G64" s="5">
        <f t="shared" si="3"/>
        <v>8.8235294117647065E-2</v>
      </c>
    </row>
    <row r="65" spans="1:7" ht="15.75" customHeight="1">
      <c r="A65" s="3">
        <v>21614</v>
      </c>
      <c r="B65" s="4">
        <v>36</v>
      </c>
      <c r="C65" s="8">
        <f t="shared" si="4"/>
        <v>35.428571428571431</v>
      </c>
      <c r="D65" s="8">
        <f t="shared" si="0"/>
        <v>0.5714285714285694</v>
      </c>
      <c r="E65" s="8">
        <f t="shared" si="1"/>
        <v>0.5714285714285694</v>
      </c>
      <c r="F65" s="8">
        <f t="shared" si="2"/>
        <v>0.32653061224489566</v>
      </c>
      <c r="G65" s="5">
        <f t="shared" si="3"/>
        <v>1.5873015873015817E-2</v>
      </c>
    </row>
    <row r="66" spans="1:7" ht="15.75" customHeight="1">
      <c r="A66" s="3">
        <v>21615</v>
      </c>
      <c r="B66" s="4">
        <v>50</v>
      </c>
      <c r="C66" s="8">
        <f t="shared" si="4"/>
        <v>35</v>
      </c>
      <c r="D66" s="8">
        <f t="shared" si="0"/>
        <v>15</v>
      </c>
      <c r="E66" s="8">
        <f t="shared" si="1"/>
        <v>15</v>
      </c>
      <c r="F66" s="8">
        <f t="shared" si="2"/>
        <v>225</v>
      </c>
      <c r="G66" s="5">
        <f t="shared" si="3"/>
        <v>0.3</v>
      </c>
    </row>
    <row r="67" spans="1:7" ht="15.75" customHeight="1">
      <c r="A67" s="3">
        <v>21616</v>
      </c>
      <c r="B67" s="4">
        <v>44</v>
      </c>
      <c r="C67" s="8">
        <f t="shared" si="4"/>
        <v>36.857142857142854</v>
      </c>
      <c r="D67" s="8">
        <f t="shared" si="0"/>
        <v>7.1428571428571459</v>
      </c>
      <c r="E67" s="8">
        <f t="shared" si="1"/>
        <v>7.1428571428571459</v>
      </c>
      <c r="F67" s="8">
        <f t="shared" si="2"/>
        <v>51.020408163265351</v>
      </c>
      <c r="G67" s="5">
        <f t="shared" si="3"/>
        <v>0.16233766233766242</v>
      </c>
    </row>
    <row r="68" spans="1:7" ht="15.75" customHeight="1">
      <c r="A68" s="3">
        <v>21617</v>
      </c>
      <c r="B68" s="4">
        <v>39</v>
      </c>
      <c r="C68" s="8">
        <f t="shared" si="4"/>
        <v>38.857142857142854</v>
      </c>
      <c r="D68" s="8">
        <f t="shared" si="0"/>
        <v>0.1428571428571459</v>
      </c>
      <c r="E68" s="8">
        <f t="shared" si="1"/>
        <v>0.1428571428571459</v>
      </c>
      <c r="F68" s="8">
        <f t="shared" si="2"/>
        <v>2.0408163265306992E-2</v>
      </c>
      <c r="G68" s="5">
        <f t="shared" si="3"/>
        <v>3.6630036630037411E-3</v>
      </c>
    </row>
    <row r="69" spans="1:7" ht="15.75" customHeight="1">
      <c r="A69" s="3">
        <v>21618</v>
      </c>
      <c r="B69" s="4">
        <v>32</v>
      </c>
      <c r="C69" s="8">
        <f t="shared" si="4"/>
        <v>39.428571428571431</v>
      </c>
      <c r="D69" s="8">
        <f t="shared" si="0"/>
        <v>-7.4285714285714306</v>
      </c>
      <c r="E69" s="8">
        <f t="shared" si="1"/>
        <v>7.4285714285714306</v>
      </c>
      <c r="F69" s="8">
        <f t="shared" si="2"/>
        <v>55.183673469387784</v>
      </c>
      <c r="G69" s="5">
        <f t="shared" si="3"/>
        <v>0.23214285714285721</v>
      </c>
    </row>
    <row r="70" spans="1:7" ht="15.75" customHeight="1">
      <c r="A70" s="3">
        <v>21619</v>
      </c>
      <c r="B70" s="4">
        <v>39</v>
      </c>
      <c r="C70" s="8">
        <f t="shared" si="4"/>
        <v>40</v>
      </c>
      <c r="D70" s="8">
        <f t="shared" si="0"/>
        <v>-1</v>
      </c>
      <c r="E70" s="8">
        <f t="shared" si="1"/>
        <v>1</v>
      </c>
      <c r="F70" s="8">
        <f t="shared" si="2"/>
        <v>1</v>
      </c>
      <c r="G70" s="5">
        <f t="shared" si="3"/>
        <v>2.564102564102564E-2</v>
      </c>
    </row>
    <row r="71" spans="1:7" ht="15.75" customHeight="1">
      <c r="A71" s="3">
        <v>21620</v>
      </c>
      <c r="B71" s="4">
        <v>45</v>
      </c>
      <c r="C71" s="8">
        <f t="shared" si="4"/>
        <v>39.142857142857146</v>
      </c>
      <c r="D71" s="8">
        <f t="shared" si="0"/>
        <v>5.8571428571428541</v>
      </c>
      <c r="E71" s="8">
        <f t="shared" si="1"/>
        <v>5.8571428571428541</v>
      </c>
      <c r="F71" s="8">
        <f t="shared" si="2"/>
        <v>34.306122448979558</v>
      </c>
      <c r="G71" s="5">
        <f t="shared" si="3"/>
        <v>0.13015873015873008</v>
      </c>
    </row>
    <row r="72" spans="1:7" ht="15.75" customHeight="1">
      <c r="A72" s="3">
        <v>21621</v>
      </c>
      <c r="B72" s="4">
        <v>43</v>
      </c>
      <c r="C72" s="8">
        <f t="shared" si="4"/>
        <v>40.714285714285715</v>
      </c>
      <c r="D72" s="8">
        <f t="shared" si="0"/>
        <v>2.2857142857142847</v>
      </c>
      <c r="E72" s="8">
        <f t="shared" si="1"/>
        <v>2.2857142857142847</v>
      </c>
      <c r="F72" s="8">
        <f t="shared" si="2"/>
        <v>5.2244897959183625</v>
      </c>
      <c r="G72" s="5">
        <f t="shared" si="3"/>
        <v>5.3156146179401967E-2</v>
      </c>
    </row>
    <row r="73" spans="1:7" ht="15.75" customHeight="1">
      <c r="A73" s="3">
        <v>21622</v>
      </c>
      <c r="B73" s="4">
        <v>39</v>
      </c>
      <c r="C73" s="8">
        <f t="shared" si="4"/>
        <v>41.714285714285715</v>
      </c>
      <c r="D73" s="8">
        <f t="shared" si="0"/>
        <v>-2.7142857142857153</v>
      </c>
      <c r="E73" s="8">
        <f t="shared" si="1"/>
        <v>2.7142857142857153</v>
      </c>
      <c r="F73" s="8">
        <f t="shared" si="2"/>
        <v>7.3673469387755155</v>
      </c>
      <c r="G73" s="5">
        <f t="shared" si="3"/>
        <v>6.9597069597069627E-2</v>
      </c>
    </row>
    <row r="74" spans="1:7" ht="15.75" customHeight="1">
      <c r="A74" s="3">
        <v>21623</v>
      </c>
      <c r="B74" s="4">
        <v>31</v>
      </c>
      <c r="C74" s="8">
        <f t="shared" si="4"/>
        <v>40.142857142857146</v>
      </c>
      <c r="D74" s="8">
        <f t="shared" ref="D74:D137" si="5">B74-C74</f>
        <v>-9.1428571428571459</v>
      </c>
      <c r="E74" s="8">
        <f t="shared" ref="E74:E137" si="6">ABS(D74)</f>
        <v>9.1428571428571459</v>
      </c>
      <c r="F74" s="8">
        <f t="shared" ref="F74:F137" si="7">E74^2</f>
        <v>83.591836734693928</v>
      </c>
      <c r="G74" s="5">
        <f t="shared" ref="G74:G137" si="8">E74/B74</f>
        <v>0.29493087557603698</v>
      </c>
    </row>
    <row r="75" spans="1:7" ht="15.75" customHeight="1">
      <c r="A75" s="3">
        <v>21624</v>
      </c>
      <c r="B75" s="4">
        <v>27</v>
      </c>
      <c r="C75" s="8">
        <f t="shared" ref="C75:C138" si="9">AVERAGE(B68:B74)</f>
        <v>38.285714285714285</v>
      </c>
      <c r="D75" s="8">
        <f t="shared" si="5"/>
        <v>-11.285714285714285</v>
      </c>
      <c r="E75" s="8">
        <f t="shared" si="6"/>
        <v>11.285714285714285</v>
      </c>
      <c r="F75" s="8">
        <f t="shared" si="7"/>
        <v>127.36734693877548</v>
      </c>
      <c r="G75" s="5">
        <f t="shared" si="8"/>
        <v>0.41798941798941797</v>
      </c>
    </row>
    <row r="76" spans="1:7" ht="15.75" customHeight="1">
      <c r="A76" s="3">
        <v>21625</v>
      </c>
      <c r="B76" s="4">
        <v>30</v>
      </c>
      <c r="C76" s="8">
        <f t="shared" si="9"/>
        <v>36.571428571428569</v>
      </c>
      <c r="D76" s="8">
        <f t="shared" si="5"/>
        <v>-6.5714285714285694</v>
      </c>
      <c r="E76" s="8">
        <f t="shared" si="6"/>
        <v>6.5714285714285694</v>
      </c>
      <c r="F76" s="8">
        <f t="shared" si="7"/>
        <v>43.183673469387728</v>
      </c>
      <c r="G76" s="5">
        <f t="shared" si="8"/>
        <v>0.21904761904761899</v>
      </c>
    </row>
    <row r="77" spans="1:7" ht="15.75" customHeight="1">
      <c r="A77" s="3">
        <v>21626</v>
      </c>
      <c r="B77" s="4">
        <v>42</v>
      </c>
      <c r="C77" s="8">
        <f t="shared" si="9"/>
        <v>36.285714285714285</v>
      </c>
      <c r="D77" s="8">
        <f t="shared" si="5"/>
        <v>5.7142857142857153</v>
      </c>
      <c r="E77" s="8">
        <f t="shared" si="6"/>
        <v>5.7142857142857153</v>
      </c>
      <c r="F77" s="8">
        <f t="shared" si="7"/>
        <v>32.653061224489811</v>
      </c>
      <c r="G77" s="5">
        <f t="shared" si="8"/>
        <v>0.1360544217687075</v>
      </c>
    </row>
    <row r="78" spans="1:7" ht="15.75" customHeight="1">
      <c r="A78" s="3">
        <v>21627</v>
      </c>
      <c r="B78" s="4">
        <v>46</v>
      </c>
      <c r="C78" s="8">
        <f t="shared" si="9"/>
        <v>36.714285714285715</v>
      </c>
      <c r="D78" s="8">
        <f t="shared" si="5"/>
        <v>9.2857142857142847</v>
      </c>
      <c r="E78" s="8">
        <f t="shared" si="6"/>
        <v>9.2857142857142847</v>
      </c>
      <c r="F78" s="8">
        <f t="shared" si="7"/>
        <v>86.224489795918345</v>
      </c>
      <c r="G78" s="5">
        <f t="shared" si="8"/>
        <v>0.20186335403726705</v>
      </c>
    </row>
    <row r="79" spans="1:7" ht="15.75" customHeight="1">
      <c r="A79" s="3">
        <v>21628</v>
      </c>
      <c r="B79" s="4">
        <v>41</v>
      </c>
      <c r="C79" s="8">
        <f t="shared" si="9"/>
        <v>36.857142857142854</v>
      </c>
      <c r="D79" s="8">
        <f t="shared" si="5"/>
        <v>4.1428571428571459</v>
      </c>
      <c r="E79" s="8">
        <f t="shared" si="6"/>
        <v>4.1428571428571459</v>
      </c>
      <c r="F79" s="8">
        <f t="shared" si="7"/>
        <v>17.163265306122476</v>
      </c>
      <c r="G79" s="5">
        <f t="shared" si="8"/>
        <v>0.10104529616724746</v>
      </c>
    </row>
    <row r="80" spans="1:7" ht="15.75" customHeight="1">
      <c r="A80" s="3">
        <v>21629</v>
      </c>
      <c r="B80" s="4">
        <v>36</v>
      </c>
      <c r="C80" s="8">
        <f t="shared" si="9"/>
        <v>36.571428571428569</v>
      </c>
      <c r="D80" s="8">
        <f t="shared" si="5"/>
        <v>-0.5714285714285694</v>
      </c>
      <c r="E80" s="8">
        <f t="shared" si="6"/>
        <v>0.5714285714285694</v>
      </c>
      <c r="F80" s="8">
        <f t="shared" si="7"/>
        <v>0.32653061224489566</v>
      </c>
      <c r="G80" s="5">
        <f t="shared" si="8"/>
        <v>1.5873015873015817E-2</v>
      </c>
    </row>
    <row r="81" spans="1:7" ht="15.75" customHeight="1">
      <c r="A81" s="3">
        <v>21630</v>
      </c>
      <c r="B81" s="4">
        <v>45</v>
      </c>
      <c r="C81" s="8">
        <f t="shared" si="9"/>
        <v>36.142857142857146</v>
      </c>
      <c r="D81" s="8">
        <f t="shared" si="5"/>
        <v>8.8571428571428541</v>
      </c>
      <c r="E81" s="8">
        <f t="shared" si="6"/>
        <v>8.8571428571428541</v>
      </c>
      <c r="F81" s="8">
        <f t="shared" si="7"/>
        <v>78.448979591836675</v>
      </c>
      <c r="G81" s="5">
        <f t="shared" si="8"/>
        <v>0.19682539682539676</v>
      </c>
    </row>
    <row r="82" spans="1:7" ht="15.75" customHeight="1">
      <c r="A82" s="3">
        <v>21631</v>
      </c>
      <c r="B82" s="4">
        <v>46</v>
      </c>
      <c r="C82" s="8">
        <f t="shared" si="9"/>
        <v>38.142857142857146</v>
      </c>
      <c r="D82" s="8">
        <f t="shared" si="5"/>
        <v>7.8571428571428541</v>
      </c>
      <c r="E82" s="8">
        <f t="shared" si="6"/>
        <v>7.8571428571428541</v>
      </c>
      <c r="F82" s="8">
        <f t="shared" si="7"/>
        <v>61.734693877550974</v>
      </c>
      <c r="G82" s="5">
        <f t="shared" si="8"/>
        <v>0.170807453416149</v>
      </c>
    </row>
    <row r="83" spans="1:7" ht="15.75" customHeight="1">
      <c r="A83" s="3">
        <v>21632</v>
      </c>
      <c r="B83" s="4">
        <v>43</v>
      </c>
      <c r="C83" s="8">
        <f t="shared" si="9"/>
        <v>40.857142857142854</v>
      </c>
      <c r="D83" s="8">
        <f t="shared" si="5"/>
        <v>2.1428571428571459</v>
      </c>
      <c r="E83" s="8">
        <f t="shared" si="6"/>
        <v>2.1428571428571459</v>
      </c>
      <c r="F83" s="8">
        <f t="shared" si="7"/>
        <v>4.5918367346938904</v>
      </c>
      <c r="G83" s="5">
        <f t="shared" si="8"/>
        <v>4.9833887043189438E-2</v>
      </c>
    </row>
    <row r="84" spans="1:7" ht="15.75" customHeight="1">
      <c r="A84" s="3">
        <v>21633</v>
      </c>
      <c r="B84" s="4">
        <v>38</v>
      </c>
      <c r="C84" s="8">
        <f t="shared" si="9"/>
        <v>42.714285714285715</v>
      </c>
      <c r="D84" s="8">
        <f t="shared" si="5"/>
        <v>-4.7142857142857153</v>
      </c>
      <c r="E84" s="8">
        <f t="shared" si="6"/>
        <v>4.7142857142857153</v>
      </c>
      <c r="F84" s="8">
        <f t="shared" si="7"/>
        <v>22.224489795918377</v>
      </c>
      <c r="G84" s="5">
        <f t="shared" si="8"/>
        <v>0.12406015037593987</v>
      </c>
    </row>
    <row r="85" spans="1:7" ht="15.75" customHeight="1">
      <c r="A85" s="3">
        <v>21634</v>
      </c>
      <c r="B85" s="4">
        <v>34</v>
      </c>
      <c r="C85" s="8">
        <f t="shared" si="9"/>
        <v>42.142857142857146</v>
      </c>
      <c r="D85" s="8">
        <f t="shared" si="5"/>
        <v>-8.1428571428571459</v>
      </c>
      <c r="E85" s="8">
        <f t="shared" si="6"/>
        <v>8.1428571428571459</v>
      </c>
      <c r="F85" s="8">
        <f t="shared" si="7"/>
        <v>66.306122448979636</v>
      </c>
      <c r="G85" s="5">
        <f t="shared" si="8"/>
        <v>0.23949579831932782</v>
      </c>
    </row>
    <row r="86" spans="1:7" ht="15.75" customHeight="1">
      <c r="A86" s="3">
        <v>21635</v>
      </c>
      <c r="B86" s="4">
        <v>35</v>
      </c>
      <c r="C86" s="8">
        <f t="shared" si="9"/>
        <v>40.428571428571431</v>
      </c>
      <c r="D86" s="8">
        <f t="shared" si="5"/>
        <v>-5.4285714285714306</v>
      </c>
      <c r="E86" s="8">
        <f t="shared" si="6"/>
        <v>5.4285714285714306</v>
      </c>
      <c r="F86" s="8">
        <f t="shared" si="7"/>
        <v>29.469387755102062</v>
      </c>
      <c r="G86" s="5">
        <f t="shared" si="8"/>
        <v>0.15510204081632659</v>
      </c>
    </row>
    <row r="87" spans="1:7" ht="15.75" customHeight="1">
      <c r="A87" s="3">
        <v>21636</v>
      </c>
      <c r="B87" s="4">
        <v>56</v>
      </c>
      <c r="C87" s="8">
        <f t="shared" si="9"/>
        <v>39.571428571428569</v>
      </c>
      <c r="D87" s="8">
        <f t="shared" si="5"/>
        <v>16.428571428571431</v>
      </c>
      <c r="E87" s="8">
        <f t="shared" si="6"/>
        <v>16.428571428571431</v>
      </c>
      <c r="F87" s="8">
        <f t="shared" si="7"/>
        <v>269.89795918367355</v>
      </c>
      <c r="G87" s="5">
        <f t="shared" si="8"/>
        <v>0.29336734693877553</v>
      </c>
    </row>
    <row r="88" spans="1:7" ht="15.75" customHeight="1">
      <c r="A88" s="3">
        <v>21637</v>
      </c>
      <c r="B88" s="4">
        <v>36</v>
      </c>
      <c r="C88" s="8">
        <f t="shared" si="9"/>
        <v>42.428571428571431</v>
      </c>
      <c r="D88" s="8">
        <f t="shared" si="5"/>
        <v>-6.4285714285714306</v>
      </c>
      <c r="E88" s="8">
        <f t="shared" si="6"/>
        <v>6.4285714285714306</v>
      </c>
      <c r="F88" s="8">
        <f t="shared" si="7"/>
        <v>41.326530612244923</v>
      </c>
      <c r="G88" s="5">
        <f t="shared" si="8"/>
        <v>0.17857142857142863</v>
      </c>
    </row>
    <row r="89" spans="1:7" ht="15.75" customHeight="1">
      <c r="A89" s="3">
        <v>21638</v>
      </c>
      <c r="B89" s="4">
        <v>32</v>
      </c>
      <c r="C89" s="8">
        <f t="shared" si="9"/>
        <v>41.142857142857146</v>
      </c>
      <c r="D89" s="8">
        <f t="shared" si="5"/>
        <v>-9.1428571428571459</v>
      </c>
      <c r="E89" s="8">
        <f t="shared" si="6"/>
        <v>9.1428571428571459</v>
      </c>
      <c r="F89" s="8">
        <f t="shared" si="7"/>
        <v>83.591836734693928</v>
      </c>
      <c r="G89" s="5">
        <f t="shared" si="8"/>
        <v>0.28571428571428581</v>
      </c>
    </row>
    <row r="90" spans="1:7" ht="15.75" customHeight="1">
      <c r="A90" s="3">
        <v>21639</v>
      </c>
      <c r="B90" s="4">
        <v>50</v>
      </c>
      <c r="C90" s="8">
        <f t="shared" si="9"/>
        <v>39.142857142857146</v>
      </c>
      <c r="D90" s="8">
        <f t="shared" si="5"/>
        <v>10.857142857142854</v>
      </c>
      <c r="E90" s="8">
        <f t="shared" si="6"/>
        <v>10.857142857142854</v>
      </c>
      <c r="F90" s="8">
        <f t="shared" si="7"/>
        <v>117.87755102040809</v>
      </c>
      <c r="G90" s="5">
        <f t="shared" si="8"/>
        <v>0.21714285714285708</v>
      </c>
    </row>
    <row r="91" spans="1:7" ht="15.75" customHeight="1">
      <c r="A91" s="3">
        <v>21640</v>
      </c>
      <c r="B91" s="4">
        <v>41</v>
      </c>
      <c r="C91" s="8">
        <f t="shared" si="9"/>
        <v>40.142857142857146</v>
      </c>
      <c r="D91" s="8">
        <f t="shared" si="5"/>
        <v>0.8571428571428541</v>
      </c>
      <c r="E91" s="8">
        <f t="shared" si="6"/>
        <v>0.8571428571428541</v>
      </c>
      <c r="F91" s="8">
        <f t="shared" si="7"/>
        <v>0.73469387755101523</v>
      </c>
      <c r="G91" s="5">
        <f t="shared" si="8"/>
        <v>2.0905923344947661E-2</v>
      </c>
    </row>
    <row r="92" spans="1:7" ht="15.75" customHeight="1">
      <c r="A92" s="3">
        <v>21641</v>
      </c>
      <c r="B92" s="4">
        <v>39</v>
      </c>
      <c r="C92" s="8">
        <f t="shared" si="9"/>
        <v>40.571428571428569</v>
      </c>
      <c r="D92" s="8">
        <f t="shared" si="5"/>
        <v>-1.5714285714285694</v>
      </c>
      <c r="E92" s="8">
        <f t="shared" si="6"/>
        <v>1.5714285714285694</v>
      </c>
      <c r="F92" s="8">
        <f t="shared" si="7"/>
        <v>2.4693877551020345</v>
      </c>
      <c r="G92" s="5">
        <f t="shared" si="8"/>
        <v>4.029304029304024E-2</v>
      </c>
    </row>
    <row r="93" spans="1:7" ht="15.75" customHeight="1">
      <c r="A93" s="3">
        <v>21642</v>
      </c>
      <c r="B93" s="4">
        <v>41</v>
      </c>
      <c r="C93" s="8">
        <f t="shared" si="9"/>
        <v>41.285714285714285</v>
      </c>
      <c r="D93" s="8">
        <f t="shared" si="5"/>
        <v>-0.2857142857142847</v>
      </c>
      <c r="E93" s="8">
        <f t="shared" si="6"/>
        <v>0.2857142857142847</v>
      </c>
      <c r="F93" s="8">
        <f t="shared" si="7"/>
        <v>8.1632653061223914E-2</v>
      </c>
      <c r="G93" s="5">
        <f t="shared" si="8"/>
        <v>6.9686411149825532E-3</v>
      </c>
    </row>
    <row r="94" spans="1:7" ht="15.75" customHeight="1">
      <c r="A94" s="3">
        <v>21643</v>
      </c>
      <c r="B94" s="4">
        <v>47</v>
      </c>
      <c r="C94" s="8">
        <f t="shared" si="9"/>
        <v>42.142857142857146</v>
      </c>
      <c r="D94" s="8">
        <f t="shared" si="5"/>
        <v>4.8571428571428541</v>
      </c>
      <c r="E94" s="8">
        <f t="shared" si="6"/>
        <v>4.8571428571428541</v>
      </c>
      <c r="F94" s="8">
        <f t="shared" si="7"/>
        <v>23.59183673469385</v>
      </c>
      <c r="G94" s="5">
        <f t="shared" si="8"/>
        <v>0.10334346504559264</v>
      </c>
    </row>
    <row r="95" spans="1:7" ht="15.75" customHeight="1">
      <c r="A95" s="3">
        <v>21644</v>
      </c>
      <c r="B95" s="4">
        <v>34</v>
      </c>
      <c r="C95" s="8">
        <f t="shared" si="9"/>
        <v>40.857142857142854</v>
      </c>
      <c r="D95" s="8">
        <f t="shared" si="5"/>
        <v>-6.8571428571428541</v>
      </c>
      <c r="E95" s="8">
        <f t="shared" si="6"/>
        <v>6.8571428571428541</v>
      </c>
      <c r="F95" s="8">
        <f t="shared" si="7"/>
        <v>47.020408163265266</v>
      </c>
      <c r="G95" s="5">
        <f t="shared" si="8"/>
        <v>0.20168067226890748</v>
      </c>
    </row>
    <row r="96" spans="1:7" ht="15.75" customHeight="1">
      <c r="A96" s="3">
        <v>21645</v>
      </c>
      <c r="B96" s="4">
        <v>36</v>
      </c>
      <c r="C96" s="8">
        <f t="shared" si="9"/>
        <v>40.571428571428569</v>
      </c>
      <c r="D96" s="8">
        <f t="shared" si="5"/>
        <v>-4.5714285714285694</v>
      </c>
      <c r="E96" s="8">
        <f t="shared" si="6"/>
        <v>4.5714285714285694</v>
      </c>
      <c r="F96" s="8">
        <f t="shared" si="7"/>
        <v>20.89795918367345</v>
      </c>
      <c r="G96" s="5">
        <f t="shared" si="8"/>
        <v>0.12698412698412692</v>
      </c>
    </row>
    <row r="97" spans="1:7" ht="15.75" customHeight="1">
      <c r="A97" s="3">
        <v>21646</v>
      </c>
      <c r="B97" s="4">
        <v>33</v>
      </c>
      <c r="C97" s="8">
        <f t="shared" si="9"/>
        <v>41.142857142857146</v>
      </c>
      <c r="D97" s="8">
        <f t="shared" si="5"/>
        <v>-8.1428571428571459</v>
      </c>
      <c r="E97" s="8">
        <f t="shared" si="6"/>
        <v>8.1428571428571459</v>
      </c>
      <c r="F97" s="8">
        <f t="shared" si="7"/>
        <v>66.306122448979636</v>
      </c>
      <c r="G97" s="5">
        <f t="shared" si="8"/>
        <v>0.24675324675324684</v>
      </c>
    </row>
    <row r="98" spans="1:7" ht="15.75" customHeight="1">
      <c r="A98" s="3">
        <v>21647</v>
      </c>
      <c r="B98" s="4">
        <v>35</v>
      </c>
      <c r="C98" s="8">
        <f t="shared" si="9"/>
        <v>38.714285714285715</v>
      </c>
      <c r="D98" s="8">
        <f t="shared" si="5"/>
        <v>-3.7142857142857153</v>
      </c>
      <c r="E98" s="8">
        <f t="shared" si="6"/>
        <v>3.7142857142857153</v>
      </c>
      <c r="F98" s="8">
        <f t="shared" si="7"/>
        <v>13.795918367346946</v>
      </c>
      <c r="G98" s="5">
        <f t="shared" si="8"/>
        <v>0.10612244897959186</v>
      </c>
    </row>
    <row r="99" spans="1:7" ht="15.75" customHeight="1">
      <c r="A99" s="3">
        <v>21648</v>
      </c>
      <c r="B99" s="4">
        <v>38</v>
      </c>
      <c r="C99" s="8">
        <f t="shared" si="9"/>
        <v>37.857142857142854</v>
      </c>
      <c r="D99" s="8">
        <f t="shared" si="5"/>
        <v>0.1428571428571459</v>
      </c>
      <c r="E99" s="8">
        <f t="shared" si="6"/>
        <v>0.1428571428571459</v>
      </c>
      <c r="F99" s="8">
        <f t="shared" si="7"/>
        <v>2.0408163265306992E-2</v>
      </c>
      <c r="G99" s="5">
        <f t="shared" si="8"/>
        <v>3.7593984962406815E-3</v>
      </c>
    </row>
    <row r="100" spans="1:7" ht="15.75" customHeight="1">
      <c r="A100" s="3">
        <v>21649</v>
      </c>
      <c r="B100" s="4">
        <v>38</v>
      </c>
      <c r="C100" s="8">
        <f t="shared" si="9"/>
        <v>37.714285714285715</v>
      </c>
      <c r="D100" s="8">
        <f t="shared" si="5"/>
        <v>0.2857142857142847</v>
      </c>
      <c r="E100" s="8">
        <f t="shared" si="6"/>
        <v>0.2857142857142847</v>
      </c>
      <c r="F100" s="8">
        <f t="shared" si="7"/>
        <v>8.1632653061223914E-2</v>
      </c>
      <c r="G100" s="5">
        <f t="shared" si="8"/>
        <v>7.5187969924811766E-3</v>
      </c>
    </row>
    <row r="101" spans="1:7" ht="15.75" customHeight="1">
      <c r="A101" s="3">
        <v>21650</v>
      </c>
      <c r="B101" s="4">
        <v>34</v>
      </c>
      <c r="C101" s="8">
        <f t="shared" si="9"/>
        <v>37.285714285714285</v>
      </c>
      <c r="D101" s="8">
        <f t="shared" si="5"/>
        <v>-3.2857142857142847</v>
      </c>
      <c r="E101" s="8">
        <f t="shared" si="6"/>
        <v>3.2857142857142847</v>
      </c>
      <c r="F101" s="8">
        <f t="shared" si="7"/>
        <v>10.795918367346932</v>
      </c>
      <c r="G101" s="5">
        <f t="shared" si="8"/>
        <v>9.663865546218485E-2</v>
      </c>
    </row>
    <row r="102" spans="1:7" ht="15.75" customHeight="1">
      <c r="A102" s="3">
        <v>21651</v>
      </c>
      <c r="B102" s="4">
        <v>53</v>
      </c>
      <c r="C102" s="8">
        <f t="shared" si="9"/>
        <v>35.428571428571431</v>
      </c>
      <c r="D102" s="8">
        <f t="shared" si="5"/>
        <v>17.571428571428569</v>
      </c>
      <c r="E102" s="8">
        <f t="shared" si="6"/>
        <v>17.571428571428569</v>
      </c>
      <c r="F102" s="8">
        <f t="shared" si="7"/>
        <v>308.75510204081627</v>
      </c>
      <c r="G102" s="5">
        <f t="shared" si="8"/>
        <v>0.33153638814016168</v>
      </c>
    </row>
    <row r="103" spans="1:7" ht="15.75" customHeight="1">
      <c r="A103" s="3">
        <v>21652</v>
      </c>
      <c r="B103" s="4">
        <v>34</v>
      </c>
      <c r="C103" s="8">
        <f t="shared" si="9"/>
        <v>38.142857142857146</v>
      </c>
      <c r="D103" s="8">
        <f t="shared" si="5"/>
        <v>-4.1428571428571459</v>
      </c>
      <c r="E103" s="8">
        <f t="shared" si="6"/>
        <v>4.1428571428571459</v>
      </c>
      <c r="F103" s="8">
        <f t="shared" si="7"/>
        <v>17.163265306122476</v>
      </c>
      <c r="G103" s="5">
        <f t="shared" si="8"/>
        <v>0.12184873949579841</v>
      </c>
    </row>
    <row r="104" spans="1:7" ht="15.75" customHeight="1">
      <c r="A104" s="3">
        <v>21653</v>
      </c>
      <c r="B104" s="4">
        <v>34</v>
      </c>
      <c r="C104" s="8">
        <f t="shared" si="9"/>
        <v>37.857142857142854</v>
      </c>
      <c r="D104" s="8">
        <f t="shared" si="5"/>
        <v>-3.8571428571428541</v>
      </c>
      <c r="E104" s="8">
        <f t="shared" si="6"/>
        <v>3.8571428571428541</v>
      </c>
      <c r="F104" s="8">
        <f t="shared" si="7"/>
        <v>14.87755102040814</v>
      </c>
      <c r="G104" s="5">
        <f t="shared" si="8"/>
        <v>0.11344537815126042</v>
      </c>
    </row>
    <row r="105" spans="1:7" ht="15.75" customHeight="1">
      <c r="A105" s="3">
        <v>21654</v>
      </c>
      <c r="B105" s="4">
        <v>38</v>
      </c>
      <c r="C105" s="8">
        <f t="shared" si="9"/>
        <v>38</v>
      </c>
      <c r="D105" s="8">
        <f t="shared" si="5"/>
        <v>0</v>
      </c>
      <c r="E105" s="8">
        <f t="shared" si="6"/>
        <v>0</v>
      </c>
      <c r="F105" s="8">
        <f t="shared" si="7"/>
        <v>0</v>
      </c>
      <c r="G105" s="5">
        <f t="shared" si="8"/>
        <v>0</v>
      </c>
    </row>
    <row r="106" spans="1:7" ht="15.75" customHeight="1">
      <c r="A106" s="3">
        <v>21655</v>
      </c>
      <c r="B106" s="4">
        <v>35</v>
      </c>
      <c r="C106" s="8">
        <f t="shared" si="9"/>
        <v>38.428571428571431</v>
      </c>
      <c r="D106" s="8">
        <f t="shared" si="5"/>
        <v>-3.4285714285714306</v>
      </c>
      <c r="E106" s="8">
        <f t="shared" si="6"/>
        <v>3.4285714285714306</v>
      </c>
      <c r="F106" s="8">
        <f t="shared" si="7"/>
        <v>11.75510204081634</v>
      </c>
      <c r="G106" s="5">
        <f t="shared" si="8"/>
        <v>9.7959183673469452E-2</v>
      </c>
    </row>
    <row r="107" spans="1:7" ht="15.75" customHeight="1">
      <c r="A107" s="3">
        <v>21656</v>
      </c>
      <c r="B107" s="4">
        <v>32</v>
      </c>
      <c r="C107" s="8">
        <f t="shared" si="9"/>
        <v>38</v>
      </c>
      <c r="D107" s="8">
        <f t="shared" si="5"/>
        <v>-6</v>
      </c>
      <c r="E107" s="8">
        <f t="shared" si="6"/>
        <v>6</v>
      </c>
      <c r="F107" s="8">
        <f t="shared" si="7"/>
        <v>36</v>
      </c>
      <c r="G107" s="5">
        <f t="shared" si="8"/>
        <v>0.1875</v>
      </c>
    </row>
    <row r="108" spans="1:7" ht="15.75" customHeight="1">
      <c r="A108" s="3">
        <v>21657</v>
      </c>
      <c r="B108" s="4">
        <v>42</v>
      </c>
      <c r="C108" s="8">
        <f t="shared" si="9"/>
        <v>37.142857142857146</v>
      </c>
      <c r="D108" s="8">
        <f t="shared" si="5"/>
        <v>4.8571428571428541</v>
      </c>
      <c r="E108" s="8">
        <f t="shared" si="6"/>
        <v>4.8571428571428541</v>
      </c>
      <c r="F108" s="8">
        <f t="shared" si="7"/>
        <v>23.59183673469385</v>
      </c>
      <c r="G108" s="5">
        <f t="shared" si="8"/>
        <v>0.11564625850340129</v>
      </c>
    </row>
    <row r="109" spans="1:7" ht="15.75" customHeight="1">
      <c r="A109" s="3">
        <v>21658</v>
      </c>
      <c r="B109" s="4">
        <v>34</v>
      </c>
      <c r="C109" s="8">
        <f t="shared" si="9"/>
        <v>38.285714285714285</v>
      </c>
      <c r="D109" s="8">
        <f t="shared" si="5"/>
        <v>-4.2857142857142847</v>
      </c>
      <c r="E109" s="8">
        <f t="shared" si="6"/>
        <v>4.2857142857142847</v>
      </c>
      <c r="F109" s="8">
        <f t="shared" si="7"/>
        <v>18.367346938775501</v>
      </c>
      <c r="G109" s="5">
        <f t="shared" si="8"/>
        <v>0.1260504201680672</v>
      </c>
    </row>
    <row r="110" spans="1:7" ht="15.75" customHeight="1">
      <c r="A110" s="3">
        <v>21659</v>
      </c>
      <c r="B110" s="4">
        <v>46</v>
      </c>
      <c r="C110" s="8">
        <f t="shared" si="9"/>
        <v>35.571428571428569</v>
      </c>
      <c r="D110" s="8">
        <f t="shared" si="5"/>
        <v>10.428571428571431</v>
      </c>
      <c r="E110" s="8">
        <f t="shared" si="6"/>
        <v>10.428571428571431</v>
      </c>
      <c r="F110" s="8">
        <f t="shared" si="7"/>
        <v>108.75510204081637</v>
      </c>
      <c r="G110" s="5">
        <f t="shared" si="8"/>
        <v>0.22670807453416153</v>
      </c>
    </row>
    <row r="111" spans="1:7" ht="15.75" customHeight="1">
      <c r="A111" s="3">
        <v>21660</v>
      </c>
      <c r="B111" s="4">
        <v>30</v>
      </c>
      <c r="C111" s="8">
        <f t="shared" si="9"/>
        <v>37.285714285714285</v>
      </c>
      <c r="D111" s="8">
        <f t="shared" si="5"/>
        <v>-7.2857142857142847</v>
      </c>
      <c r="E111" s="8">
        <f t="shared" si="6"/>
        <v>7.2857142857142847</v>
      </c>
      <c r="F111" s="8">
        <f t="shared" si="7"/>
        <v>53.081632653061213</v>
      </c>
      <c r="G111" s="5">
        <f t="shared" si="8"/>
        <v>0.24285714285714283</v>
      </c>
    </row>
    <row r="112" spans="1:7" ht="15.75" customHeight="1">
      <c r="A112" s="3">
        <v>21661</v>
      </c>
      <c r="B112" s="4">
        <v>46</v>
      </c>
      <c r="C112" s="8">
        <f t="shared" si="9"/>
        <v>36.714285714285715</v>
      </c>
      <c r="D112" s="8">
        <f t="shared" si="5"/>
        <v>9.2857142857142847</v>
      </c>
      <c r="E112" s="8">
        <f t="shared" si="6"/>
        <v>9.2857142857142847</v>
      </c>
      <c r="F112" s="8">
        <f t="shared" si="7"/>
        <v>86.224489795918345</v>
      </c>
      <c r="G112" s="5">
        <f t="shared" si="8"/>
        <v>0.20186335403726705</v>
      </c>
    </row>
    <row r="113" spans="1:7" ht="15.75" customHeight="1">
      <c r="A113" s="3">
        <v>21662</v>
      </c>
      <c r="B113" s="4">
        <v>45</v>
      </c>
      <c r="C113" s="8">
        <f t="shared" si="9"/>
        <v>37.857142857142854</v>
      </c>
      <c r="D113" s="8">
        <f t="shared" si="5"/>
        <v>7.1428571428571459</v>
      </c>
      <c r="E113" s="8">
        <f t="shared" si="6"/>
        <v>7.1428571428571459</v>
      </c>
      <c r="F113" s="8">
        <f t="shared" si="7"/>
        <v>51.020408163265351</v>
      </c>
      <c r="G113" s="5">
        <f t="shared" si="8"/>
        <v>0.1587301587301588</v>
      </c>
    </row>
    <row r="114" spans="1:7" ht="15.75" customHeight="1">
      <c r="A114" s="3">
        <v>21663</v>
      </c>
      <c r="B114" s="4">
        <v>54</v>
      </c>
      <c r="C114" s="8">
        <f t="shared" si="9"/>
        <v>39.285714285714285</v>
      </c>
      <c r="D114" s="8">
        <f t="shared" si="5"/>
        <v>14.714285714285715</v>
      </c>
      <c r="E114" s="8">
        <f t="shared" si="6"/>
        <v>14.714285714285715</v>
      </c>
      <c r="F114" s="8">
        <f t="shared" si="7"/>
        <v>216.51020408163268</v>
      </c>
      <c r="G114" s="5">
        <f t="shared" si="8"/>
        <v>0.2724867724867725</v>
      </c>
    </row>
    <row r="115" spans="1:7" ht="15.75" customHeight="1">
      <c r="A115" s="3">
        <v>21664</v>
      </c>
      <c r="B115" s="4">
        <v>34</v>
      </c>
      <c r="C115" s="8">
        <f t="shared" si="9"/>
        <v>42.428571428571431</v>
      </c>
      <c r="D115" s="8">
        <f t="shared" si="5"/>
        <v>-8.4285714285714306</v>
      </c>
      <c r="E115" s="8">
        <f t="shared" si="6"/>
        <v>8.4285714285714306</v>
      </c>
      <c r="F115" s="8">
        <f t="shared" si="7"/>
        <v>71.040816326530646</v>
      </c>
      <c r="G115" s="5">
        <f t="shared" si="8"/>
        <v>0.24789915966386561</v>
      </c>
    </row>
    <row r="116" spans="1:7" ht="15.75" customHeight="1">
      <c r="A116" s="3">
        <v>21665</v>
      </c>
      <c r="B116" s="4">
        <v>37</v>
      </c>
      <c r="C116" s="8">
        <f t="shared" si="9"/>
        <v>41.285714285714285</v>
      </c>
      <c r="D116" s="8">
        <f t="shared" si="5"/>
        <v>-4.2857142857142847</v>
      </c>
      <c r="E116" s="8">
        <f t="shared" si="6"/>
        <v>4.2857142857142847</v>
      </c>
      <c r="F116" s="8">
        <f t="shared" si="7"/>
        <v>18.367346938775501</v>
      </c>
      <c r="G116" s="5">
        <f t="shared" si="8"/>
        <v>0.11583011583011581</v>
      </c>
    </row>
    <row r="117" spans="1:7" ht="15.75" customHeight="1">
      <c r="A117" s="3">
        <v>21666</v>
      </c>
      <c r="B117" s="4">
        <v>35</v>
      </c>
      <c r="C117" s="8">
        <f t="shared" si="9"/>
        <v>41.714285714285715</v>
      </c>
      <c r="D117" s="8">
        <f t="shared" si="5"/>
        <v>-6.7142857142857153</v>
      </c>
      <c r="E117" s="8">
        <f t="shared" si="6"/>
        <v>6.7142857142857153</v>
      </c>
      <c r="F117" s="8">
        <f t="shared" si="7"/>
        <v>45.081632653061241</v>
      </c>
      <c r="G117" s="5">
        <f t="shared" si="8"/>
        <v>0.19183673469387758</v>
      </c>
    </row>
    <row r="118" spans="1:7" ht="15.75" customHeight="1">
      <c r="A118" s="3">
        <v>21667</v>
      </c>
      <c r="B118" s="4">
        <v>40</v>
      </c>
      <c r="C118" s="8">
        <f t="shared" si="9"/>
        <v>40.142857142857146</v>
      </c>
      <c r="D118" s="8">
        <f t="shared" si="5"/>
        <v>-0.1428571428571459</v>
      </c>
      <c r="E118" s="8">
        <f t="shared" si="6"/>
        <v>0.1428571428571459</v>
      </c>
      <c r="F118" s="8">
        <f t="shared" si="7"/>
        <v>2.0408163265306992E-2</v>
      </c>
      <c r="G118" s="5">
        <f t="shared" si="8"/>
        <v>3.5714285714286476E-3</v>
      </c>
    </row>
    <row r="119" spans="1:7" ht="15.75" customHeight="1">
      <c r="A119" s="3">
        <v>21668</v>
      </c>
      <c r="B119" s="4">
        <v>42</v>
      </c>
      <c r="C119" s="8">
        <f t="shared" si="9"/>
        <v>41.571428571428569</v>
      </c>
      <c r="D119" s="8">
        <f t="shared" si="5"/>
        <v>0.4285714285714306</v>
      </c>
      <c r="E119" s="8">
        <f t="shared" si="6"/>
        <v>0.4285714285714306</v>
      </c>
      <c r="F119" s="8">
        <f t="shared" si="7"/>
        <v>0.18367346938775683</v>
      </c>
      <c r="G119" s="5">
        <f t="shared" si="8"/>
        <v>1.0204081632653109E-2</v>
      </c>
    </row>
    <row r="120" spans="1:7" ht="15.75" customHeight="1">
      <c r="A120" s="3">
        <v>21669</v>
      </c>
      <c r="B120" s="4">
        <v>58</v>
      </c>
      <c r="C120" s="8">
        <f t="shared" si="9"/>
        <v>41</v>
      </c>
      <c r="D120" s="8">
        <f t="shared" si="5"/>
        <v>17</v>
      </c>
      <c r="E120" s="8">
        <f t="shared" si="6"/>
        <v>17</v>
      </c>
      <c r="F120" s="8">
        <f t="shared" si="7"/>
        <v>289</v>
      </c>
      <c r="G120" s="5">
        <f t="shared" si="8"/>
        <v>0.29310344827586204</v>
      </c>
    </row>
    <row r="121" spans="1:7" ht="15.75" customHeight="1">
      <c r="A121" s="3">
        <v>21670</v>
      </c>
      <c r="B121" s="4">
        <v>51</v>
      </c>
      <c r="C121" s="8">
        <f t="shared" si="9"/>
        <v>42.857142857142854</v>
      </c>
      <c r="D121" s="8">
        <f t="shared" si="5"/>
        <v>8.1428571428571459</v>
      </c>
      <c r="E121" s="8">
        <f t="shared" si="6"/>
        <v>8.1428571428571459</v>
      </c>
      <c r="F121" s="8">
        <f t="shared" si="7"/>
        <v>66.306122448979636</v>
      </c>
      <c r="G121" s="5">
        <f t="shared" si="8"/>
        <v>0.15966386554621856</v>
      </c>
    </row>
    <row r="122" spans="1:7" ht="15.75" customHeight="1">
      <c r="A122" s="3">
        <v>21671</v>
      </c>
      <c r="B122" s="4">
        <v>32</v>
      </c>
      <c r="C122" s="8">
        <f t="shared" si="9"/>
        <v>42.428571428571431</v>
      </c>
      <c r="D122" s="8">
        <f t="shared" si="5"/>
        <v>-10.428571428571431</v>
      </c>
      <c r="E122" s="8">
        <f t="shared" si="6"/>
        <v>10.428571428571431</v>
      </c>
      <c r="F122" s="8">
        <f t="shared" si="7"/>
        <v>108.75510204081637</v>
      </c>
      <c r="G122" s="5">
        <f t="shared" si="8"/>
        <v>0.32589285714285721</v>
      </c>
    </row>
    <row r="123" spans="1:7" ht="15.75" customHeight="1">
      <c r="A123" s="3">
        <v>21672</v>
      </c>
      <c r="B123" s="4">
        <v>35</v>
      </c>
      <c r="C123" s="8">
        <f t="shared" si="9"/>
        <v>42.142857142857146</v>
      </c>
      <c r="D123" s="8">
        <f t="shared" si="5"/>
        <v>-7.1428571428571459</v>
      </c>
      <c r="E123" s="8">
        <f t="shared" si="6"/>
        <v>7.1428571428571459</v>
      </c>
      <c r="F123" s="8">
        <f t="shared" si="7"/>
        <v>51.020408163265351</v>
      </c>
      <c r="G123" s="5">
        <f t="shared" si="8"/>
        <v>0.20408163265306131</v>
      </c>
    </row>
    <row r="124" spans="1:7" ht="15.75" customHeight="1">
      <c r="A124" s="3">
        <v>21673</v>
      </c>
      <c r="B124" s="4">
        <v>38</v>
      </c>
      <c r="C124" s="8">
        <f t="shared" si="9"/>
        <v>41.857142857142854</v>
      </c>
      <c r="D124" s="8">
        <f t="shared" si="5"/>
        <v>-3.8571428571428541</v>
      </c>
      <c r="E124" s="8">
        <f t="shared" si="6"/>
        <v>3.8571428571428541</v>
      </c>
      <c r="F124" s="8">
        <f t="shared" si="7"/>
        <v>14.87755102040814</v>
      </c>
      <c r="G124" s="5">
        <f t="shared" si="8"/>
        <v>0.10150375939849617</v>
      </c>
    </row>
    <row r="125" spans="1:7" ht="15.75" customHeight="1">
      <c r="A125" s="3">
        <v>21674</v>
      </c>
      <c r="B125" s="4">
        <v>33</v>
      </c>
      <c r="C125" s="8">
        <f t="shared" si="9"/>
        <v>42.285714285714285</v>
      </c>
      <c r="D125" s="8">
        <f t="shared" si="5"/>
        <v>-9.2857142857142847</v>
      </c>
      <c r="E125" s="8">
        <f t="shared" si="6"/>
        <v>9.2857142857142847</v>
      </c>
      <c r="F125" s="8">
        <f t="shared" si="7"/>
        <v>86.224489795918345</v>
      </c>
      <c r="G125" s="5">
        <f t="shared" si="8"/>
        <v>0.28138528138528135</v>
      </c>
    </row>
    <row r="126" spans="1:7" ht="15.75" customHeight="1">
      <c r="A126" s="3">
        <v>21675</v>
      </c>
      <c r="B126" s="4">
        <v>39</v>
      </c>
      <c r="C126" s="8">
        <f t="shared" si="9"/>
        <v>41.285714285714285</v>
      </c>
      <c r="D126" s="8">
        <f t="shared" si="5"/>
        <v>-2.2857142857142847</v>
      </c>
      <c r="E126" s="8">
        <f t="shared" si="6"/>
        <v>2.2857142857142847</v>
      </c>
      <c r="F126" s="8">
        <f t="shared" si="7"/>
        <v>5.2244897959183625</v>
      </c>
      <c r="G126" s="5">
        <f t="shared" si="8"/>
        <v>5.860805860805858E-2</v>
      </c>
    </row>
    <row r="127" spans="1:7" ht="15.75" customHeight="1">
      <c r="A127" s="3">
        <v>21676</v>
      </c>
      <c r="B127" s="4">
        <v>47</v>
      </c>
      <c r="C127" s="8">
        <f t="shared" si="9"/>
        <v>40.857142857142854</v>
      </c>
      <c r="D127" s="8">
        <f t="shared" si="5"/>
        <v>6.1428571428571459</v>
      </c>
      <c r="E127" s="8">
        <f t="shared" si="6"/>
        <v>6.1428571428571459</v>
      </c>
      <c r="F127" s="8">
        <f t="shared" si="7"/>
        <v>37.734693877551059</v>
      </c>
      <c r="G127" s="5">
        <f t="shared" si="8"/>
        <v>0.13069908814589673</v>
      </c>
    </row>
    <row r="128" spans="1:7" ht="15.75" customHeight="1">
      <c r="A128" s="3">
        <v>21677</v>
      </c>
      <c r="B128" s="4">
        <v>38</v>
      </c>
      <c r="C128" s="8">
        <f t="shared" si="9"/>
        <v>39.285714285714285</v>
      </c>
      <c r="D128" s="8">
        <f t="shared" si="5"/>
        <v>-1.2857142857142847</v>
      </c>
      <c r="E128" s="8">
        <f t="shared" si="6"/>
        <v>1.2857142857142847</v>
      </c>
      <c r="F128" s="8">
        <f t="shared" si="7"/>
        <v>1.6530612244897933</v>
      </c>
      <c r="G128" s="5">
        <f t="shared" si="8"/>
        <v>3.3834586466165384E-2</v>
      </c>
    </row>
    <row r="129" spans="1:7" ht="15.75" customHeight="1">
      <c r="A129" s="3">
        <v>21678</v>
      </c>
      <c r="B129" s="4">
        <v>52</v>
      </c>
      <c r="C129" s="8">
        <f t="shared" si="9"/>
        <v>37.428571428571431</v>
      </c>
      <c r="D129" s="8">
        <f t="shared" si="5"/>
        <v>14.571428571428569</v>
      </c>
      <c r="E129" s="8">
        <f t="shared" si="6"/>
        <v>14.571428571428569</v>
      </c>
      <c r="F129" s="8">
        <f t="shared" si="7"/>
        <v>212.32653061224485</v>
      </c>
      <c r="G129" s="5">
        <f t="shared" si="8"/>
        <v>0.28021978021978017</v>
      </c>
    </row>
    <row r="130" spans="1:7" ht="15.75" customHeight="1">
      <c r="A130" s="3">
        <v>21679</v>
      </c>
      <c r="B130" s="4">
        <v>30</v>
      </c>
      <c r="C130" s="8">
        <f t="shared" si="9"/>
        <v>40.285714285714285</v>
      </c>
      <c r="D130" s="8">
        <f t="shared" si="5"/>
        <v>-10.285714285714285</v>
      </c>
      <c r="E130" s="8">
        <f t="shared" si="6"/>
        <v>10.285714285714285</v>
      </c>
      <c r="F130" s="8">
        <f t="shared" si="7"/>
        <v>105.79591836734691</v>
      </c>
      <c r="G130" s="5">
        <f t="shared" si="8"/>
        <v>0.3428571428571428</v>
      </c>
    </row>
    <row r="131" spans="1:7" ht="15.75" customHeight="1">
      <c r="A131" s="3">
        <v>21680</v>
      </c>
      <c r="B131" s="4">
        <v>34</v>
      </c>
      <c r="C131" s="8">
        <f t="shared" si="9"/>
        <v>39.571428571428569</v>
      </c>
      <c r="D131" s="8">
        <f t="shared" si="5"/>
        <v>-5.5714285714285694</v>
      </c>
      <c r="E131" s="8">
        <f t="shared" si="6"/>
        <v>5.5714285714285694</v>
      </c>
      <c r="F131" s="8">
        <f t="shared" si="7"/>
        <v>31.040816326530589</v>
      </c>
      <c r="G131" s="5">
        <f t="shared" si="8"/>
        <v>0.16386554621848734</v>
      </c>
    </row>
    <row r="132" spans="1:7" ht="15.75" customHeight="1">
      <c r="A132" s="3">
        <v>21681</v>
      </c>
      <c r="B132" s="4">
        <v>40</v>
      </c>
      <c r="C132" s="8">
        <f t="shared" si="9"/>
        <v>39</v>
      </c>
      <c r="D132" s="8">
        <f t="shared" si="5"/>
        <v>1</v>
      </c>
      <c r="E132" s="8">
        <f t="shared" si="6"/>
        <v>1</v>
      </c>
      <c r="F132" s="8">
        <f t="shared" si="7"/>
        <v>1</v>
      </c>
      <c r="G132" s="5">
        <f t="shared" si="8"/>
        <v>2.5000000000000001E-2</v>
      </c>
    </row>
    <row r="133" spans="1:7" ht="15.75" customHeight="1">
      <c r="A133" s="3">
        <v>21682</v>
      </c>
      <c r="B133" s="4">
        <v>35</v>
      </c>
      <c r="C133" s="8">
        <f t="shared" si="9"/>
        <v>40</v>
      </c>
      <c r="D133" s="8">
        <f t="shared" si="5"/>
        <v>-5</v>
      </c>
      <c r="E133" s="8">
        <f t="shared" si="6"/>
        <v>5</v>
      </c>
      <c r="F133" s="8">
        <f t="shared" si="7"/>
        <v>25</v>
      </c>
      <c r="G133" s="5">
        <f t="shared" si="8"/>
        <v>0.14285714285714285</v>
      </c>
    </row>
    <row r="134" spans="1:7" ht="15.75" customHeight="1">
      <c r="A134" s="3">
        <v>21683</v>
      </c>
      <c r="B134" s="4">
        <v>42</v>
      </c>
      <c r="C134" s="8">
        <f t="shared" si="9"/>
        <v>39.428571428571431</v>
      </c>
      <c r="D134" s="8">
        <f t="shared" si="5"/>
        <v>2.5714285714285694</v>
      </c>
      <c r="E134" s="8">
        <f t="shared" si="6"/>
        <v>2.5714285714285694</v>
      </c>
      <c r="F134" s="8">
        <f t="shared" si="7"/>
        <v>6.6122448979591733</v>
      </c>
      <c r="G134" s="5">
        <f t="shared" si="8"/>
        <v>6.1224489795918317E-2</v>
      </c>
    </row>
    <row r="135" spans="1:7" ht="15.75" customHeight="1">
      <c r="A135" s="3">
        <v>21684</v>
      </c>
      <c r="B135" s="4">
        <v>41</v>
      </c>
      <c r="C135" s="8">
        <f t="shared" si="9"/>
        <v>38.714285714285715</v>
      </c>
      <c r="D135" s="8">
        <f t="shared" si="5"/>
        <v>2.2857142857142847</v>
      </c>
      <c r="E135" s="8">
        <f t="shared" si="6"/>
        <v>2.2857142857142847</v>
      </c>
      <c r="F135" s="8">
        <f t="shared" si="7"/>
        <v>5.2244897959183625</v>
      </c>
      <c r="G135" s="5">
        <f t="shared" si="8"/>
        <v>5.5749128919860599E-2</v>
      </c>
    </row>
    <row r="136" spans="1:7" ht="15.75" customHeight="1">
      <c r="A136" s="3">
        <v>21685</v>
      </c>
      <c r="B136" s="4">
        <v>42</v>
      </c>
      <c r="C136" s="8">
        <f t="shared" si="9"/>
        <v>39.142857142857146</v>
      </c>
      <c r="D136" s="8">
        <f t="shared" si="5"/>
        <v>2.8571428571428541</v>
      </c>
      <c r="E136" s="8">
        <f t="shared" si="6"/>
        <v>2.8571428571428541</v>
      </c>
      <c r="F136" s="8">
        <f t="shared" si="7"/>
        <v>8.1632653061224314</v>
      </c>
      <c r="G136" s="5">
        <f t="shared" si="8"/>
        <v>6.8027210884353664E-2</v>
      </c>
    </row>
    <row r="137" spans="1:7" ht="15.75" customHeight="1">
      <c r="A137" s="3">
        <v>21686</v>
      </c>
      <c r="B137" s="4">
        <v>38</v>
      </c>
      <c r="C137" s="8">
        <f t="shared" si="9"/>
        <v>37.714285714285715</v>
      </c>
      <c r="D137" s="8">
        <f t="shared" si="5"/>
        <v>0.2857142857142847</v>
      </c>
      <c r="E137" s="8">
        <f t="shared" si="6"/>
        <v>0.2857142857142847</v>
      </c>
      <c r="F137" s="8">
        <f t="shared" si="7"/>
        <v>8.1632653061223914E-2</v>
      </c>
      <c r="G137" s="5">
        <f t="shared" si="8"/>
        <v>7.5187969924811766E-3</v>
      </c>
    </row>
    <row r="138" spans="1:7" ht="15.75" customHeight="1">
      <c r="A138" s="3">
        <v>21687</v>
      </c>
      <c r="B138" s="4">
        <v>24</v>
      </c>
      <c r="C138" s="8">
        <f t="shared" si="9"/>
        <v>38.857142857142854</v>
      </c>
      <c r="D138" s="8">
        <f t="shared" ref="D138:D201" si="10">B138-C138</f>
        <v>-14.857142857142854</v>
      </c>
      <c r="E138" s="8">
        <f t="shared" ref="E138:E201" si="11">ABS(D138)</f>
        <v>14.857142857142854</v>
      </c>
      <c r="F138" s="8">
        <f t="shared" ref="F138:F201" si="12">E138^2</f>
        <v>220.73469387755094</v>
      </c>
      <c r="G138" s="5">
        <f t="shared" ref="G138:G201" si="13">E138/B138</f>
        <v>0.61904761904761896</v>
      </c>
    </row>
    <row r="139" spans="1:7" ht="15.75" customHeight="1">
      <c r="A139" s="3">
        <v>21688</v>
      </c>
      <c r="B139" s="4">
        <v>34</v>
      </c>
      <c r="C139" s="8">
        <f t="shared" ref="C139:C202" si="14">AVERAGE(B132:B138)</f>
        <v>37.428571428571431</v>
      </c>
      <c r="D139" s="8">
        <f t="shared" si="10"/>
        <v>-3.4285714285714306</v>
      </c>
      <c r="E139" s="8">
        <f t="shared" si="11"/>
        <v>3.4285714285714306</v>
      </c>
      <c r="F139" s="8">
        <f t="shared" si="12"/>
        <v>11.75510204081634</v>
      </c>
      <c r="G139" s="5">
        <f t="shared" si="13"/>
        <v>0.10084033613445384</v>
      </c>
    </row>
    <row r="140" spans="1:7" ht="15.75" customHeight="1">
      <c r="A140" s="3">
        <v>21689</v>
      </c>
      <c r="B140" s="4">
        <v>43</v>
      </c>
      <c r="C140" s="8">
        <f t="shared" si="14"/>
        <v>36.571428571428569</v>
      </c>
      <c r="D140" s="8">
        <f t="shared" si="10"/>
        <v>6.4285714285714306</v>
      </c>
      <c r="E140" s="8">
        <f t="shared" si="11"/>
        <v>6.4285714285714306</v>
      </c>
      <c r="F140" s="8">
        <f t="shared" si="12"/>
        <v>41.326530612244923</v>
      </c>
      <c r="G140" s="5">
        <f t="shared" si="13"/>
        <v>0.14950166112956814</v>
      </c>
    </row>
    <row r="141" spans="1:7" ht="15.75" customHeight="1">
      <c r="A141" s="3">
        <v>21690</v>
      </c>
      <c r="B141" s="4">
        <v>36</v>
      </c>
      <c r="C141" s="8">
        <f t="shared" si="14"/>
        <v>37.714285714285715</v>
      </c>
      <c r="D141" s="8">
        <f t="shared" si="10"/>
        <v>-1.7142857142857153</v>
      </c>
      <c r="E141" s="8">
        <f t="shared" si="11"/>
        <v>1.7142857142857153</v>
      </c>
      <c r="F141" s="8">
        <f t="shared" si="12"/>
        <v>2.9387755102040849</v>
      </c>
      <c r="G141" s="5">
        <f t="shared" si="13"/>
        <v>4.7619047619047644E-2</v>
      </c>
    </row>
    <row r="142" spans="1:7" ht="15.75" customHeight="1">
      <c r="A142" s="3">
        <v>21691</v>
      </c>
      <c r="B142" s="4">
        <v>55</v>
      </c>
      <c r="C142" s="8">
        <f t="shared" si="14"/>
        <v>36.857142857142854</v>
      </c>
      <c r="D142" s="8">
        <f t="shared" si="10"/>
        <v>18.142857142857146</v>
      </c>
      <c r="E142" s="8">
        <f t="shared" si="11"/>
        <v>18.142857142857146</v>
      </c>
      <c r="F142" s="8">
        <f t="shared" si="12"/>
        <v>329.16326530612258</v>
      </c>
      <c r="G142" s="5">
        <f t="shared" si="13"/>
        <v>0.32987012987012992</v>
      </c>
    </row>
    <row r="143" spans="1:7" ht="15.75" customHeight="1">
      <c r="A143" s="3">
        <v>21692</v>
      </c>
      <c r="B143" s="4">
        <v>41</v>
      </c>
      <c r="C143" s="8">
        <f t="shared" si="14"/>
        <v>38.857142857142854</v>
      </c>
      <c r="D143" s="8">
        <f t="shared" si="10"/>
        <v>2.1428571428571459</v>
      </c>
      <c r="E143" s="8">
        <f t="shared" si="11"/>
        <v>2.1428571428571459</v>
      </c>
      <c r="F143" s="8">
        <f t="shared" si="12"/>
        <v>4.5918367346938904</v>
      </c>
      <c r="G143" s="5">
        <f t="shared" si="13"/>
        <v>5.2264808362369415E-2</v>
      </c>
    </row>
    <row r="144" spans="1:7" ht="15.75" customHeight="1">
      <c r="A144" s="3">
        <v>21693</v>
      </c>
      <c r="B144" s="4">
        <v>45</v>
      </c>
      <c r="C144" s="8">
        <f t="shared" si="14"/>
        <v>38.714285714285715</v>
      </c>
      <c r="D144" s="8">
        <f t="shared" si="10"/>
        <v>6.2857142857142847</v>
      </c>
      <c r="E144" s="8">
        <f t="shared" si="11"/>
        <v>6.2857142857142847</v>
      </c>
      <c r="F144" s="8">
        <f t="shared" si="12"/>
        <v>39.510204081632644</v>
      </c>
      <c r="G144" s="5">
        <f t="shared" si="13"/>
        <v>0.13968253968253966</v>
      </c>
    </row>
    <row r="145" spans="1:7" ht="15.75" customHeight="1">
      <c r="A145" s="3">
        <v>21694</v>
      </c>
      <c r="B145" s="4">
        <v>41</v>
      </c>
      <c r="C145" s="8">
        <f t="shared" si="14"/>
        <v>39.714285714285715</v>
      </c>
      <c r="D145" s="8">
        <f t="shared" si="10"/>
        <v>1.2857142857142847</v>
      </c>
      <c r="E145" s="8">
        <f t="shared" si="11"/>
        <v>1.2857142857142847</v>
      </c>
      <c r="F145" s="8">
        <f t="shared" si="12"/>
        <v>1.6530612244897933</v>
      </c>
      <c r="G145" s="5">
        <f t="shared" si="13"/>
        <v>3.1358885017421581E-2</v>
      </c>
    </row>
    <row r="146" spans="1:7" ht="15.75" customHeight="1">
      <c r="A146" s="3">
        <v>21695</v>
      </c>
      <c r="B146" s="4">
        <v>37</v>
      </c>
      <c r="C146" s="8">
        <f t="shared" si="14"/>
        <v>42.142857142857146</v>
      </c>
      <c r="D146" s="8">
        <f t="shared" si="10"/>
        <v>-5.1428571428571459</v>
      </c>
      <c r="E146" s="8">
        <f t="shared" si="11"/>
        <v>5.1428571428571459</v>
      </c>
      <c r="F146" s="8">
        <f t="shared" si="12"/>
        <v>26.448979591836768</v>
      </c>
      <c r="G146" s="5">
        <f t="shared" si="13"/>
        <v>0.13899613899613908</v>
      </c>
    </row>
    <row r="147" spans="1:7" ht="15.75" customHeight="1">
      <c r="A147" s="3">
        <v>21696</v>
      </c>
      <c r="B147" s="4">
        <v>43</v>
      </c>
      <c r="C147" s="8">
        <f t="shared" si="14"/>
        <v>42.571428571428569</v>
      </c>
      <c r="D147" s="8">
        <f t="shared" si="10"/>
        <v>0.4285714285714306</v>
      </c>
      <c r="E147" s="8">
        <f t="shared" si="11"/>
        <v>0.4285714285714306</v>
      </c>
      <c r="F147" s="8">
        <f t="shared" si="12"/>
        <v>0.18367346938775683</v>
      </c>
      <c r="G147" s="5">
        <f t="shared" si="13"/>
        <v>9.9667774086379217E-3</v>
      </c>
    </row>
    <row r="148" spans="1:7" ht="15.75" customHeight="1">
      <c r="A148" s="3">
        <v>21697</v>
      </c>
      <c r="B148" s="4">
        <v>39</v>
      </c>
      <c r="C148" s="8">
        <f t="shared" si="14"/>
        <v>42.571428571428569</v>
      </c>
      <c r="D148" s="8">
        <f t="shared" si="10"/>
        <v>-3.5714285714285694</v>
      </c>
      <c r="E148" s="8">
        <f t="shared" si="11"/>
        <v>3.5714285714285694</v>
      </c>
      <c r="F148" s="8">
        <f t="shared" si="12"/>
        <v>12.755102040816311</v>
      </c>
      <c r="G148" s="5">
        <f t="shared" si="13"/>
        <v>9.1575091575091527E-2</v>
      </c>
    </row>
    <row r="149" spans="1:7" ht="15.75" customHeight="1">
      <c r="A149" s="3">
        <v>21698</v>
      </c>
      <c r="B149" s="4">
        <v>33</v>
      </c>
      <c r="C149" s="8">
        <f t="shared" si="14"/>
        <v>43</v>
      </c>
      <c r="D149" s="8">
        <f t="shared" si="10"/>
        <v>-10</v>
      </c>
      <c r="E149" s="8">
        <f t="shared" si="11"/>
        <v>10</v>
      </c>
      <c r="F149" s="8">
        <f t="shared" si="12"/>
        <v>100</v>
      </c>
      <c r="G149" s="5">
        <f t="shared" si="13"/>
        <v>0.30303030303030304</v>
      </c>
    </row>
    <row r="150" spans="1:7" ht="15.75" customHeight="1">
      <c r="A150" s="3">
        <v>21699</v>
      </c>
      <c r="B150" s="4">
        <v>43</v>
      </c>
      <c r="C150" s="8">
        <f t="shared" si="14"/>
        <v>39.857142857142854</v>
      </c>
      <c r="D150" s="8">
        <f t="shared" si="10"/>
        <v>3.1428571428571459</v>
      </c>
      <c r="E150" s="8">
        <f t="shared" si="11"/>
        <v>3.1428571428571459</v>
      </c>
      <c r="F150" s="8">
        <f t="shared" si="12"/>
        <v>9.8775510204081822</v>
      </c>
      <c r="G150" s="5">
        <f t="shared" si="13"/>
        <v>7.3089700996677817E-2</v>
      </c>
    </row>
    <row r="151" spans="1:7" ht="15.75" customHeight="1">
      <c r="A151" s="3">
        <v>21700</v>
      </c>
      <c r="B151" s="4">
        <v>40</v>
      </c>
      <c r="C151" s="8">
        <f t="shared" si="14"/>
        <v>40.142857142857146</v>
      </c>
      <c r="D151" s="8">
        <f t="shared" si="10"/>
        <v>-0.1428571428571459</v>
      </c>
      <c r="E151" s="8">
        <f t="shared" si="11"/>
        <v>0.1428571428571459</v>
      </c>
      <c r="F151" s="8">
        <f t="shared" si="12"/>
        <v>2.0408163265306992E-2</v>
      </c>
      <c r="G151" s="5">
        <f t="shared" si="13"/>
        <v>3.5714285714286476E-3</v>
      </c>
    </row>
    <row r="152" spans="1:7" ht="15.75" customHeight="1">
      <c r="A152" s="3">
        <v>21701</v>
      </c>
      <c r="B152" s="4">
        <v>38</v>
      </c>
      <c r="C152" s="8">
        <f t="shared" si="14"/>
        <v>39.428571428571431</v>
      </c>
      <c r="D152" s="8">
        <f t="shared" si="10"/>
        <v>-1.4285714285714306</v>
      </c>
      <c r="E152" s="8">
        <f t="shared" si="11"/>
        <v>1.4285714285714306</v>
      </c>
      <c r="F152" s="8">
        <f t="shared" si="12"/>
        <v>2.0408163265306181</v>
      </c>
      <c r="G152" s="5">
        <f t="shared" si="13"/>
        <v>3.7593984962406068E-2</v>
      </c>
    </row>
    <row r="153" spans="1:7" ht="15.75" customHeight="1">
      <c r="A153" s="3">
        <v>21702</v>
      </c>
      <c r="B153" s="4">
        <v>45</v>
      </c>
      <c r="C153" s="8">
        <f t="shared" si="14"/>
        <v>39</v>
      </c>
      <c r="D153" s="8">
        <f t="shared" si="10"/>
        <v>6</v>
      </c>
      <c r="E153" s="8">
        <f t="shared" si="11"/>
        <v>6</v>
      </c>
      <c r="F153" s="8">
        <f t="shared" si="12"/>
        <v>36</v>
      </c>
      <c r="G153" s="5">
        <f t="shared" si="13"/>
        <v>0.13333333333333333</v>
      </c>
    </row>
    <row r="154" spans="1:7" ht="15.75" customHeight="1">
      <c r="A154" s="3">
        <v>21703</v>
      </c>
      <c r="B154" s="4">
        <v>46</v>
      </c>
      <c r="C154" s="8">
        <f t="shared" si="14"/>
        <v>40.142857142857146</v>
      </c>
      <c r="D154" s="8">
        <f t="shared" si="10"/>
        <v>5.8571428571428541</v>
      </c>
      <c r="E154" s="8">
        <f t="shared" si="11"/>
        <v>5.8571428571428541</v>
      </c>
      <c r="F154" s="8">
        <f t="shared" si="12"/>
        <v>34.306122448979558</v>
      </c>
      <c r="G154" s="5">
        <f t="shared" si="13"/>
        <v>0.12732919254658379</v>
      </c>
    </row>
    <row r="155" spans="1:7" ht="15.75" customHeight="1">
      <c r="A155" s="3">
        <v>21704</v>
      </c>
      <c r="B155" s="4">
        <v>34</v>
      </c>
      <c r="C155" s="8">
        <f t="shared" si="14"/>
        <v>40.571428571428569</v>
      </c>
      <c r="D155" s="8">
        <f t="shared" si="10"/>
        <v>-6.5714285714285694</v>
      </c>
      <c r="E155" s="8">
        <f t="shared" si="11"/>
        <v>6.5714285714285694</v>
      </c>
      <c r="F155" s="8">
        <f t="shared" si="12"/>
        <v>43.183673469387728</v>
      </c>
      <c r="G155" s="5">
        <f t="shared" si="13"/>
        <v>0.1932773109243697</v>
      </c>
    </row>
    <row r="156" spans="1:7" ht="15.75" customHeight="1">
      <c r="A156" s="3">
        <v>21705</v>
      </c>
      <c r="B156" s="4">
        <v>35</v>
      </c>
      <c r="C156" s="8">
        <f t="shared" si="14"/>
        <v>39.857142857142854</v>
      </c>
      <c r="D156" s="8">
        <f t="shared" si="10"/>
        <v>-4.8571428571428541</v>
      </c>
      <c r="E156" s="8">
        <f t="shared" si="11"/>
        <v>4.8571428571428541</v>
      </c>
      <c r="F156" s="8">
        <f t="shared" si="12"/>
        <v>23.59183673469385</v>
      </c>
      <c r="G156" s="5">
        <f t="shared" si="13"/>
        <v>0.13877551020408155</v>
      </c>
    </row>
    <row r="157" spans="1:7" ht="15.75" customHeight="1">
      <c r="A157" s="3">
        <v>21706</v>
      </c>
      <c r="B157" s="4">
        <v>48</v>
      </c>
      <c r="C157" s="8">
        <f t="shared" si="14"/>
        <v>40.142857142857146</v>
      </c>
      <c r="D157" s="8">
        <f t="shared" si="10"/>
        <v>7.8571428571428541</v>
      </c>
      <c r="E157" s="8">
        <f t="shared" si="11"/>
        <v>7.8571428571428541</v>
      </c>
      <c r="F157" s="8">
        <f t="shared" si="12"/>
        <v>61.734693877550974</v>
      </c>
      <c r="G157" s="5">
        <f t="shared" si="13"/>
        <v>0.16369047619047614</v>
      </c>
    </row>
    <row r="158" spans="1:7" ht="15.75" customHeight="1">
      <c r="A158" s="3">
        <v>21707</v>
      </c>
      <c r="B158" s="4">
        <v>51</v>
      </c>
      <c r="C158" s="8">
        <f t="shared" si="14"/>
        <v>40.857142857142854</v>
      </c>
      <c r="D158" s="8">
        <f t="shared" si="10"/>
        <v>10.142857142857146</v>
      </c>
      <c r="E158" s="8">
        <f t="shared" si="11"/>
        <v>10.142857142857146</v>
      </c>
      <c r="F158" s="8">
        <f t="shared" si="12"/>
        <v>102.87755102040822</v>
      </c>
      <c r="G158" s="5">
        <f t="shared" si="13"/>
        <v>0.19887955182072836</v>
      </c>
    </row>
    <row r="159" spans="1:7" ht="15.75" customHeight="1">
      <c r="A159" s="3">
        <v>21708</v>
      </c>
      <c r="B159" s="4">
        <v>36</v>
      </c>
      <c r="C159" s="8">
        <f t="shared" si="14"/>
        <v>42.428571428571431</v>
      </c>
      <c r="D159" s="8">
        <f t="shared" si="10"/>
        <v>-6.4285714285714306</v>
      </c>
      <c r="E159" s="8">
        <f t="shared" si="11"/>
        <v>6.4285714285714306</v>
      </c>
      <c r="F159" s="8">
        <f t="shared" si="12"/>
        <v>41.326530612244923</v>
      </c>
      <c r="G159" s="5">
        <f t="shared" si="13"/>
        <v>0.17857142857142863</v>
      </c>
    </row>
    <row r="160" spans="1:7" ht="15.75" customHeight="1">
      <c r="A160" s="3">
        <v>21709</v>
      </c>
      <c r="B160" s="4">
        <v>33</v>
      </c>
      <c r="C160" s="8">
        <f t="shared" si="14"/>
        <v>42.142857142857146</v>
      </c>
      <c r="D160" s="8">
        <f t="shared" si="10"/>
        <v>-9.1428571428571459</v>
      </c>
      <c r="E160" s="8">
        <f t="shared" si="11"/>
        <v>9.1428571428571459</v>
      </c>
      <c r="F160" s="8">
        <f t="shared" si="12"/>
        <v>83.591836734693928</v>
      </c>
      <c r="G160" s="5">
        <f t="shared" si="13"/>
        <v>0.27705627705627717</v>
      </c>
    </row>
    <row r="161" spans="1:7" ht="15.75" customHeight="1">
      <c r="A161" s="3">
        <v>21710</v>
      </c>
      <c r="B161" s="4">
        <v>46</v>
      </c>
      <c r="C161" s="8">
        <f t="shared" si="14"/>
        <v>40.428571428571431</v>
      </c>
      <c r="D161" s="8">
        <f t="shared" si="10"/>
        <v>5.5714285714285694</v>
      </c>
      <c r="E161" s="8">
        <f t="shared" si="11"/>
        <v>5.5714285714285694</v>
      </c>
      <c r="F161" s="8">
        <f t="shared" si="12"/>
        <v>31.040816326530589</v>
      </c>
      <c r="G161" s="5">
        <f t="shared" si="13"/>
        <v>0.1211180124223602</v>
      </c>
    </row>
    <row r="162" spans="1:7" ht="15.75" customHeight="1">
      <c r="A162" s="3">
        <v>21711</v>
      </c>
      <c r="B162" s="4">
        <v>42</v>
      </c>
      <c r="C162" s="8">
        <f t="shared" si="14"/>
        <v>40.428571428571431</v>
      </c>
      <c r="D162" s="8">
        <f t="shared" si="10"/>
        <v>1.5714285714285694</v>
      </c>
      <c r="E162" s="8">
        <f t="shared" si="11"/>
        <v>1.5714285714285694</v>
      </c>
      <c r="F162" s="8">
        <f t="shared" si="12"/>
        <v>2.4693877551020345</v>
      </c>
      <c r="G162" s="5">
        <f t="shared" si="13"/>
        <v>3.7414965986394509E-2</v>
      </c>
    </row>
    <row r="163" spans="1:7" ht="15.75" customHeight="1">
      <c r="A163" s="3">
        <v>21712</v>
      </c>
      <c r="B163" s="4">
        <v>48</v>
      </c>
      <c r="C163" s="8">
        <f t="shared" si="14"/>
        <v>41.571428571428569</v>
      </c>
      <c r="D163" s="8">
        <f t="shared" si="10"/>
        <v>6.4285714285714306</v>
      </c>
      <c r="E163" s="8">
        <f t="shared" si="11"/>
        <v>6.4285714285714306</v>
      </c>
      <c r="F163" s="8">
        <f t="shared" si="12"/>
        <v>41.326530612244923</v>
      </c>
      <c r="G163" s="5">
        <f t="shared" si="13"/>
        <v>0.13392857142857148</v>
      </c>
    </row>
    <row r="164" spans="1:7" ht="15.75" customHeight="1">
      <c r="A164" s="3">
        <v>21713</v>
      </c>
      <c r="B164" s="4">
        <v>34</v>
      </c>
      <c r="C164" s="8">
        <f t="shared" si="14"/>
        <v>43.428571428571431</v>
      </c>
      <c r="D164" s="8">
        <f t="shared" si="10"/>
        <v>-9.4285714285714306</v>
      </c>
      <c r="E164" s="8">
        <f t="shared" si="11"/>
        <v>9.4285714285714306</v>
      </c>
      <c r="F164" s="8">
        <f t="shared" si="12"/>
        <v>88.897959183673507</v>
      </c>
      <c r="G164" s="5">
        <f t="shared" si="13"/>
        <v>0.27731092436974797</v>
      </c>
    </row>
    <row r="165" spans="1:7" ht="15.75" customHeight="1">
      <c r="A165" s="3">
        <v>21714</v>
      </c>
      <c r="B165" s="4">
        <v>41</v>
      </c>
      <c r="C165" s="8">
        <f t="shared" si="14"/>
        <v>41.428571428571431</v>
      </c>
      <c r="D165" s="8">
        <f t="shared" si="10"/>
        <v>-0.4285714285714306</v>
      </c>
      <c r="E165" s="8">
        <f t="shared" si="11"/>
        <v>0.4285714285714306</v>
      </c>
      <c r="F165" s="8">
        <f t="shared" si="12"/>
        <v>0.18367346938775683</v>
      </c>
      <c r="G165" s="5">
        <f t="shared" si="13"/>
        <v>1.0452961672473917E-2</v>
      </c>
    </row>
    <row r="166" spans="1:7" ht="15.75" customHeight="1">
      <c r="A166" s="3">
        <v>21715</v>
      </c>
      <c r="B166" s="4">
        <v>35</v>
      </c>
      <c r="C166" s="8">
        <f t="shared" si="14"/>
        <v>40</v>
      </c>
      <c r="D166" s="8">
        <f t="shared" si="10"/>
        <v>-5</v>
      </c>
      <c r="E166" s="8">
        <f t="shared" si="11"/>
        <v>5</v>
      </c>
      <c r="F166" s="8">
        <f t="shared" si="12"/>
        <v>25</v>
      </c>
      <c r="G166" s="5">
        <f t="shared" si="13"/>
        <v>0.14285714285714285</v>
      </c>
    </row>
    <row r="167" spans="1:7" ht="15.75" customHeight="1">
      <c r="A167" s="3">
        <v>21716</v>
      </c>
      <c r="B167" s="4">
        <v>40</v>
      </c>
      <c r="C167" s="8">
        <f t="shared" si="14"/>
        <v>39.857142857142854</v>
      </c>
      <c r="D167" s="8">
        <f t="shared" si="10"/>
        <v>0.1428571428571459</v>
      </c>
      <c r="E167" s="8">
        <f t="shared" si="11"/>
        <v>0.1428571428571459</v>
      </c>
      <c r="F167" s="8">
        <f t="shared" si="12"/>
        <v>2.0408163265306992E-2</v>
      </c>
      <c r="G167" s="5">
        <f t="shared" si="13"/>
        <v>3.5714285714286476E-3</v>
      </c>
    </row>
    <row r="168" spans="1:7" ht="15.75" customHeight="1">
      <c r="A168" s="3">
        <v>21717</v>
      </c>
      <c r="B168" s="4">
        <v>34</v>
      </c>
      <c r="C168" s="8">
        <f t="shared" si="14"/>
        <v>40.857142857142854</v>
      </c>
      <c r="D168" s="8">
        <f t="shared" si="10"/>
        <v>-6.8571428571428541</v>
      </c>
      <c r="E168" s="8">
        <f t="shared" si="11"/>
        <v>6.8571428571428541</v>
      </c>
      <c r="F168" s="8">
        <f t="shared" si="12"/>
        <v>47.020408163265266</v>
      </c>
      <c r="G168" s="5">
        <f t="shared" si="13"/>
        <v>0.20168067226890748</v>
      </c>
    </row>
    <row r="169" spans="1:7" ht="15.75" customHeight="1">
      <c r="A169" s="3">
        <v>21718</v>
      </c>
      <c r="B169" s="4">
        <v>30</v>
      </c>
      <c r="C169" s="8">
        <f t="shared" si="14"/>
        <v>39.142857142857146</v>
      </c>
      <c r="D169" s="8">
        <f t="shared" si="10"/>
        <v>-9.1428571428571459</v>
      </c>
      <c r="E169" s="8">
        <f t="shared" si="11"/>
        <v>9.1428571428571459</v>
      </c>
      <c r="F169" s="8">
        <f t="shared" si="12"/>
        <v>83.591836734693928</v>
      </c>
      <c r="G169" s="5">
        <f t="shared" si="13"/>
        <v>0.30476190476190484</v>
      </c>
    </row>
    <row r="170" spans="1:7" ht="15.75" customHeight="1">
      <c r="A170" s="3">
        <v>21719</v>
      </c>
      <c r="B170" s="4">
        <v>36</v>
      </c>
      <c r="C170" s="8">
        <f t="shared" si="14"/>
        <v>37.428571428571431</v>
      </c>
      <c r="D170" s="8">
        <f t="shared" si="10"/>
        <v>-1.4285714285714306</v>
      </c>
      <c r="E170" s="8">
        <f t="shared" si="11"/>
        <v>1.4285714285714306</v>
      </c>
      <c r="F170" s="8">
        <f t="shared" si="12"/>
        <v>2.0408163265306181</v>
      </c>
      <c r="G170" s="5">
        <f t="shared" si="13"/>
        <v>3.9682539682539736E-2</v>
      </c>
    </row>
    <row r="171" spans="1:7" ht="15.75" customHeight="1">
      <c r="A171" s="3">
        <v>21720</v>
      </c>
      <c r="B171" s="4">
        <v>40</v>
      </c>
      <c r="C171" s="8">
        <f t="shared" si="14"/>
        <v>35.714285714285715</v>
      </c>
      <c r="D171" s="8">
        <f t="shared" si="10"/>
        <v>4.2857142857142847</v>
      </c>
      <c r="E171" s="8">
        <f t="shared" si="11"/>
        <v>4.2857142857142847</v>
      </c>
      <c r="F171" s="8">
        <f t="shared" si="12"/>
        <v>18.367346938775501</v>
      </c>
      <c r="G171" s="5">
        <f t="shared" si="13"/>
        <v>0.10714285714285712</v>
      </c>
    </row>
    <row r="172" spans="1:7" ht="15.75" customHeight="1">
      <c r="A172" s="3">
        <v>21721</v>
      </c>
      <c r="B172" s="4">
        <v>39</v>
      </c>
      <c r="C172" s="8">
        <f t="shared" si="14"/>
        <v>36.571428571428569</v>
      </c>
      <c r="D172" s="8">
        <f t="shared" si="10"/>
        <v>2.4285714285714306</v>
      </c>
      <c r="E172" s="8">
        <f t="shared" si="11"/>
        <v>2.4285714285714306</v>
      </c>
      <c r="F172" s="8">
        <f t="shared" si="12"/>
        <v>5.8979591836734793</v>
      </c>
      <c r="G172" s="5">
        <f t="shared" si="13"/>
        <v>6.227106227106232E-2</v>
      </c>
    </row>
    <row r="173" spans="1:7" ht="15.75" customHeight="1">
      <c r="A173" s="3">
        <v>21722</v>
      </c>
      <c r="B173" s="4">
        <v>45</v>
      </c>
      <c r="C173" s="8">
        <f t="shared" si="14"/>
        <v>36.285714285714285</v>
      </c>
      <c r="D173" s="8">
        <f t="shared" si="10"/>
        <v>8.7142857142857153</v>
      </c>
      <c r="E173" s="8">
        <f t="shared" si="11"/>
        <v>8.7142857142857153</v>
      </c>
      <c r="F173" s="8">
        <f t="shared" si="12"/>
        <v>75.938775510204096</v>
      </c>
      <c r="G173" s="5">
        <f t="shared" si="13"/>
        <v>0.19365079365079368</v>
      </c>
    </row>
    <row r="174" spans="1:7" ht="15.75" customHeight="1">
      <c r="A174" s="3">
        <v>21723</v>
      </c>
      <c r="B174" s="4">
        <v>38</v>
      </c>
      <c r="C174" s="8">
        <f t="shared" si="14"/>
        <v>37.714285714285715</v>
      </c>
      <c r="D174" s="8">
        <f t="shared" si="10"/>
        <v>0.2857142857142847</v>
      </c>
      <c r="E174" s="8">
        <f t="shared" si="11"/>
        <v>0.2857142857142847</v>
      </c>
      <c r="F174" s="8">
        <f t="shared" si="12"/>
        <v>8.1632653061223914E-2</v>
      </c>
      <c r="G174" s="5">
        <f t="shared" si="13"/>
        <v>7.5187969924811766E-3</v>
      </c>
    </row>
    <row r="175" spans="1:7" ht="15.75" customHeight="1">
      <c r="A175" s="3">
        <v>21724</v>
      </c>
      <c r="B175" s="4">
        <v>47</v>
      </c>
      <c r="C175" s="8">
        <f t="shared" si="14"/>
        <v>37.428571428571431</v>
      </c>
      <c r="D175" s="8">
        <f t="shared" si="10"/>
        <v>9.5714285714285694</v>
      </c>
      <c r="E175" s="8">
        <f t="shared" si="11"/>
        <v>9.5714285714285694</v>
      </c>
      <c r="F175" s="8">
        <f t="shared" si="12"/>
        <v>91.612244897959144</v>
      </c>
      <c r="G175" s="5">
        <f t="shared" si="13"/>
        <v>0.20364741641337381</v>
      </c>
    </row>
    <row r="176" spans="1:7" ht="15.75" customHeight="1">
      <c r="A176" s="3">
        <v>21725</v>
      </c>
      <c r="B176" s="4">
        <v>33</v>
      </c>
      <c r="C176" s="8">
        <f t="shared" si="14"/>
        <v>39.285714285714285</v>
      </c>
      <c r="D176" s="8">
        <f t="shared" si="10"/>
        <v>-6.2857142857142847</v>
      </c>
      <c r="E176" s="8">
        <f t="shared" si="11"/>
        <v>6.2857142857142847</v>
      </c>
      <c r="F176" s="8">
        <f t="shared" si="12"/>
        <v>39.510204081632644</v>
      </c>
      <c r="G176" s="5">
        <f t="shared" si="13"/>
        <v>0.19047619047619044</v>
      </c>
    </row>
    <row r="177" spans="1:7" ht="15.75" customHeight="1">
      <c r="A177" s="3">
        <v>21726</v>
      </c>
      <c r="B177" s="4">
        <v>30</v>
      </c>
      <c r="C177" s="8">
        <f t="shared" si="14"/>
        <v>39.714285714285715</v>
      </c>
      <c r="D177" s="8">
        <f t="shared" si="10"/>
        <v>-9.7142857142857153</v>
      </c>
      <c r="E177" s="8">
        <f t="shared" si="11"/>
        <v>9.7142857142857153</v>
      </c>
      <c r="F177" s="8">
        <f t="shared" si="12"/>
        <v>94.367346938775526</v>
      </c>
      <c r="G177" s="5">
        <f t="shared" si="13"/>
        <v>0.32380952380952382</v>
      </c>
    </row>
    <row r="178" spans="1:7" ht="15.75" customHeight="1">
      <c r="A178" s="3">
        <v>21727</v>
      </c>
      <c r="B178" s="4">
        <v>42</v>
      </c>
      <c r="C178" s="8">
        <f t="shared" si="14"/>
        <v>38.857142857142854</v>
      </c>
      <c r="D178" s="8">
        <f t="shared" si="10"/>
        <v>3.1428571428571459</v>
      </c>
      <c r="E178" s="8">
        <f t="shared" si="11"/>
        <v>3.1428571428571459</v>
      </c>
      <c r="F178" s="8">
        <f t="shared" si="12"/>
        <v>9.8775510204081822</v>
      </c>
      <c r="G178" s="5">
        <f t="shared" si="13"/>
        <v>7.4829931972789185E-2</v>
      </c>
    </row>
    <row r="179" spans="1:7" ht="15.75" customHeight="1">
      <c r="A179" s="3">
        <v>21728</v>
      </c>
      <c r="B179" s="4">
        <v>43</v>
      </c>
      <c r="C179" s="8">
        <f t="shared" si="14"/>
        <v>39.142857142857146</v>
      </c>
      <c r="D179" s="8">
        <f t="shared" si="10"/>
        <v>3.8571428571428541</v>
      </c>
      <c r="E179" s="8">
        <f t="shared" si="11"/>
        <v>3.8571428571428541</v>
      </c>
      <c r="F179" s="8">
        <f t="shared" si="12"/>
        <v>14.87755102040814</v>
      </c>
      <c r="G179" s="5">
        <f t="shared" si="13"/>
        <v>8.9700996677740799E-2</v>
      </c>
    </row>
    <row r="180" spans="1:7" ht="15.75" customHeight="1">
      <c r="A180" s="3">
        <v>21729</v>
      </c>
      <c r="B180" s="4">
        <v>41</v>
      </c>
      <c r="C180" s="8">
        <f t="shared" si="14"/>
        <v>39.714285714285715</v>
      </c>
      <c r="D180" s="8">
        <f t="shared" si="10"/>
        <v>1.2857142857142847</v>
      </c>
      <c r="E180" s="8">
        <f t="shared" si="11"/>
        <v>1.2857142857142847</v>
      </c>
      <c r="F180" s="8">
        <f t="shared" si="12"/>
        <v>1.6530612244897933</v>
      </c>
      <c r="G180" s="5">
        <f t="shared" si="13"/>
        <v>3.1358885017421581E-2</v>
      </c>
    </row>
    <row r="181" spans="1:7" ht="15.75" customHeight="1">
      <c r="A181" s="3">
        <v>21730</v>
      </c>
      <c r="B181" s="4">
        <v>41</v>
      </c>
      <c r="C181" s="8">
        <f t="shared" si="14"/>
        <v>39.142857142857146</v>
      </c>
      <c r="D181" s="8">
        <f t="shared" si="10"/>
        <v>1.8571428571428541</v>
      </c>
      <c r="E181" s="8">
        <f t="shared" si="11"/>
        <v>1.8571428571428541</v>
      </c>
      <c r="F181" s="8">
        <f t="shared" si="12"/>
        <v>3.4489795918367232</v>
      </c>
      <c r="G181" s="5">
        <f t="shared" si="13"/>
        <v>4.5296167247386686E-2</v>
      </c>
    </row>
    <row r="182" spans="1:7" ht="15.75" customHeight="1">
      <c r="A182" s="3">
        <v>21731</v>
      </c>
      <c r="B182" s="4">
        <v>59</v>
      </c>
      <c r="C182" s="8">
        <f t="shared" si="14"/>
        <v>39.571428571428569</v>
      </c>
      <c r="D182" s="8">
        <f t="shared" si="10"/>
        <v>19.428571428571431</v>
      </c>
      <c r="E182" s="8">
        <f t="shared" si="11"/>
        <v>19.428571428571431</v>
      </c>
      <c r="F182" s="8">
        <f t="shared" si="12"/>
        <v>377.4693877551021</v>
      </c>
      <c r="G182" s="5">
        <f t="shared" si="13"/>
        <v>0.3292978208232446</v>
      </c>
    </row>
    <row r="183" spans="1:7" ht="15.75" customHeight="1">
      <c r="A183" s="3">
        <v>21732</v>
      </c>
      <c r="B183" s="4">
        <v>43</v>
      </c>
      <c r="C183" s="8">
        <f t="shared" si="14"/>
        <v>41.285714285714285</v>
      </c>
      <c r="D183" s="8">
        <f t="shared" si="10"/>
        <v>1.7142857142857153</v>
      </c>
      <c r="E183" s="8">
        <f t="shared" si="11"/>
        <v>1.7142857142857153</v>
      </c>
      <c r="F183" s="8">
        <f t="shared" si="12"/>
        <v>2.9387755102040849</v>
      </c>
      <c r="G183" s="5">
        <f t="shared" si="13"/>
        <v>3.986710963455152E-2</v>
      </c>
    </row>
    <row r="184" spans="1:7" ht="15.75" customHeight="1">
      <c r="A184" s="3">
        <v>21733</v>
      </c>
      <c r="B184" s="4">
        <v>45</v>
      </c>
      <c r="C184" s="8">
        <f t="shared" si="14"/>
        <v>42.714285714285715</v>
      </c>
      <c r="D184" s="8">
        <f t="shared" si="10"/>
        <v>2.2857142857142847</v>
      </c>
      <c r="E184" s="8">
        <f t="shared" si="11"/>
        <v>2.2857142857142847</v>
      </c>
      <c r="F184" s="8">
        <f t="shared" si="12"/>
        <v>5.2244897959183625</v>
      </c>
      <c r="G184" s="5">
        <f t="shared" si="13"/>
        <v>5.0793650793650773E-2</v>
      </c>
    </row>
    <row r="185" spans="1:7" ht="15.75" customHeight="1">
      <c r="A185" s="3">
        <v>21734</v>
      </c>
      <c r="B185" s="4">
        <v>38</v>
      </c>
      <c r="C185" s="8">
        <f t="shared" si="14"/>
        <v>44.857142857142854</v>
      </c>
      <c r="D185" s="8">
        <f t="shared" si="10"/>
        <v>-6.8571428571428541</v>
      </c>
      <c r="E185" s="8">
        <f t="shared" si="11"/>
        <v>6.8571428571428541</v>
      </c>
      <c r="F185" s="8">
        <f t="shared" si="12"/>
        <v>47.020408163265266</v>
      </c>
      <c r="G185" s="5">
        <f t="shared" si="13"/>
        <v>0.18045112781954878</v>
      </c>
    </row>
    <row r="186" spans="1:7" ht="15.75" customHeight="1">
      <c r="A186" s="3">
        <v>21735</v>
      </c>
      <c r="B186" s="4">
        <v>37</v>
      </c>
      <c r="C186" s="8">
        <f t="shared" si="14"/>
        <v>44.285714285714285</v>
      </c>
      <c r="D186" s="8">
        <f t="shared" si="10"/>
        <v>-7.2857142857142847</v>
      </c>
      <c r="E186" s="8">
        <f t="shared" si="11"/>
        <v>7.2857142857142847</v>
      </c>
      <c r="F186" s="8">
        <f t="shared" si="12"/>
        <v>53.081632653061213</v>
      </c>
      <c r="G186" s="5">
        <f t="shared" si="13"/>
        <v>0.19691119691119688</v>
      </c>
    </row>
    <row r="187" spans="1:7" ht="15.75" customHeight="1">
      <c r="A187" s="3">
        <v>21736</v>
      </c>
      <c r="B187" s="4">
        <v>45</v>
      </c>
      <c r="C187" s="8">
        <f t="shared" si="14"/>
        <v>43.428571428571431</v>
      </c>
      <c r="D187" s="8">
        <f t="shared" si="10"/>
        <v>1.5714285714285694</v>
      </c>
      <c r="E187" s="8">
        <f t="shared" si="11"/>
        <v>1.5714285714285694</v>
      </c>
      <c r="F187" s="8">
        <f t="shared" si="12"/>
        <v>2.4693877551020345</v>
      </c>
      <c r="G187" s="5">
        <f t="shared" si="13"/>
        <v>3.4920634920634873E-2</v>
      </c>
    </row>
    <row r="188" spans="1:7" ht="15.75" customHeight="1">
      <c r="A188" s="3">
        <v>21737</v>
      </c>
      <c r="B188" s="4">
        <v>42</v>
      </c>
      <c r="C188" s="8">
        <f t="shared" si="14"/>
        <v>44</v>
      </c>
      <c r="D188" s="8">
        <f t="shared" si="10"/>
        <v>-2</v>
      </c>
      <c r="E188" s="8">
        <f t="shared" si="11"/>
        <v>2</v>
      </c>
      <c r="F188" s="8">
        <f t="shared" si="12"/>
        <v>4</v>
      </c>
      <c r="G188" s="5">
        <f t="shared" si="13"/>
        <v>4.7619047619047616E-2</v>
      </c>
    </row>
    <row r="189" spans="1:7" ht="15.75" customHeight="1">
      <c r="A189" s="3">
        <v>21738</v>
      </c>
      <c r="B189" s="4">
        <v>57</v>
      </c>
      <c r="C189" s="8">
        <f t="shared" si="14"/>
        <v>44.142857142857146</v>
      </c>
      <c r="D189" s="8">
        <f t="shared" si="10"/>
        <v>12.857142857142854</v>
      </c>
      <c r="E189" s="8">
        <f t="shared" si="11"/>
        <v>12.857142857142854</v>
      </c>
      <c r="F189" s="8">
        <f t="shared" si="12"/>
        <v>165.30612244897952</v>
      </c>
      <c r="G189" s="5">
        <f t="shared" si="13"/>
        <v>0.22556390977443605</v>
      </c>
    </row>
    <row r="190" spans="1:7" ht="15.75" customHeight="1">
      <c r="A190" s="3">
        <v>21739</v>
      </c>
      <c r="B190" s="4">
        <v>46</v>
      </c>
      <c r="C190" s="8">
        <f t="shared" si="14"/>
        <v>43.857142857142854</v>
      </c>
      <c r="D190" s="8">
        <f t="shared" si="10"/>
        <v>2.1428571428571459</v>
      </c>
      <c r="E190" s="8">
        <f t="shared" si="11"/>
        <v>2.1428571428571459</v>
      </c>
      <c r="F190" s="8">
        <f t="shared" si="12"/>
        <v>4.5918367346938904</v>
      </c>
      <c r="G190" s="5">
        <f t="shared" si="13"/>
        <v>4.6583850931677086E-2</v>
      </c>
    </row>
    <row r="191" spans="1:7" ht="15.75" customHeight="1">
      <c r="A191" s="3">
        <v>21740</v>
      </c>
      <c r="B191" s="4">
        <v>51</v>
      </c>
      <c r="C191" s="8">
        <f t="shared" si="14"/>
        <v>44.285714285714285</v>
      </c>
      <c r="D191" s="8">
        <f t="shared" si="10"/>
        <v>6.7142857142857153</v>
      </c>
      <c r="E191" s="8">
        <f t="shared" si="11"/>
        <v>6.7142857142857153</v>
      </c>
      <c r="F191" s="8">
        <f t="shared" si="12"/>
        <v>45.081632653061241</v>
      </c>
      <c r="G191" s="5">
        <f t="shared" si="13"/>
        <v>0.1316526610644258</v>
      </c>
    </row>
    <row r="192" spans="1:7" ht="15.75" customHeight="1">
      <c r="A192" s="3">
        <v>21741</v>
      </c>
      <c r="B192" s="4">
        <v>41</v>
      </c>
      <c r="C192" s="8">
        <f t="shared" si="14"/>
        <v>45.142857142857146</v>
      </c>
      <c r="D192" s="8">
        <f t="shared" si="10"/>
        <v>-4.1428571428571459</v>
      </c>
      <c r="E192" s="8">
        <f t="shared" si="11"/>
        <v>4.1428571428571459</v>
      </c>
      <c r="F192" s="8">
        <f t="shared" si="12"/>
        <v>17.163265306122476</v>
      </c>
      <c r="G192" s="5">
        <f t="shared" si="13"/>
        <v>0.10104529616724746</v>
      </c>
    </row>
    <row r="193" spans="1:7" ht="15.75" customHeight="1">
      <c r="A193" s="3">
        <v>21742</v>
      </c>
      <c r="B193" s="4">
        <v>47</v>
      </c>
      <c r="C193" s="8">
        <f t="shared" si="14"/>
        <v>45.571428571428569</v>
      </c>
      <c r="D193" s="8">
        <f t="shared" si="10"/>
        <v>1.4285714285714306</v>
      </c>
      <c r="E193" s="8">
        <f t="shared" si="11"/>
        <v>1.4285714285714306</v>
      </c>
      <c r="F193" s="8">
        <f t="shared" si="12"/>
        <v>2.0408163265306181</v>
      </c>
      <c r="G193" s="5">
        <f t="shared" si="13"/>
        <v>3.0395136778115544E-2</v>
      </c>
    </row>
    <row r="194" spans="1:7" ht="15.75" customHeight="1">
      <c r="A194" s="3">
        <v>21743</v>
      </c>
      <c r="B194" s="4">
        <v>26</v>
      </c>
      <c r="C194" s="8">
        <f t="shared" si="14"/>
        <v>47</v>
      </c>
      <c r="D194" s="8">
        <f t="shared" si="10"/>
        <v>-21</v>
      </c>
      <c r="E194" s="8">
        <f t="shared" si="11"/>
        <v>21</v>
      </c>
      <c r="F194" s="8">
        <f t="shared" si="12"/>
        <v>441</v>
      </c>
      <c r="G194" s="5">
        <f t="shared" si="13"/>
        <v>0.80769230769230771</v>
      </c>
    </row>
    <row r="195" spans="1:7" ht="15.75" customHeight="1">
      <c r="A195" s="3">
        <v>21744</v>
      </c>
      <c r="B195" s="4">
        <v>35</v>
      </c>
      <c r="C195" s="8">
        <f t="shared" si="14"/>
        <v>44.285714285714285</v>
      </c>
      <c r="D195" s="8">
        <f t="shared" si="10"/>
        <v>-9.2857142857142847</v>
      </c>
      <c r="E195" s="8">
        <f t="shared" si="11"/>
        <v>9.2857142857142847</v>
      </c>
      <c r="F195" s="8">
        <f t="shared" si="12"/>
        <v>86.224489795918345</v>
      </c>
      <c r="G195" s="5">
        <f t="shared" si="13"/>
        <v>0.26530612244897955</v>
      </c>
    </row>
    <row r="196" spans="1:7" ht="15.75" customHeight="1">
      <c r="A196" s="3">
        <v>21745</v>
      </c>
      <c r="B196" s="4">
        <v>44</v>
      </c>
      <c r="C196" s="8">
        <f t="shared" si="14"/>
        <v>43.285714285714285</v>
      </c>
      <c r="D196" s="8">
        <f t="shared" si="10"/>
        <v>0.7142857142857153</v>
      </c>
      <c r="E196" s="8">
        <f t="shared" si="11"/>
        <v>0.7142857142857153</v>
      </c>
      <c r="F196" s="8">
        <f t="shared" si="12"/>
        <v>0.51020408163265452</v>
      </c>
      <c r="G196" s="5">
        <f t="shared" si="13"/>
        <v>1.6233766233766257E-2</v>
      </c>
    </row>
    <row r="197" spans="1:7" ht="15.75" customHeight="1">
      <c r="A197" s="3">
        <v>21746</v>
      </c>
      <c r="B197" s="4">
        <v>41</v>
      </c>
      <c r="C197" s="8">
        <f t="shared" si="14"/>
        <v>41.428571428571431</v>
      </c>
      <c r="D197" s="8">
        <f t="shared" si="10"/>
        <v>-0.4285714285714306</v>
      </c>
      <c r="E197" s="8">
        <f t="shared" si="11"/>
        <v>0.4285714285714306</v>
      </c>
      <c r="F197" s="8">
        <f t="shared" si="12"/>
        <v>0.18367346938775683</v>
      </c>
      <c r="G197" s="5">
        <f t="shared" si="13"/>
        <v>1.0452961672473917E-2</v>
      </c>
    </row>
    <row r="198" spans="1:7" ht="15.75" customHeight="1">
      <c r="A198" s="3">
        <v>21747</v>
      </c>
      <c r="B198" s="4">
        <v>42</v>
      </c>
      <c r="C198" s="8">
        <f t="shared" si="14"/>
        <v>40.714285714285715</v>
      </c>
      <c r="D198" s="8">
        <f t="shared" si="10"/>
        <v>1.2857142857142847</v>
      </c>
      <c r="E198" s="8">
        <f t="shared" si="11"/>
        <v>1.2857142857142847</v>
      </c>
      <c r="F198" s="8">
        <f t="shared" si="12"/>
        <v>1.6530612244897933</v>
      </c>
      <c r="G198" s="5">
        <f t="shared" si="13"/>
        <v>3.0612244897959159E-2</v>
      </c>
    </row>
    <row r="199" spans="1:7" ht="15.75" customHeight="1">
      <c r="A199" s="3">
        <v>21748</v>
      </c>
      <c r="B199" s="4">
        <v>36</v>
      </c>
      <c r="C199" s="8">
        <f t="shared" si="14"/>
        <v>39.428571428571431</v>
      </c>
      <c r="D199" s="8">
        <f t="shared" si="10"/>
        <v>-3.4285714285714306</v>
      </c>
      <c r="E199" s="8">
        <f t="shared" si="11"/>
        <v>3.4285714285714306</v>
      </c>
      <c r="F199" s="8">
        <f t="shared" si="12"/>
        <v>11.75510204081634</v>
      </c>
      <c r="G199" s="5">
        <f t="shared" si="13"/>
        <v>9.5238095238095288E-2</v>
      </c>
    </row>
    <row r="200" spans="1:7" ht="15.75" customHeight="1">
      <c r="A200" s="3">
        <v>21749</v>
      </c>
      <c r="B200" s="4">
        <v>45</v>
      </c>
      <c r="C200" s="8">
        <f t="shared" si="14"/>
        <v>38.714285714285715</v>
      </c>
      <c r="D200" s="8">
        <f t="shared" si="10"/>
        <v>6.2857142857142847</v>
      </c>
      <c r="E200" s="8">
        <f t="shared" si="11"/>
        <v>6.2857142857142847</v>
      </c>
      <c r="F200" s="8">
        <f t="shared" si="12"/>
        <v>39.510204081632644</v>
      </c>
      <c r="G200" s="5">
        <f t="shared" si="13"/>
        <v>0.13968253968253966</v>
      </c>
    </row>
    <row r="201" spans="1:7" ht="15.75" customHeight="1">
      <c r="A201" s="3">
        <v>21750</v>
      </c>
      <c r="B201" s="4">
        <v>45</v>
      </c>
      <c r="C201" s="8">
        <f t="shared" si="14"/>
        <v>38.428571428571431</v>
      </c>
      <c r="D201" s="8">
        <f t="shared" si="10"/>
        <v>6.5714285714285694</v>
      </c>
      <c r="E201" s="8">
        <f t="shared" si="11"/>
        <v>6.5714285714285694</v>
      </c>
      <c r="F201" s="8">
        <f t="shared" si="12"/>
        <v>43.183673469387728</v>
      </c>
      <c r="G201" s="5">
        <f t="shared" si="13"/>
        <v>0.14603174603174598</v>
      </c>
    </row>
    <row r="202" spans="1:7" ht="15.75" customHeight="1">
      <c r="A202" s="3">
        <v>21751</v>
      </c>
      <c r="B202" s="4">
        <v>45</v>
      </c>
      <c r="C202" s="8">
        <f t="shared" si="14"/>
        <v>41.142857142857146</v>
      </c>
      <c r="D202" s="8">
        <f t="shared" ref="D202:D265" si="15">B202-C202</f>
        <v>3.8571428571428541</v>
      </c>
      <c r="E202" s="8">
        <f t="shared" ref="E202:E265" si="16">ABS(D202)</f>
        <v>3.8571428571428541</v>
      </c>
      <c r="F202" s="8">
        <f t="shared" ref="F202:F265" si="17">E202^2</f>
        <v>14.87755102040814</v>
      </c>
      <c r="G202" s="5">
        <f t="shared" ref="G202:G265" si="18">E202/B202</f>
        <v>8.5714285714285646E-2</v>
      </c>
    </row>
    <row r="203" spans="1:7" ht="15.75" customHeight="1">
      <c r="A203" s="3">
        <v>21752</v>
      </c>
      <c r="B203" s="4">
        <v>47</v>
      </c>
      <c r="C203" s="8">
        <f t="shared" ref="C203:C266" si="19">AVERAGE(B196:B202)</f>
        <v>42.571428571428569</v>
      </c>
      <c r="D203" s="8">
        <f t="shared" si="15"/>
        <v>4.4285714285714306</v>
      </c>
      <c r="E203" s="8">
        <f t="shared" si="16"/>
        <v>4.4285714285714306</v>
      </c>
      <c r="F203" s="8">
        <f t="shared" si="17"/>
        <v>19.612244897959201</v>
      </c>
      <c r="G203" s="5">
        <f t="shared" si="18"/>
        <v>9.4224924012158096E-2</v>
      </c>
    </row>
    <row r="204" spans="1:7" ht="15.75" customHeight="1">
      <c r="A204" s="3">
        <v>21753</v>
      </c>
      <c r="B204" s="4">
        <v>38</v>
      </c>
      <c r="C204" s="8">
        <f t="shared" si="19"/>
        <v>43</v>
      </c>
      <c r="D204" s="8">
        <f t="shared" si="15"/>
        <v>-5</v>
      </c>
      <c r="E204" s="8">
        <f t="shared" si="16"/>
        <v>5</v>
      </c>
      <c r="F204" s="8">
        <f t="shared" si="17"/>
        <v>25</v>
      </c>
      <c r="G204" s="5">
        <f t="shared" si="18"/>
        <v>0.13157894736842105</v>
      </c>
    </row>
    <row r="205" spans="1:7" ht="15.75" customHeight="1">
      <c r="A205" s="3">
        <v>21754</v>
      </c>
      <c r="B205" s="4">
        <v>42</v>
      </c>
      <c r="C205" s="8">
        <f t="shared" si="19"/>
        <v>42.571428571428569</v>
      </c>
      <c r="D205" s="8">
        <f t="shared" si="15"/>
        <v>-0.5714285714285694</v>
      </c>
      <c r="E205" s="8">
        <f t="shared" si="16"/>
        <v>0.5714285714285694</v>
      </c>
      <c r="F205" s="8">
        <f t="shared" si="17"/>
        <v>0.32653061224489566</v>
      </c>
      <c r="G205" s="5">
        <f t="shared" si="18"/>
        <v>1.3605442176870699E-2</v>
      </c>
    </row>
    <row r="206" spans="1:7" ht="15.75" customHeight="1">
      <c r="A206" s="3">
        <v>21755</v>
      </c>
      <c r="B206" s="4">
        <v>35</v>
      </c>
      <c r="C206" s="8">
        <f t="shared" si="19"/>
        <v>42.571428571428569</v>
      </c>
      <c r="D206" s="8">
        <f t="shared" si="15"/>
        <v>-7.5714285714285694</v>
      </c>
      <c r="E206" s="8">
        <f t="shared" si="16"/>
        <v>7.5714285714285694</v>
      </c>
      <c r="F206" s="8">
        <f t="shared" si="17"/>
        <v>57.326530612244866</v>
      </c>
      <c r="G206" s="5">
        <f t="shared" si="18"/>
        <v>0.21632653061224483</v>
      </c>
    </row>
    <row r="207" spans="1:7" ht="15.75" customHeight="1">
      <c r="A207" s="3">
        <v>21756</v>
      </c>
      <c r="B207" s="4">
        <v>36</v>
      </c>
      <c r="C207" s="8">
        <f t="shared" si="19"/>
        <v>42.428571428571431</v>
      </c>
      <c r="D207" s="8">
        <f t="shared" si="15"/>
        <v>-6.4285714285714306</v>
      </c>
      <c r="E207" s="8">
        <f t="shared" si="16"/>
        <v>6.4285714285714306</v>
      </c>
      <c r="F207" s="8">
        <f t="shared" si="17"/>
        <v>41.326530612244923</v>
      </c>
      <c r="G207" s="5">
        <f t="shared" si="18"/>
        <v>0.17857142857142863</v>
      </c>
    </row>
    <row r="208" spans="1:7" ht="15.75" customHeight="1">
      <c r="A208" s="3">
        <v>21757</v>
      </c>
      <c r="B208" s="4">
        <v>39</v>
      </c>
      <c r="C208" s="8">
        <f t="shared" si="19"/>
        <v>41.142857142857146</v>
      </c>
      <c r="D208" s="8">
        <f t="shared" si="15"/>
        <v>-2.1428571428571459</v>
      </c>
      <c r="E208" s="8">
        <f t="shared" si="16"/>
        <v>2.1428571428571459</v>
      </c>
      <c r="F208" s="8">
        <f t="shared" si="17"/>
        <v>4.5918367346938904</v>
      </c>
      <c r="G208" s="5">
        <f t="shared" si="18"/>
        <v>5.494505494505502E-2</v>
      </c>
    </row>
    <row r="209" spans="1:7" ht="15.75" customHeight="1">
      <c r="A209" s="3">
        <v>21758</v>
      </c>
      <c r="B209" s="4">
        <v>45</v>
      </c>
      <c r="C209" s="8">
        <f t="shared" si="19"/>
        <v>40.285714285714285</v>
      </c>
      <c r="D209" s="8">
        <f t="shared" si="15"/>
        <v>4.7142857142857153</v>
      </c>
      <c r="E209" s="8">
        <f t="shared" si="16"/>
        <v>4.7142857142857153</v>
      </c>
      <c r="F209" s="8">
        <f t="shared" si="17"/>
        <v>22.224489795918377</v>
      </c>
      <c r="G209" s="5">
        <f t="shared" si="18"/>
        <v>0.10476190476190478</v>
      </c>
    </row>
    <row r="210" spans="1:7" ht="15.75" customHeight="1">
      <c r="A210" s="3">
        <v>21759</v>
      </c>
      <c r="B210" s="4">
        <v>43</v>
      </c>
      <c r="C210" s="8">
        <f t="shared" si="19"/>
        <v>40.285714285714285</v>
      </c>
      <c r="D210" s="8">
        <f t="shared" si="15"/>
        <v>2.7142857142857153</v>
      </c>
      <c r="E210" s="8">
        <f t="shared" si="16"/>
        <v>2.7142857142857153</v>
      </c>
      <c r="F210" s="8">
        <f t="shared" si="17"/>
        <v>7.3673469387755155</v>
      </c>
      <c r="G210" s="5">
        <f t="shared" si="18"/>
        <v>6.3122923588039892E-2</v>
      </c>
    </row>
    <row r="211" spans="1:7" ht="15.75" customHeight="1">
      <c r="A211" s="3">
        <v>21760</v>
      </c>
      <c r="B211" s="4">
        <v>47</v>
      </c>
      <c r="C211" s="8">
        <f t="shared" si="19"/>
        <v>39.714285714285715</v>
      </c>
      <c r="D211" s="8">
        <f t="shared" si="15"/>
        <v>7.2857142857142847</v>
      </c>
      <c r="E211" s="8">
        <f t="shared" si="16"/>
        <v>7.2857142857142847</v>
      </c>
      <c r="F211" s="8">
        <f t="shared" si="17"/>
        <v>53.081632653061213</v>
      </c>
      <c r="G211" s="5">
        <f t="shared" si="18"/>
        <v>0.15501519756838902</v>
      </c>
    </row>
    <row r="212" spans="1:7" ht="15.75" customHeight="1">
      <c r="A212" s="3">
        <v>21761</v>
      </c>
      <c r="B212" s="4">
        <v>36</v>
      </c>
      <c r="C212" s="8">
        <f t="shared" si="19"/>
        <v>41</v>
      </c>
      <c r="D212" s="8">
        <f t="shared" si="15"/>
        <v>-5</v>
      </c>
      <c r="E212" s="8">
        <f t="shared" si="16"/>
        <v>5</v>
      </c>
      <c r="F212" s="8">
        <f t="shared" si="17"/>
        <v>25</v>
      </c>
      <c r="G212" s="5">
        <f t="shared" si="18"/>
        <v>0.1388888888888889</v>
      </c>
    </row>
    <row r="213" spans="1:7" ht="15.75" customHeight="1">
      <c r="A213" s="3">
        <v>21762</v>
      </c>
      <c r="B213" s="4">
        <v>41</v>
      </c>
      <c r="C213" s="8">
        <f t="shared" si="19"/>
        <v>40.142857142857146</v>
      </c>
      <c r="D213" s="8">
        <f t="shared" si="15"/>
        <v>0.8571428571428541</v>
      </c>
      <c r="E213" s="8">
        <f t="shared" si="16"/>
        <v>0.8571428571428541</v>
      </c>
      <c r="F213" s="8">
        <f t="shared" si="17"/>
        <v>0.73469387755101523</v>
      </c>
      <c r="G213" s="5">
        <f t="shared" si="18"/>
        <v>2.0905923344947661E-2</v>
      </c>
    </row>
    <row r="214" spans="1:7" ht="15.75" customHeight="1">
      <c r="A214" s="3">
        <v>21763</v>
      </c>
      <c r="B214" s="4">
        <v>50</v>
      </c>
      <c r="C214" s="8">
        <f t="shared" si="19"/>
        <v>41</v>
      </c>
      <c r="D214" s="8">
        <f t="shared" si="15"/>
        <v>9</v>
      </c>
      <c r="E214" s="8">
        <f t="shared" si="16"/>
        <v>9</v>
      </c>
      <c r="F214" s="8">
        <f t="shared" si="17"/>
        <v>81</v>
      </c>
      <c r="G214" s="5">
        <f t="shared" si="18"/>
        <v>0.18</v>
      </c>
    </row>
    <row r="215" spans="1:7" ht="15.75" customHeight="1">
      <c r="A215" s="3">
        <v>21764</v>
      </c>
      <c r="B215" s="4">
        <v>39</v>
      </c>
      <c r="C215" s="8">
        <f t="shared" si="19"/>
        <v>43</v>
      </c>
      <c r="D215" s="8">
        <f t="shared" si="15"/>
        <v>-4</v>
      </c>
      <c r="E215" s="8">
        <f t="shared" si="16"/>
        <v>4</v>
      </c>
      <c r="F215" s="8">
        <f t="shared" si="17"/>
        <v>16</v>
      </c>
      <c r="G215" s="5">
        <f t="shared" si="18"/>
        <v>0.10256410256410256</v>
      </c>
    </row>
    <row r="216" spans="1:7" ht="15.75" customHeight="1">
      <c r="A216" s="3">
        <v>21765</v>
      </c>
      <c r="B216" s="4">
        <v>41</v>
      </c>
      <c r="C216" s="8">
        <f t="shared" si="19"/>
        <v>43</v>
      </c>
      <c r="D216" s="8">
        <f t="shared" si="15"/>
        <v>-2</v>
      </c>
      <c r="E216" s="8">
        <f t="shared" si="16"/>
        <v>2</v>
      </c>
      <c r="F216" s="8">
        <f t="shared" si="17"/>
        <v>4</v>
      </c>
      <c r="G216" s="5">
        <f t="shared" si="18"/>
        <v>4.878048780487805E-2</v>
      </c>
    </row>
    <row r="217" spans="1:7" ht="15.75" customHeight="1">
      <c r="A217" s="3">
        <v>21766</v>
      </c>
      <c r="B217" s="4">
        <v>46</v>
      </c>
      <c r="C217" s="8">
        <f t="shared" si="19"/>
        <v>42.428571428571431</v>
      </c>
      <c r="D217" s="8">
        <f t="shared" si="15"/>
        <v>3.5714285714285694</v>
      </c>
      <c r="E217" s="8">
        <f t="shared" si="16"/>
        <v>3.5714285714285694</v>
      </c>
      <c r="F217" s="8">
        <f t="shared" si="17"/>
        <v>12.755102040816311</v>
      </c>
      <c r="G217" s="5">
        <f t="shared" si="18"/>
        <v>7.7639751552794983E-2</v>
      </c>
    </row>
    <row r="218" spans="1:7" ht="15.75" customHeight="1">
      <c r="A218" s="3">
        <v>21767</v>
      </c>
      <c r="B218" s="4">
        <v>64</v>
      </c>
      <c r="C218" s="8">
        <f t="shared" si="19"/>
        <v>42.857142857142854</v>
      </c>
      <c r="D218" s="8">
        <f t="shared" si="15"/>
        <v>21.142857142857146</v>
      </c>
      <c r="E218" s="8">
        <f t="shared" si="16"/>
        <v>21.142857142857146</v>
      </c>
      <c r="F218" s="8">
        <f t="shared" si="17"/>
        <v>447.02040816326542</v>
      </c>
      <c r="G218" s="5">
        <f t="shared" si="18"/>
        <v>0.3303571428571429</v>
      </c>
    </row>
    <row r="219" spans="1:7" ht="15.75" customHeight="1">
      <c r="A219" s="3">
        <v>21768</v>
      </c>
      <c r="B219" s="4">
        <v>45</v>
      </c>
      <c r="C219" s="8">
        <f t="shared" si="19"/>
        <v>45.285714285714285</v>
      </c>
      <c r="D219" s="8">
        <f t="shared" si="15"/>
        <v>-0.2857142857142847</v>
      </c>
      <c r="E219" s="8">
        <f t="shared" si="16"/>
        <v>0.2857142857142847</v>
      </c>
      <c r="F219" s="8">
        <f t="shared" si="17"/>
        <v>8.1632653061223914E-2</v>
      </c>
      <c r="G219" s="5">
        <f t="shared" si="18"/>
        <v>6.3492063492063266E-3</v>
      </c>
    </row>
    <row r="220" spans="1:7" ht="15.75" customHeight="1">
      <c r="A220" s="3">
        <v>21769</v>
      </c>
      <c r="B220" s="4">
        <v>34</v>
      </c>
      <c r="C220" s="8">
        <f t="shared" si="19"/>
        <v>46.571428571428569</v>
      </c>
      <c r="D220" s="8">
        <f t="shared" si="15"/>
        <v>-12.571428571428569</v>
      </c>
      <c r="E220" s="8">
        <f t="shared" si="16"/>
        <v>12.571428571428569</v>
      </c>
      <c r="F220" s="8">
        <f t="shared" si="17"/>
        <v>158.04081632653057</v>
      </c>
      <c r="G220" s="5">
        <f t="shared" si="18"/>
        <v>0.36974789915966383</v>
      </c>
    </row>
    <row r="221" spans="1:7" ht="15.75" customHeight="1">
      <c r="A221" s="3">
        <v>21770</v>
      </c>
      <c r="B221" s="4">
        <v>38</v>
      </c>
      <c r="C221" s="8">
        <f t="shared" si="19"/>
        <v>45.571428571428569</v>
      </c>
      <c r="D221" s="8">
        <f t="shared" si="15"/>
        <v>-7.5714285714285694</v>
      </c>
      <c r="E221" s="8">
        <f t="shared" si="16"/>
        <v>7.5714285714285694</v>
      </c>
      <c r="F221" s="8">
        <f t="shared" si="17"/>
        <v>57.326530612244866</v>
      </c>
      <c r="G221" s="5">
        <f t="shared" si="18"/>
        <v>0.19924812030075181</v>
      </c>
    </row>
    <row r="222" spans="1:7" ht="15.75" customHeight="1">
      <c r="A222" s="3">
        <v>21771</v>
      </c>
      <c r="B222" s="4">
        <v>44</v>
      </c>
      <c r="C222" s="8">
        <f t="shared" si="19"/>
        <v>43.857142857142854</v>
      </c>
      <c r="D222" s="8">
        <f t="shared" si="15"/>
        <v>0.1428571428571459</v>
      </c>
      <c r="E222" s="8">
        <f t="shared" si="16"/>
        <v>0.1428571428571459</v>
      </c>
      <c r="F222" s="8">
        <f t="shared" si="17"/>
        <v>2.0408163265306992E-2</v>
      </c>
      <c r="G222" s="5">
        <f t="shared" si="18"/>
        <v>3.2467532467533159E-3</v>
      </c>
    </row>
    <row r="223" spans="1:7" ht="15.75" customHeight="1">
      <c r="A223" s="3">
        <v>21772</v>
      </c>
      <c r="B223" s="4">
        <v>48</v>
      </c>
      <c r="C223" s="8">
        <f t="shared" si="19"/>
        <v>44.571428571428569</v>
      </c>
      <c r="D223" s="8">
        <f t="shared" si="15"/>
        <v>3.4285714285714306</v>
      </c>
      <c r="E223" s="8">
        <f t="shared" si="16"/>
        <v>3.4285714285714306</v>
      </c>
      <c r="F223" s="8">
        <f t="shared" si="17"/>
        <v>11.75510204081634</v>
      </c>
      <c r="G223" s="5">
        <f t="shared" si="18"/>
        <v>7.1428571428571466E-2</v>
      </c>
    </row>
    <row r="224" spans="1:7" ht="15.75" customHeight="1">
      <c r="A224" s="3">
        <v>21773</v>
      </c>
      <c r="B224" s="4">
        <v>46</v>
      </c>
      <c r="C224" s="8">
        <f t="shared" si="19"/>
        <v>45.571428571428569</v>
      </c>
      <c r="D224" s="8">
        <f t="shared" si="15"/>
        <v>0.4285714285714306</v>
      </c>
      <c r="E224" s="8">
        <f t="shared" si="16"/>
        <v>0.4285714285714306</v>
      </c>
      <c r="F224" s="8">
        <f t="shared" si="17"/>
        <v>0.18367346938775683</v>
      </c>
      <c r="G224" s="5">
        <f t="shared" si="18"/>
        <v>9.3167701863354473E-3</v>
      </c>
    </row>
    <row r="225" spans="1:7" ht="15.75" customHeight="1">
      <c r="A225" s="3">
        <v>21774</v>
      </c>
      <c r="B225" s="4">
        <v>44</v>
      </c>
      <c r="C225" s="8">
        <f t="shared" si="19"/>
        <v>45.571428571428569</v>
      </c>
      <c r="D225" s="8">
        <f t="shared" si="15"/>
        <v>-1.5714285714285694</v>
      </c>
      <c r="E225" s="8">
        <f t="shared" si="16"/>
        <v>1.5714285714285694</v>
      </c>
      <c r="F225" s="8">
        <f t="shared" si="17"/>
        <v>2.4693877551020345</v>
      </c>
      <c r="G225" s="5">
        <f t="shared" si="18"/>
        <v>3.5714285714285671E-2</v>
      </c>
    </row>
    <row r="226" spans="1:7" ht="15.75" customHeight="1">
      <c r="A226" s="3">
        <v>21775</v>
      </c>
      <c r="B226" s="4">
        <v>37</v>
      </c>
      <c r="C226" s="8">
        <f t="shared" si="19"/>
        <v>42.714285714285715</v>
      </c>
      <c r="D226" s="8">
        <f t="shared" si="15"/>
        <v>-5.7142857142857153</v>
      </c>
      <c r="E226" s="8">
        <f t="shared" si="16"/>
        <v>5.7142857142857153</v>
      </c>
      <c r="F226" s="8">
        <f t="shared" si="17"/>
        <v>32.653061224489811</v>
      </c>
      <c r="G226" s="5">
        <f t="shared" si="18"/>
        <v>0.15444015444015446</v>
      </c>
    </row>
    <row r="227" spans="1:7" ht="15.75" customHeight="1">
      <c r="A227" s="3">
        <v>21776</v>
      </c>
      <c r="B227" s="4">
        <v>39</v>
      </c>
      <c r="C227" s="8">
        <f t="shared" si="19"/>
        <v>41.571428571428569</v>
      </c>
      <c r="D227" s="8">
        <f t="shared" si="15"/>
        <v>-2.5714285714285694</v>
      </c>
      <c r="E227" s="8">
        <f t="shared" si="16"/>
        <v>2.5714285714285694</v>
      </c>
      <c r="F227" s="8">
        <f t="shared" si="17"/>
        <v>6.6122448979591733</v>
      </c>
      <c r="G227" s="5">
        <f t="shared" si="18"/>
        <v>6.593406593406588E-2</v>
      </c>
    </row>
    <row r="228" spans="1:7" ht="15.75" customHeight="1">
      <c r="A228" s="3">
        <v>21777</v>
      </c>
      <c r="B228" s="4">
        <v>44</v>
      </c>
      <c r="C228" s="8">
        <f t="shared" si="19"/>
        <v>42.285714285714285</v>
      </c>
      <c r="D228" s="8">
        <f t="shared" si="15"/>
        <v>1.7142857142857153</v>
      </c>
      <c r="E228" s="8">
        <f t="shared" si="16"/>
        <v>1.7142857142857153</v>
      </c>
      <c r="F228" s="8">
        <f t="shared" si="17"/>
        <v>2.9387755102040849</v>
      </c>
      <c r="G228" s="5">
        <f t="shared" si="18"/>
        <v>3.8961038961038981E-2</v>
      </c>
    </row>
    <row r="229" spans="1:7" ht="15.75" customHeight="1">
      <c r="A229" s="3">
        <v>21778</v>
      </c>
      <c r="B229" s="4">
        <v>45</v>
      </c>
      <c r="C229" s="8">
        <f t="shared" si="19"/>
        <v>43.142857142857146</v>
      </c>
      <c r="D229" s="8">
        <f t="shared" si="15"/>
        <v>1.8571428571428541</v>
      </c>
      <c r="E229" s="8">
        <f t="shared" si="16"/>
        <v>1.8571428571428541</v>
      </c>
      <c r="F229" s="8">
        <f t="shared" si="17"/>
        <v>3.4489795918367232</v>
      </c>
      <c r="G229" s="5">
        <f t="shared" si="18"/>
        <v>4.12698412698412E-2</v>
      </c>
    </row>
    <row r="230" spans="1:7" ht="15.75" customHeight="1">
      <c r="A230" s="3">
        <v>21779</v>
      </c>
      <c r="B230" s="4">
        <v>33</v>
      </c>
      <c r="C230" s="8">
        <f t="shared" si="19"/>
        <v>43.285714285714285</v>
      </c>
      <c r="D230" s="8">
        <f t="shared" si="15"/>
        <v>-10.285714285714285</v>
      </c>
      <c r="E230" s="8">
        <f t="shared" si="16"/>
        <v>10.285714285714285</v>
      </c>
      <c r="F230" s="8">
        <f t="shared" si="17"/>
        <v>105.79591836734691</v>
      </c>
      <c r="G230" s="5">
        <f t="shared" si="18"/>
        <v>0.31168831168831168</v>
      </c>
    </row>
    <row r="231" spans="1:7" ht="15.75" customHeight="1">
      <c r="A231" s="3">
        <v>21780</v>
      </c>
      <c r="B231" s="4">
        <v>44</v>
      </c>
      <c r="C231" s="8">
        <f t="shared" si="19"/>
        <v>41.142857142857146</v>
      </c>
      <c r="D231" s="8">
        <f t="shared" si="15"/>
        <v>2.8571428571428541</v>
      </c>
      <c r="E231" s="8">
        <f t="shared" si="16"/>
        <v>2.8571428571428541</v>
      </c>
      <c r="F231" s="8">
        <f t="shared" si="17"/>
        <v>8.1632653061224314</v>
      </c>
      <c r="G231" s="5">
        <f t="shared" si="18"/>
        <v>6.493506493506486E-2</v>
      </c>
    </row>
    <row r="232" spans="1:7" ht="15.75" customHeight="1">
      <c r="A232" s="3">
        <v>21781</v>
      </c>
      <c r="B232" s="4">
        <v>38</v>
      </c>
      <c r="C232" s="8">
        <f t="shared" si="19"/>
        <v>40.857142857142854</v>
      </c>
      <c r="D232" s="8">
        <f t="shared" si="15"/>
        <v>-2.8571428571428541</v>
      </c>
      <c r="E232" s="8">
        <f t="shared" si="16"/>
        <v>2.8571428571428541</v>
      </c>
      <c r="F232" s="8">
        <f t="shared" si="17"/>
        <v>8.1632653061224314</v>
      </c>
      <c r="G232" s="5">
        <f t="shared" si="18"/>
        <v>7.5187969924811957E-2</v>
      </c>
    </row>
    <row r="233" spans="1:7" ht="15.75" customHeight="1">
      <c r="A233" s="3">
        <v>21782</v>
      </c>
      <c r="B233" s="4">
        <v>46</v>
      </c>
      <c r="C233" s="8">
        <f t="shared" si="19"/>
        <v>40</v>
      </c>
      <c r="D233" s="8">
        <f t="shared" si="15"/>
        <v>6</v>
      </c>
      <c r="E233" s="8">
        <f t="shared" si="16"/>
        <v>6</v>
      </c>
      <c r="F233" s="8">
        <f t="shared" si="17"/>
        <v>36</v>
      </c>
      <c r="G233" s="5">
        <f t="shared" si="18"/>
        <v>0.13043478260869565</v>
      </c>
    </row>
    <row r="234" spans="1:7" ht="15.75" customHeight="1">
      <c r="A234" s="3">
        <v>21783</v>
      </c>
      <c r="B234" s="4">
        <v>46</v>
      </c>
      <c r="C234" s="8">
        <f t="shared" si="19"/>
        <v>41.285714285714285</v>
      </c>
      <c r="D234" s="8">
        <f t="shared" si="15"/>
        <v>4.7142857142857153</v>
      </c>
      <c r="E234" s="8">
        <f t="shared" si="16"/>
        <v>4.7142857142857153</v>
      </c>
      <c r="F234" s="8">
        <f t="shared" si="17"/>
        <v>22.224489795918377</v>
      </c>
      <c r="G234" s="5">
        <f t="shared" si="18"/>
        <v>0.10248447204968947</v>
      </c>
    </row>
    <row r="235" spans="1:7" ht="15.75" customHeight="1">
      <c r="A235" s="3">
        <v>21784</v>
      </c>
      <c r="B235" s="4">
        <v>40</v>
      </c>
      <c r="C235" s="8">
        <f t="shared" si="19"/>
        <v>42.285714285714285</v>
      </c>
      <c r="D235" s="8">
        <f t="shared" si="15"/>
        <v>-2.2857142857142847</v>
      </c>
      <c r="E235" s="8">
        <f t="shared" si="16"/>
        <v>2.2857142857142847</v>
      </c>
      <c r="F235" s="8">
        <f t="shared" si="17"/>
        <v>5.2244897959183625</v>
      </c>
      <c r="G235" s="5">
        <f t="shared" si="18"/>
        <v>5.714285714285712E-2</v>
      </c>
    </row>
    <row r="236" spans="1:7" ht="15.75" customHeight="1">
      <c r="A236" s="3">
        <v>21785</v>
      </c>
      <c r="B236" s="4">
        <v>39</v>
      </c>
      <c r="C236" s="8">
        <f t="shared" si="19"/>
        <v>41.714285714285715</v>
      </c>
      <c r="D236" s="8">
        <f t="shared" si="15"/>
        <v>-2.7142857142857153</v>
      </c>
      <c r="E236" s="8">
        <f t="shared" si="16"/>
        <v>2.7142857142857153</v>
      </c>
      <c r="F236" s="8">
        <f t="shared" si="17"/>
        <v>7.3673469387755155</v>
      </c>
      <c r="G236" s="5">
        <f t="shared" si="18"/>
        <v>6.9597069597069627E-2</v>
      </c>
    </row>
    <row r="237" spans="1:7" ht="15.75" customHeight="1">
      <c r="A237" s="3">
        <v>21786</v>
      </c>
      <c r="B237" s="4">
        <v>44</v>
      </c>
      <c r="C237" s="8">
        <f t="shared" si="19"/>
        <v>40.857142857142854</v>
      </c>
      <c r="D237" s="8">
        <f t="shared" si="15"/>
        <v>3.1428571428571459</v>
      </c>
      <c r="E237" s="8">
        <f t="shared" si="16"/>
        <v>3.1428571428571459</v>
      </c>
      <c r="F237" s="8">
        <f t="shared" si="17"/>
        <v>9.8775510204081822</v>
      </c>
      <c r="G237" s="5">
        <f t="shared" si="18"/>
        <v>7.1428571428571494E-2</v>
      </c>
    </row>
    <row r="238" spans="1:7" ht="15.75" customHeight="1">
      <c r="A238" s="3">
        <v>21787</v>
      </c>
      <c r="B238" s="4">
        <v>48</v>
      </c>
      <c r="C238" s="8">
        <f t="shared" si="19"/>
        <v>42.428571428571431</v>
      </c>
      <c r="D238" s="8">
        <f t="shared" si="15"/>
        <v>5.5714285714285694</v>
      </c>
      <c r="E238" s="8">
        <f t="shared" si="16"/>
        <v>5.5714285714285694</v>
      </c>
      <c r="F238" s="8">
        <f t="shared" si="17"/>
        <v>31.040816326530589</v>
      </c>
      <c r="G238" s="5">
        <f t="shared" si="18"/>
        <v>0.11607142857142853</v>
      </c>
    </row>
    <row r="239" spans="1:7" ht="15.75" customHeight="1">
      <c r="A239" s="3">
        <v>21788</v>
      </c>
      <c r="B239" s="4">
        <v>50</v>
      </c>
      <c r="C239" s="8">
        <f t="shared" si="19"/>
        <v>43</v>
      </c>
      <c r="D239" s="8">
        <f t="shared" si="15"/>
        <v>7</v>
      </c>
      <c r="E239" s="8">
        <f t="shared" si="16"/>
        <v>7</v>
      </c>
      <c r="F239" s="8">
        <f t="shared" si="17"/>
        <v>49</v>
      </c>
      <c r="G239" s="5">
        <f t="shared" si="18"/>
        <v>0.14000000000000001</v>
      </c>
    </row>
    <row r="240" spans="1:7" ht="15.75" customHeight="1">
      <c r="A240" s="3">
        <v>21789</v>
      </c>
      <c r="B240" s="4">
        <v>41</v>
      </c>
      <c r="C240" s="8">
        <f t="shared" si="19"/>
        <v>44.714285714285715</v>
      </c>
      <c r="D240" s="8">
        <f t="shared" si="15"/>
        <v>-3.7142857142857153</v>
      </c>
      <c r="E240" s="8">
        <f t="shared" si="16"/>
        <v>3.7142857142857153</v>
      </c>
      <c r="F240" s="8">
        <f t="shared" si="17"/>
        <v>13.795918367346946</v>
      </c>
      <c r="G240" s="5">
        <f t="shared" si="18"/>
        <v>9.0592334494773538E-2</v>
      </c>
    </row>
    <row r="241" spans="1:7" ht="15.75" customHeight="1">
      <c r="A241" s="3">
        <v>21790</v>
      </c>
      <c r="B241" s="4">
        <v>42</v>
      </c>
      <c r="C241" s="8">
        <f t="shared" si="19"/>
        <v>44</v>
      </c>
      <c r="D241" s="8">
        <f t="shared" si="15"/>
        <v>-2</v>
      </c>
      <c r="E241" s="8">
        <f t="shared" si="16"/>
        <v>2</v>
      </c>
      <c r="F241" s="8">
        <f t="shared" si="17"/>
        <v>4</v>
      </c>
      <c r="G241" s="5">
        <f t="shared" si="18"/>
        <v>4.7619047619047616E-2</v>
      </c>
    </row>
    <row r="242" spans="1:7" ht="15.75" customHeight="1">
      <c r="A242" s="3">
        <v>21791</v>
      </c>
      <c r="B242" s="4">
        <v>51</v>
      </c>
      <c r="C242" s="8">
        <f t="shared" si="19"/>
        <v>43.428571428571431</v>
      </c>
      <c r="D242" s="8">
        <f t="shared" si="15"/>
        <v>7.5714285714285694</v>
      </c>
      <c r="E242" s="8">
        <f t="shared" si="16"/>
        <v>7.5714285714285694</v>
      </c>
      <c r="F242" s="8">
        <f t="shared" si="17"/>
        <v>57.326530612244866</v>
      </c>
      <c r="G242" s="5">
        <f t="shared" si="18"/>
        <v>0.14845938375350137</v>
      </c>
    </row>
    <row r="243" spans="1:7" ht="15.75" customHeight="1">
      <c r="A243" s="3">
        <v>21792</v>
      </c>
      <c r="B243" s="4">
        <v>41</v>
      </c>
      <c r="C243" s="8">
        <f t="shared" si="19"/>
        <v>45</v>
      </c>
      <c r="D243" s="8">
        <f t="shared" si="15"/>
        <v>-4</v>
      </c>
      <c r="E243" s="8">
        <f t="shared" si="16"/>
        <v>4</v>
      </c>
      <c r="F243" s="8">
        <f t="shared" si="17"/>
        <v>16</v>
      </c>
      <c r="G243" s="5">
        <f t="shared" si="18"/>
        <v>9.7560975609756101E-2</v>
      </c>
    </row>
    <row r="244" spans="1:7" ht="15.75" customHeight="1">
      <c r="A244" s="3">
        <v>21793</v>
      </c>
      <c r="B244" s="4">
        <v>44</v>
      </c>
      <c r="C244" s="8">
        <f t="shared" si="19"/>
        <v>45.285714285714285</v>
      </c>
      <c r="D244" s="8">
        <f t="shared" si="15"/>
        <v>-1.2857142857142847</v>
      </c>
      <c r="E244" s="8">
        <f t="shared" si="16"/>
        <v>1.2857142857142847</v>
      </c>
      <c r="F244" s="8">
        <f t="shared" si="17"/>
        <v>1.6530612244897933</v>
      </c>
      <c r="G244" s="5">
        <f t="shared" si="18"/>
        <v>2.9220779220779199E-2</v>
      </c>
    </row>
    <row r="245" spans="1:7" ht="15.75" customHeight="1">
      <c r="A245" s="3">
        <v>21794</v>
      </c>
      <c r="B245" s="4">
        <v>38</v>
      </c>
      <c r="C245" s="8">
        <f t="shared" si="19"/>
        <v>45.285714285714285</v>
      </c>
      <c r="D245" s="8">
        <f t="shared" si="15"/>
        <v>-7.2857142857142847</v>
      </c>
      <c r="E245" s="8">
        <f t="shared" si="16"/>
        <v>7.2857142857142847</v>
      </c>
      <c r="F245" s="8">
        <f t="shared" si="17"/>
        <v>53.081632653061213</v>
      </c>
      <c r="G245" s="5">
        <f t="shared" si="18"/>
        <v>0.19172932330827064</v>
      </c>
    </row>
    <row r="246" spans="1:7" ht="15.75" customHeight="1">
      <c r="A246" s="3">
        <v>21795</v>
      </c>
      <c r="B246" s="4">
        <v>68</v>
      </c>
      <c r="C246" s="8">
        <f t="shared" si="19"/>
        <v>43.857142857142854</v>
      </c>
      <c r="D246" s="8">
        <f t="shared" si="15"/>
        <v>24.142857142857146</v>
      </c>
      <c r="E246" s="8">
        <f t="shared" si="16"/>
        <v>24.142857142857146</v>
      </c>
      <c r="F246" s="8">
        <f t="shared" si="17"/>
        <v>582.8775510204083</v>
      </c>
      <c r="G246" s="5">
        <f t="shared" si="18"/>
        <v>0.35504201680672276</v>
      </c>
    </row>
    <row r="247" spans="1:7" ht="15.75" customHeight="1">
      <c r="A247" s="3">
        <v>21796</v>
      </c>
      <c r="B247" s="4">
        <v>40</v>
      </c>
      <c r="C247" s="8">
        <f t="shared" si="19"/>
        <v>46.428571428571431</v>
      </c>
      <c r="D247" s="8">
        <f t="shared" si="15"/>
        <v>-6.4285714285714306</v>
      </c>
      <c r="E247" s="8">
        <f t="shared" si="16"/>
        <v>6.4285714285714306</v>
      </c>
      <c r="F247" s="8">
        <f t="shared" si="17"/>
        <v>41.326530612244923</v>
      </c>
      <c r="G247" s="5">
        <f t="shared" si="18"/>
        <v>0.16071428571428575</v>
      </c>
    </row>
    <row r="248" spans="1:7" ht="15.75" customHeight="1">
      <c r="A248" s="3">
        <v>21797</v>
      </c>
      <c r="B248" s="4">
        <v>42</v>
      </c>
      <c r="C248" s="8">
        <f t="shared" si="19"/>
        <v>46.285714285714285</v>
      </c>
      <c r="D248" s="8">
        <f t="shared" si="15"/>
        <v>-4.2857142857142847</v>
      </c>
      <c r="E248" s="8">
        <f t="shared" si="16"/>
        <v>4.2857142857142847</v>
      </c>
      <c r="F248" s="8">
        <f t="shared" si="17"/>
        <v>18.367346938775501</v>
      </c>
      <c r="G248" s="5">
        <f t="shared" si="18"/>
        <v>0.10204081632653059</v>
      </c>
    </row>
    <row r="249" spans="1:7" ht="15.75" customHeight="1">
      <c r="A249" s="3">
        <v>21798</v>
      </c>
      <c r="B249" s="4">
        <v>51</v>
      </c>
      <c r="C249" s="8">
        <f t="shared" si="19"/>
        <v>46.285714285714285</v>
      </c>
      <c r="D249" s="8">
        <f t="shared" si="15"/>
        <v>4.7142857142857153</v>
      </c>
      <c r="E249" s="8">
        <f t="shared" si="16"/>
        <v>4.7142857142857153</v>
      </c>
      <c r="F249" s="8">
        <f t="shared" si="17"/>
        <v>22.224489795918377</v>
      </c>
      <c r="G249" s="5">
        <f t="shared" si="18"/>
        <v>9.2436974789915985E-2</v>
      </c>
    </row>
    <row r="250" spans="1:7" ht="15.75" customHeight="1">
      <c r="A250" s="3">
        <v>21799</v>
      </c>
      <c r="B250" s="4">
        <v>44</v>
      </c>
      <c r="C250" s="8">
        <f t="shared" si="19"/>
        <v>46.285714285714285</v>
      </c>
      <c r="D250" s="8">
        <f t="shared" si="15"/>
        <v>-2.2857142857142847</v>
      </c>
      <c r="E250" s="8">
        <f t="shared" si="16"/>
        <v>2.2857142857142847</v>
      </c>
      <c r="F250" s="8">
        <f t="shared" si="17"/>
        <v>5.2244897959183625</v>
      </c>
      <c r="G250" s="5">
        <f t="shared" si="18"/>
        <v>5.1948051948051924E-2</v>
      </c>
    </row>
    <row r="251" spans="1:7" ht="15.75" customHeight="1">
      <c r="A251" s="3">
        <v>21800</v>
      </c>
      <c r="B251" s="4">
        <v>45</v>
      </c>
      <c r="C251" s="8">
        <f t="shared" si="19"/>
        <v>46.714285714285715</v>
      </c>
      <c r="D251" s="8">
        <f t="shared" si="15"/>
        <v>-1.7142857142857153</v>
      </c>
      <c r="E251" s="8">
        <f t="shared" si="16"/>
        <v>1.7142857142857153</v>
      </c>
      <c r="F251" s="8">
        <f t="shared" si="17"/>
        <v>2.9387755102040849</v>
      </c>
      <c r="G251" s="5">
        <f t="shared" si="18"/>
        <v>3.8095238095238119E-2</v>
      </c>
    </row>
    <row r="252" spans="1:7" ht="15.75" customHeight="1">
      <c r="A252" s="3">
        <v>21801</v>
      </c>
      <c r="B252" s="4">
        <v>36</v>
      </c>
      <c r="C252" s="8">
        <f t="shared" si="19"/>
        <v>46.857142857142854</v>
      </c>
      <c r="D252" s="8">
        <f t="shared" si="15"/>
        <v>-10.857142857142854</v>
      </c>
      <c r="E252" s="8">
        <f t="shared" si="16"/>
        <v>10.857142857142854</v>
      </c>
      <c r="F252" s="8">
        <f t="shared" si="17"/>
        <v>117.87755102040809</v>
      </c>
      <c r="G252" s="5">
        <f t="shared" si="18"/>
        <v>0.30158730158730152</v>
      </c>
    </row>
    <row r="253" spans="1:7" ht="15.75" customHeight="1">
      <c r="A253" s="3">
        <v>21802</v>
      </c>
      <c r="B253" s="4">
        <v>57</v>
      </c>
      <c r="C253" s="8">
        <f t="shared" si="19"/>
        <v>46.571428571428569</v>
      </c>
      <c r="D253" s="8">
        <f t="shared" si="15"/>
        <v>10.428571428571431</v>
      </c>
      <c r="E253" s="8">
        <f t="shared" si="16"/>
        <v>10.428571428571431</v>
      </c>
      <c r="F253" s="8">
        <f t="shared" si="17"/>
        <v>108.75510204081637</v>
      </c>
      <c r="G253" s="5">
        <f t="shared" si="18"/>
        <v>0.18295739348370932</v>
      </c>
    </row>
    <row r="254" spans="1:7" ht="15.75" customHeight="1">
      <c r="A254" s="3">
        <v>21803</v>
      </c>
      <c r="B254" s="4">
        <v>44</v>
      </c>
      <c r="C254" s="8">
        <f t="shared" si="19"/>
        <v>45</v>
      </c>
      <c r="D254" s="8">
        <f t="shared" si="15"/>
        <v>-1</v>
      </c>
      <c r="E254" s="8">
        <f t="shared" si="16"/>
        <v>1</v>
      </c>
      <c r="F254" s="8">
        <f t="shared" si="17"/>
        <v>1</v>
      </c>
      <c r="G254" s="5">
        <f t="shared" si="18"/>
        <v>2.2727272727272728E-2</v>
      </c>
    </row>
    <row r="255" spans="1:7" ht="15.75" customHeight="1">
      <c r="A255" s="3">
        <v>21804</v>
      </c>
      <c r="B255" s="4">
        <v>42</v>
      </c>
      <c r="C255" s="8">
        <f t="shared" si="19"/>
        <v>45.571428571428569</v>
      </c>
      <c r="D255" s="8">
        <f t="shared" si="15"/>
        <v>-3.5714285714285694</v>
      </c>
      <c r="E255" s="8">
        <f t="shared" si="16"/>
        <v>3.5714285714285694</v>
      </c>
      <c r="F255" s="8">
        <f t="shared" si="17"/>
        <v>12.755102040816311</v>
      </c>
      <c r="G255" s="5">
        <f t="shared" si="18"/>
        <v>8.5034013605442132E-2</v>
      </c>
    </row>
    <row r="256" spans="1:7" ht="15.75" customHeight="1">
      <c r="A256" s="3">
        <v>21805</v>
      </c>
      <c r="B256" s="4">
        <v>53</v>
      </c>
      <c r="C256" s="8">
        <f t="shared" si="19"/>
        <v>45.571428571428569</v>
      </c>
      <c r="D256" s="8">
        <f t="shared" si="15"/>
        <v>7.4285714285714306</v>
      </c>
      <c r="E256" s="8">
        <f t="shared" si="16"/>
        <v>7.4285714285714306</v>
      </c>
      <c r="F256" s="8">
        <f t="shared" si="17"/>
        <v>55.183673469387784</v>
      </c>
      <c r="G256" s="5">
        <f t="shared" si="18"/>
        <v>0.14016172506738547</v>
      </c>
    </row>
    <row r="257" spans="1:7" ht="15.75" customHeight="1">
      <c r="A257" s="3">
        <v>21806</v>
      </c>
      <c r="B257" s="4">
        <v>42</v>
      </c>
      <c r="C257" s="8">
        <f t="shared" si="19"/>
        <v>45.857142857142854</v>
      </c>
      <c r="D257" s="8">
        <f t="shared" si="15"/>
        <v>-3.8571428571428541</v>
      </c>
      <c r="E257" s="8">
        <f t="shared" si="16"/>
        <v>3.8571428571428541</v>
      </c>
      <c r="F257" s="8">
        <f t="shared" si="17"/>
        <v>14.87755102040814</v>
      </c>
      <c r="G257" s="5">
        <f t="shared" si="18"/>
        <v>9.1836734693877473E-2</v>
      </c>
    </row>
    <row r="258" spans="1:7" ht="15.75" customHeight="1">
      <c r="A258" s="3">
        <v>21807</v>
      </c>
      <c r="B258" s="4">
        <v>34</v>
      </c>
      <c r="C258" s="8">
        <f t="shared" si="19"/>
        <v>45.571428571428569</v>
      </c>
      <c r="D258" s="8">
        <f t="shared" si="15"/>
        <v>-11.571428571428569</v>
      </c>
      <c r="E258" s="8">
        <f t="shared" si="16"/>
        <v>11.571428571428569</v>
      </c>
      <c r="F258" s="8">
        <f t="shared" si="17"/>
        <v>133.89795918367344</v>
      </c>
      <c r="G258" s="5">
        <f t="shared" si="18"/>
        <v>0.34033613445378147</v>
      </c>
    </row>
    <row r="259" spans="1:7" ht="15.75" customHeight="1">
      <c r="A259" s="3">
        <v>21808</v>
      </c>
      <c r="B259" s="4">
        <v>40</v>
      </c>
      <c r="C259" s="8">
        <f t="shared" si="19"/>
        <v>44</v>
      </c>
      <c r="D259" s="8">
        <f t="shared" si="15"/>
        <v>-4</v>
      </c>
      <c r="E259" s="8">
        <f t="shared" si="16"/>
        <v>4</v>
      </c>
      <c r="F259" s="8">
        <f t="shared" si="17"/>
        <v>16</v>
      </c>
      <c r="G259" s="5">
        <f t="shared" si="18"/>
        <v>0.1</v>
      </c>
    </row>
    <row r="260" spans="1:7" ht="15.75" customHeight="1">
      <c r="A260" s="3">
        <v>21809</v>
      </c>
      <c r="B260" s="4">
        <v>56</v>
      </c>
      <c r="C260" s="8">
        <f t="shared" si="19"/>
        <v>44.571428571428569</v>
      </c>
      <c r="D260" s="8">
        <f t="shared" si="15"/>
        <v>11.428571428571431</v>
      </c>
      <c r="E260" s="8">
        <f t="shared" si="16"/>
        <v>11.428571428571431</v>
      </c>
      <c r="F260" s="8">
        <f t="shared" si="17"/>
        <v>130.61224489795924</v>
      </c>
      <c r="G260" s="5">
        <f t="shared" si="18"/>
        <v>0.20408163265306126</v>
      </c>
    </row>
    <row r="261" spans="1:7" ht="15.75" customHeight="1">
      <c r="A261" s="3">
        <v>21810</v>
      </c>
      <c r="B261" s="4">
        <v>44</v>
      </c>
      <c r="C261" s="8">
        <f t="shared" si="19"/>
        <v>44.428571428571431</v>
      </c>
      <c r="D261" s="8">
        <f t="shared" si="15"/>
        <v>-0.4285714285714306</v>
      </c>
      <c r="E261" s="8">
        <f t="shared" si="16"/>
        <v>0.4285714285714306</v>
      </c>
      <c r="F261" s="8">
        <f t="shared" si="17"/>
        <v>0.18367346938775683</v>
      </c>
      <c r="G261" s="5">
        <f t="shared" si="18"/>
        <v>9.7402597402597869E-3</v>
      </c>
    </row>
    <row r="262" spans="1:7" ht="15.75" customHeight="1">
      <c r="A262" s="3">
        <v>21811</v>
      </c>
      <c r="B262" s="4">
        <v>53</v>
      </c>
      <c r="C262" s="8">
        <f t="shared" si="19"/>
        <v>44.428571428571431</v>
      </c>
      <c r="D262" s="8">
        <f t="shared" si="15"/>
        <v>8.5714285714285694</v>
      </c>
      <c r="E262" s="8">
        <f t="shared" si="16"/>
        <v>8.5714285714285694</v>
      </c>
      <c r="F262" s="8">
        <f t="shared" si="17"/>
        <v>73.469387755102005</v>
      </c>
      <c r="G262" s="5">
        <f t="shared" si="18"/>
        <v>0.1617250673854447</v>
      </c>
    </row>
    <row r="263" spans="1:7" ht="15.75" customHeight="1">
      <c r="A263" s="3">
        <v>21812</v>
      </c>
      <c r="B263" s="4">
        <v>55</v>
      </c>
      <c r="C263" s="8">
        <f t="shared" si="19"/>
        <v>46</v>
      </c>
      <c r="D263" s="8">
        <f t="shared" si="15"/>
        <v>9</v>
      </c>
      <c r="E263" s="8">
        <f t="shared" si="16"/>
        <v>9</v>
      </c>
      <c r="F263" s="8">
        <f t="shared" si="17"/>
        <v>81</v>
      </c>
      <c r="G263" s="5">
        <f t="shared" si="18"/>
        <v>0.16363636363636364</v>
      </c>
    </row>
    <row r="264" spans="1:7" ht="15.75" customHeight="1">
      <c r="A264" s="3">
        <v>21813</v>
      </c>
      <c r="B264" s="4">
        <v>39</v>
      </c>
      <c r="C264" s="8">
        <f t="shared" si="19"/>
        <v>46.285714285714285</v>
      </c>
      <c r="D264" s="8">
        <f t="shared" si="15"/>
        <v>-7.2857142857142847</v>
      </c>
      <c r="E264" s="8">
        <f t="shared" si="16"/>
        <v>7.2857142857142847</v>
      </c>
      <c r="F264" s="8">
        <f t="shared" si="17"/>
        <v>53.081632653061213</v>
      </c>
      <c r="G264" s="5">
        <f t="shared" si="18"/>
        <v>0.18681318681318679</v>
      </c>
    </row>
    <row r="265" spans="1:7" ht="15.75" customHeight="1">
      <c r="A265" s="3">
        <v>21814</v>
      </c>
      <c r="B265" s="4">
        <v>59</v>
      </c>
      <c r="C265" s="8">
        <f t="shared" si="19"/>
        <v>45.857142857142854</v>
      </c>
      <c r="D265" s="8">
        <f t="shared" si="15"/>
        <v>13.142857142857146</v>
      </c>
      <c r="E265" s="8">
        <f t="shared" si="16"/>
        <v>13.142857142857146</v>
      </c>
      <c r="F265" s="8">
        <f t="shared" si="17"/>
        <v>172.73469387755111</v>
      </c>
      <c r="G265" s="5">
        <f t="shared" si="18"/>
        <v>0.22276029055690078</v>
      </c>
    </row>
    <row r="266" spans="1:7" ht="15.75" customHeight="1">
      <c r="A266" s="3">
        <v>21815</v>
      </c>
      <c r="B266" s="4">
        <v>55</v>
      </c>
      <c r="C266" s="8">
        <f t="shared" si="19"/>
        <v>49.428571428571431</v>
      </c>
      <c r="D266" s="8">
        <f t="shared" ref="D266:D329" si="20">B266-C266</f>
        <v>5.5714285714285694</v>
      </c>
      <c r="E266" s="8">
        <f t="shared" ref="E266:E329" si="21">ABS(D266)</f>
        <v>5.5714285714285694</v>
      </c>
      <c r="F266" s="8">
        <f t="shared" ref="F266:F329" si="22">E266^2</f>
        <v>31.040816326530589</v>
      </c>
      <c r="G266" s="5">
        <f t="shared" ref="G266:G329" si="23">E266/B266</f>
        <v>0.10129870129870126</v>
      </c>
    </row>
    <row r="267" spans="1:7" ht="15.75" customHeight="1">
      <c r="A267" s="3">
        <v>21816</v>
      </c>
      <c r="B267" s="4">
        <v>73</v>
      </c>
      <c r="C267" s="8">
        <f t="shared" ref="C267:C330" si="24">AVERAGE(B260:B266)</f>
        <v>51.571428571428569</v>
      </c>
      <c r="D267" s="8">
        <f t="shared" si="20"/>
        <v>21.428571428571431</v>
      </c>
      <c r="E267" s="8">
        <f t="shared" si="21"/>
        <v>21.428571428571431</v>
      </c>
      <c r="F267" s="8">
        <f t="shared" si="22"/>
        <v>459.18367346938783</v>
      </c>
      <c r="G267" s="5">
        <f t="shared" si="23"/>
        <v>0.29354207436399221</v>
      </c>
    </row>
    <row r="268" spans="1:7" ht="15.75" customHeight="1">
      <c r="A268" s="3">
        <v>21817</v>
      </c>
      <c r="B268" s="4">
        <v>55</v>
      </c>
      <c r="C268" s="8">
        <f t="shared" si="24"/>
        <v>54</v>
      </c>
      <c r="D268" s="8">
        <f t="shared" si="20"/>
        <v>1</v>
      </c>
      <c r="E268" s="8">
        <f t="shared" si="21"/>
        <v>1</v>
      </c>
      <c r="F268" s="8">
        <f t="shared" si="22"/>
        <v>1</v>
      </c>
      <c r="G268" s="5">
        <f t="shared" si="23"/>
        <v>1.8181818181818181E-2</v>
      </c>
    </row>
    <row r="269" spans="1:7" ht="15.75" customHeight="1">
      <c r="A269" s="3">
        <v>21818</v>
      </c>
      <c r="B269" s="4">
        <v>44</v>
      </c>
      <c r="C269" s="8">
        <f t="shared" si="24"/>
        <v>55.571428571428569</v>
      </c>
      <c r="D269" s="8">
        <f t="shared" si="20"/>
        <v>-11.571428571428569</v>
      </c>
      <c r="E269" s="8">
        <f t="shared" si="21"/>
        <v>11.571428571428569</v>
      </c>
      <c r="F269" s="8">
        <f t="shared" si="22"/>
        <v>133.89795918367344</v>
      </c>
      <c r="G269" s="5">
        <f t="shared" si="23"/>
        <v>0.26298701298701294</v>
      </c>
    </row>
    <row r="270" spans="1:7" ht="15.75" customHeight="1">
      <c r="A270" s="3">
        <v>21819</v>
      </c>
      <c r="B270" s="4">
        <v>43</v>
      </c>
      <c r="C270" s="8">
        <f t="shared" si="24"/>
        <v>54.285714285714285</v>
      </c>
      <c r="D270" s="8">
        <f t="shared" si="20"/>
        <v>-11.285714285714285</v>
      </c>
      <c r="E270" s="8">
        <f t="shared" si="21"/>
        <v>11.285714285714285</v>
      </c>
      <c r="F270" s="8">
        <f t="shared" si="22"/>
        <v>127.36734693877548</v>
      </c>
      <c r="G270" s="5">
        <f t="shared" si="23"/>
        <v>0.26245847176079734</v>
      </c>
    </row>
    <row r="271" spans="1:7" ht="15.75" customHeight="1">
      <c r="A271" s="3">
        <v>21820</v>
      </c>
      <c r="B271" s="4">
        <v>40</v>
      </c>
      <c r="C271" s="8">
        <f t="shared" si="24"/>
        <v>52.571428571428569</v>
      </c>
      <c r="D271" s="8">
        <f t="shared" si="20"/>
        <v>-12.571428571428569</v>
      </c>
      <c r="E271" s="8">
        <f t="shared" si="21"/>
        <v>12.571428571428569</v>
      </c>
      <c r="F271" s="8">
        <f t="shared" si="22"/>
        <v>158.04081632653057</v>
      </c>
      <c r="G271" s="5">
        <f t="shared" si="23"/>
        <v>0.31428571428571422</v>
      </c>
    </row>
    <row r="272" spans="1:7" ht="15.75" customHeight="1">
      <c r="A272" s="3">
        <v>21821</v>
      </c>
      <c r="B272" s="4">
        <v>47</v>
      </c>
      <c r="C272" s="8">
        <f t="shared" si="24"/>
        <v>52.714285714285715</v>
      </c>
      <c r="D272" s="8">
        <f t="shared" si="20"/>
        <v>-5.7142857142857153</v>
      </c>
      <c r="E272" s="8">
        <f t="shared" si="21"/>
        <v>5.7142857142857153</v>
      </c>
      <c r="F272" s="8">
        <f t="shared" si="22"/>
        <v>32.653061224489811</v>
      </c>
      <c r="G272" s="5">
        <f t="shared" si="23"/>
        <v>0.12158054711246202</v>
      </c>
    </row>
    <row r="273" spans="1:7" ht="15.75" customHeight="1">
      <c r="A273" s="3">
        <v>21822</v>
      </c>
      <c r="B273" s="4">
        <v>51</v>
      </c>
      <c r="C273" s="8">
        <f t="shared" si="24"/>
        <v>51</v>
      </c>
      <c r="D273" s="8">
        <f t="shared" si="20"/>
        <v>0</v>
      </c>
      <c r="E273" s="8">
        <f t="shared" si="21"/>
        <v>0</v>
      </c>
      <c r="F273" s="8">
        <f t="shared" si="22"/>
        <v>0</v>
      </c>
      <c r="G273" s="5">
        <f t="shared" si="23"/>
        <v>0</v>
      </c>
    </row>
    <row r="274" spans="1:7" ht="15.75" customHeight="1">
      <c r="A274" s="3">
        <v>21823</v>
      </c>
      <c r="B274" s="4">
        <v>56</v>
      </c>
      <c r="C274" s="8">
        <f t="shared" si="24"/>
        <v>50.428571428571431</v>
      </c>
      <c r="D274" s="8">
        <f t="shared" si="20"/>
        <v>5.5714285714285694</v>
      </c>
      <c r="E274" s="8">
        <f t="shared" si="21"/>
        <v>5.5714285714285694</v>
      </c>
      <c r="F274" s="8">
        <f t="shared" si="22"/>
        <v>31.040816326530589</v>
      </c>
      <c r="G274" s="5">
        <f t="shared" si="23"/>
        <v>9.9489795918367305E-2</v>
      </c>
    </row>
    <row r="275" spans="1:7" ht="15.75" customHeight="1">
      <c r="A275" s="3">
        <v>21824</v>
      </c>
      <c r="B275" s="4">
        <v>49</v>
      </c>
      <c r="C275" s="8">
        <f t="shared" si="24"/>
        <v>48</v>
      </c>
      <c r="D275" s="8">
        <f t="shared" si="20"/>
        <v>1</v>
      </c>
      <c r="E275" s="8">
        <f t="shared" si="21"/>
        <v>1</v>
      </c>
      <c r="F275" s="8">
        <f t="shared" si="22"/>
        <v>1</v>
      </c>
      <c r="G275" s="5">
        <f t="shared" si="23"/>
        <v>2.0408163265306121E-2</v>
      </c>
    </row>
    <row r="276" spans="1:7" ht="15.75" customHeight="1">
      <c r="A276" s="3">
        <v>21825</v>
      </c>
      <c r="B276" s="4">
        <v>54</v>
      </c>
      <c r="C276" s="8">
        <f t="shared" si="24"/>
        <v>47.142857142857146</v>
      </c>
      <c r="D276" s="8">
        <f t="shared" si="20"/>
        <v>6.8571428571428541</v>
      </c>
      <c r="E276" s="8">
        <f t="shared" si="21"/>
        <v>6.8571428571428541</v>
      </c>
      <c r="F276" s="8">
        <f t="shared" si="22"/>
        <v>47.020408163265266</v>
      </c>
      <c r="G276" s="5">
        <f t="shared" si="23"/>
        <v>0.12698412698412692</v>
      </c>
    </row>
    <row r="277" spans="1:7" ht="15.75" customHeight="1">
      <c r="A277" s="3">
        <v>21826</v>
      </c>
      <c r="B277" s="4">
        <v>56</v>
      </c>
      <c r="C277" s="8">
        <f t="shared" si="24"/>
        <v>48.571428571428569</v>
      </c>
      <c r="D277" s="8">
        <f t="shared" si="20"/>
        <v>7.4285714285714306</v>
      </c>
      <c r="E277" s="8">
        <f t="shared" si="21"/>
        <v>7.4285714285714306</v>
      </c>
      <c r="F277" s="8">
        <f t="shared" si="22"/>
        <v>55.183673469387784</v>
      </c>
      <c r="G277" s="5">
        <f t="shared" si="23"/>
        <v>0.13265306122448983</v>
      </c>
    </row>
    <row r="278" spans="1:7" ht="15.75" customHeight="1">
      <c r="A278" s="3">
        <v>21827</v>
      </c>
      <c r="B278" s="4">
        <v>47</v>
      </c>
      <c r="C278" s="8">
        <f t="shared" si="24"/>
        <v>50.428571428571431</v>
      </c>
      <c r="D278" s="8">
        <f t="shared" si="20"/>
        <v>-3.4285714285714306</v>
      </c>
      <c r="E278" s="8">
        <f t="shared" si="21"/>
        <v>3.4285714285714306</v>
      </c>
      <c r="F278" s="8">
        <f t="shared" si="22"/>
        <v>11.75510204081634</v>
      </c>
      <c r="G278" s="5">
        <f t="shared" si="23"/>
        <v>7.2948328267477242E-2</v>
      </c>
    </row>
    <row r="279" spans="1:7" ht="15.75" customHeight="1">
      <c r="A279" s="3">
        <v>21828</v>
      </c>
      <c r="B279" s="4">
        <v>44</v>
      </c>
      <c r="C279" s="8">
        <f t="shared" si="24"/>
        <v>51.428571428571431</v>
      </c>
      <c r="D279" s="8">
        <f t="shared" si="20"/>
        <v>-7.4285714285714306</v>
      </c>
      <c r="E279" s="8">
        <f t="shared" si="21"/>
        <v>7.4285714285714306</v>
      </c>
      <c r="F279" s="8">
        <f t="shared" si="22"/>
        <v>55.183673469387784</v>
      </c>
      <c r="G279" s="5">
        <f t="shared" si="23"/>
        <v>0.16883116883116889</v>
      </c>
    </row>
    <row r="280" spans="1:7" ht="15.75" customHeight="1">
      <c r="A280" s="3">
        <v>21829</v>
      </c>
      <c r="B280" s="4">
        <v>43</v>
      </c>
      <c r="C280" s="8">
        <f t="shared" si="24"/>
        <v>51</v>
      </c>
      <c r="D280" s="8">
        <f t="shared" si="20"/>
        <v>-8</v>
      </c>
      <c r="E280" s="8">
        <f t="shared" si="21"/>
        <v>8</v>
      </c>
      <c r="F280" s="8">
        <f t="shared" si="22"/>
        <v>64</v>
      </c>
      <c r="G280" s="5">
        <f t="shared" si="23"/>
        <v>0.18604651162790697</v>
      </c>
    </row>
    <row r="281" spans="1:7" ht="15.75" customHeight="1">
      <c r="A281" s="3">
        <v>21830</v>
      </c>
      <c r="B281" s="4">
        <v>42</v>
      </c>
      <c r="C281" s="8">
        <f t="shared" si="24"/>
        <v>49.857142857142854</v>
      </c>
      <c r="D281" s="8">
        <f t="shared" si="20"/>
        <v>-7.8571428571428541</v>
      </c>
      <c r="E281" s="8">
        <f t="shared" si="21"/>
        <v>7.8571428571428541</v>
      </c>
      <c r="F281" s="8">
        <f t="shared" si="22"/>
        <v>61.734693877550974</v>
      </c>
      <c r="G281" s="5">
        <f t="shared" si="23"/>
        <v>0.18707482993197272</v>
      </c>
    </row>
    <row r="282" spans="1:7" ht="15.75" customHeight="1">
      <c r="A282" s="3">
        <v>21831</v>
      </c>
      <c r="B282" s="4">
        <v>45</v>
      </c>
      <c r="C282" s="8">
        <f t="shared" si="24"/>
        <v>47.857142857142854</v>
      </c>
      <c r="D282" s="8">
        <f t="shared" si="20"/>
        <v>-2.8571428571428541</v>
      </c>
      <c r="E282" s="8">
        <f t="shared" si="21"/>
        <v>2.8571428571428541</v>
      </c>
      <c r="F282" s="8">
        <f t="shared" si="22"/>
        <v>8.1632653061224314</v>
      </c>
      <c r="G282" s="5">
        <f t="shared" si="23"/>
        <v>6.3492063492063419E-2</v>
      </c>
    </row>
    <row r="283" spans="1:7" ht="15.75" customHeight="1">
      <c r="A283" s="3">
        <v>21832</v>
      </c>
      <c r="B283" s="4">
        <v>50</v>
      </c>
      <c r="C283" s="8">
        <f t="shared" si="24"/>
        <v>47.285714285714285</v>
      </c>
      <c r="D283" s="8">
        <f t="shared" si="20"/>
        <v>2.7142857142857153</v>
      </c>
      <c r="E283" s="8">
        <f t="shared" si="21"/>
        <v>2.7142857142857153</v>
      </c>
      <c r="F283" s="8">
        <f t="shared" si="22"/>
        <v>7.3673469387755155</v>
      </c>
      <c r="G283" s="5">
        <f t="shared" si="23"/>
        <v>5.4285714285714305E-2</v>
      </c>
    </row>
    <row r="284" spans="1:7" ht="15.75" customHeight="1">
      <c r="A284" s="3">
        <v>21833</v>
      </c>
      <c r="B284" s="4">
        <v>48</v>
      </c>
      <c r="C284" s="8">
        <f t="shared" si="24"/>
        <v>46.714285714285715</v>
      </c>
      <c r="D284" s="8">
        <f t="shared" si="20"/>
        <v>1.2857142857142847</v>
      </c>
      <c r="E284" s="8">
        <f t="shared" si="21"/>
        <v>1.2857142857142847</v>
      </c>
      <c r="F284" s="8">
        <f t="shared" si="22"/>
        <v>1.6530612244897933</v>
      </c>
      <c r="G284" s="5">
        <f t="shared" si="23"/>
        <v>2.6785714285714263E-2</v>
      </c>
    </row>
    <row r="285" spans="1:7" ht="15.75" customHeight="1">
      <c r="A285" s="3">
        <v>21834</v>
      </c>
      <c r="B285" s="4">
        <v>43</v>
      </c>
      <c r="C285" s="8">
        <f t="shared" si="24"/>
        <v>45.571428571428569</v>
      </c>
      <c r="D285" s="8">
        <f t="shared" si="20"/>
        <v>-2.5714285714285694</v>
      </c>
      <c r="E285" s="8">
        <f t="shared" si="21"/>
        <v>2.5714285714285694</v>
      </c>
      <c r="F285" s="8">
        <f t="shared" si="22"/>
        <v>6.6122448979591733</v>
      </c>
      <c r="G285" s="5">
        <f t="shared" si="23"/>
        <v>5.9800664451827197E-2</v>
      </c>
    </row>
    <row r="286" spans="1:7" ht="15.75" customHeight="1">
      <c r="A286" s="3">
        <v>21835</v>
      </c>
      <c r="B286" s="4">
        <v>40</v>
      </c>
      <c r="C286" s="8">
        <f t="shared" si="24"/>
        <v>45</v>
      </c>
      <c r="D286" s="8">
        <f t="shared" si="20"/>
        <v>-5</v>
      </c>
      <c r="E286" s="8">
        <f t="shared" si="21"/>
        <v>5</v>
      </c>
      <c r="F286" s="8">
        <f t="shared" si="22"/>
        <v>25</v>
      </c>
      <c r="G286" s="5">
        <f t="shared" si="23"/>
        <v>0.125</v>
      </c>
    </row>
    <row r="287" spans="1:7" ht="15.75" customHeight="1">
      <c r="A287" s="3">
        <v>21836</v>
      </c>
      <c r="B287" s="4">
        <v>59</v>
      </c>
      <c r="C287" s="8">
        <f t="shared" si="24"/>
        <v>44.428571428571431</v>
      </c>
      <c r="D287" s="8">
        <f t="shared" si="20"/>
        <v>14.571428571428569</v>
      </c>
      <c r="E287" s="8">
        <f t="shared" si="21"/>
        <v>14.571428571428569</v>
      </c>
      <c r="F287" s="8">
        <f t="shared" si="22"/>
        <v>212.32653061224485</v>
      </c>
      <c r="G287" s="5">
        <f t="shared" si="23"/>
        <v>0.24697336561743338</v>
      </c>
    </row>
    <row r="288" spans="1:7" ht="15.75" customHeight="1">
      <c r="A288" s="3">
        <v>21837</v>
      </c>
      <c r="B288" s="4">
        <v>41</v>
      </c>
      <c r="C288" s="8">
        <f t="shared" si="24"/>
        <v>46.714285714285715</v>
      </c>
      <c r="D288" s="8">
        <f t="shared" si="20"/>
        <v>-5.7142857142857153</v>
      </c>
      <c r="E288" s="8">
        <f t="shared" si="21"/>
        <v>5.7142857142857153</v>
      </c>
      <c r="F288" s="8">
        <f t="shared" si="22"/>
        <v>32.653061224489811</v>
      </c>
      <c r="G288" s="5">
        <f t="shared" si="23"/>
        <v>0.13937282229965159</v>
      </c>
    </row>
    <row r="289" spans="1:7" ht="15.75" customHeight="1">
      <c r="A289" s="3">
        <v>21838</v>
      </c>
      <c r="B289" s="4">
        <v>42</v>
      </c>
      <c r="C289" s="8">
        <f t="shared" si="24"/>
        <v>46.571428571428569</v>
      </c>
      <c r="D289" s="8">
        <f t="shared" si="20"/>
        <v>-4.5714285714285694</v>
      </c>
      <c r="E289" s="8">
        <f t="shared" si="21"/>
        <v>4.5714285714285694</v>
      </c>
      <c r="F289" s="8">
        <f t="shared" si="22"/>
        <v>20.89795918367345</v>
      </c>
      <c r="G289" s="5">
        <f t="shared" si="23"/>
        <v>0.10884353741496594</v>
      </c>
    </row>
    <row r="290" spans="1:7" ht="15.75" customHeight="1">
      <c r="A290" s="3">
        <v>21839</v>
      </c>
      <c r="B290" s="4">
        <v>51</v>
      </c>
      <c r="C290" s="8">
        <f t="shared" si="24"/>
        <v>46.142857142857146</v>
      </c>
      <c r="D290" s="8">
        <f t="shared" si="20"/>
        <v>4.8571428571428541</v>
      </c>
      <c r="E290" s="8">
        <f t="shared" si="21"/>
        <v>4.8571428571428541</v>
      </c>
      <c r="F290" s="8">
        <f t="shared" si="22"/>
        <v>23.59183673469385</v>
      </c>
      <c r="G290" s="5">
        <f t="shared" si="23"/>
        <v>9.5238095238095177E-2</v>
      </c>
    </row>
    <row r="291" spans="1:7" ht="15.75" customHeight="1">
      <c r="A291" s="3">
        <v>21840</v>
      </c>
      <c r="B291" s="4">
        <v>49</v>
      </c>
      <c r="C291" s="8">
        <f t="shared" si="24"/>
        <v>46.285714285714285</v>
      </c>
      <c r="D291" s="8">
        <f t="shared" si="20"/>
        <v>2.7142857142857153</v>
      </c>
      <c r="E291" s="8">
        <f t="shared" si="21"/>
        <v>2.7142857142857153</v>
      </c>
      <c r="F291" s="8">
        <f t="shared" si="22"/>
        <v>7.3673469387755155</v>
      </c>
      <c r="G291" s="5">
        <f t="shared" si="23"/>
        <v>5.5393586005830928E-2</v>
      </c>
    </row>
    <row r="292" spans="1:7" ht="15.75" customHeight="1">
      <c r="A292" s="3">
        <v>21841</v>
      </c>
      <c r="B292" s="4">
        <v>45</v>
      </c>
      <c r="C292" s="8">
        <f t="shared" si="24"/>
        <v>46.428571428571431</v>
      </c>
      <c r="D292" s="8">
        <f t="shared" si="20"/>
        <v>-1.4285714285714306</v>
      </c>
      <c r="E292" s="8">
        <f t="shared" si="21"/>
        <v>1.4285714285714306</v>
      </c>
      <c r="F292" s="8">
        <f t="shared" si="22"/>
        <v>2.0408163265306181</v>
      </c>
      <c r="G292" s="5">
        <f t="shared" si="23"/>
        <v>3.1746031746031793E-2</v>
      </c>
    </row>
    <row r="293" spans="1:7" ht="15.75" customHeight="1">
      <c r="A293" s="3">
        <v>21842</v>
      </c>
      <c r="B293" s="4">
        <v>43</v>
      </c>
      <c r="C293" s="8">
        <f t="shared" si="24"/>
        <v>46.714285714285715</v>
      </c>
      <c r="D293" s="8">
        <f t="shared" si="20"/>
        <v>-3.7142857142857153</v>
      </c>
      <c r="E293" s="8">
        <f t="shared" si="21"/>
        <v>3.7142857142857153</v>
      </c>
      <c r="F293" s="8">
        <f t="shared" si="22"/>
        <v>13.795918367346946</v>
      </c>
      <c r="G293" s="5">
        <f t="shared" si="23"/>
        <v>8.6378737541528264E-2</v>
      </c>
    </row>
    <row r="294" spans="1:7" ht="15.75" customHeight="1">
      <c r="A294" s="3">
        <v>21843</v>
      </c>
      <c r="B294" s="4">
        <v>42</v>
      </c>
      <c r="C294" s="8">
        <f t="shared" si="24"/>
        <v>47.142857142857146</v>
      </c>
      <c r="D294" s="8">
        <f t="shared" si="20"/>
        <v>-5.1428571428571459</v>
      </c>
      <c r="E294" s="8">
        <f t="shared" si="21"/>
        <v>5.1428571428571459</v>
      </c>
      <c r="F294" s="8">
        <f t="shared" si="22"/>
        <v>26.448979591836768</v>
      </c>
      <c r="G294" s="5">
        <f t="shared" si="23"/>
        <v>0.1224489795918368</v>
      </c>
    </row>
    <row r="295" spans="1:7" ht="15.75" customHeight="1">
      <c r="A295" s="3">
        <v>21844</v>
      </c>
      <c r="B295" s="4">
        <v>38</v>
      </c>
      <c r="C295" s="8">
        <f t="shared" si="24"/>
        <v>44.714285714285715</v>
      </c>
      <c r="D295" s="8">
        <f t="shared" si="20"/>
        <v>-6.7142857142857153</v>
      </c>
      <c r="E295" s="8">
        <f t="shared" si="21"/>
        <v>6.7142857142857153</v>
      </c>
      <c r="F295" s="8">
        <f t="shared" si="22"/>
        <v>45.081632653061241</v>
      </c>
      <c r="G295" s="5">
        <f t="shared" si="23"/>
        <v>0.17669172932330829</v>
      </c>
    </row>
    <row r="296" spans="1:7" ht="15.75" customHeight="1">
      <c r="A296" s="3">
        <v>21845</v>
      </c>
      <c r="B296" s="4">
        <v>47</v>
      </c>
      <c r="C296" s="8">
        <f t="shared" si="24"/>
        <v>44.285714285714285</v>
      </c>
      <c r="D296" s="8">
        <f t="shared" si="20"/>
        <v>2.7142857142857153</v>
      </c>
      <c r="E296" s="8">
        <f t="shared" si="21"/>
        <v>2.7142857142857153</v>
      </c>
      <c r="F296" s="8">
        <f t="shared" si="22"/>
        <v>7.3673469387755155</v>
      </c>
      <c r="G296" s="5">
        <f t="shared" si="23"/>
        <v>5.7750759878419475E-2</v>
      </c>
    </row>
    <row r="297" spans="1:7" ht="15.75" customHeight="1">
      <c r="A297" s="3">
        <v>21846</v>
      </c>
      <c r="B297" s="4">
        <v>38</v>
      </c>
      <c r="C297" s="8">
        <f t="shared" si="24"/>
        <v>45</v>
      </c>
      <c r="D297" s="8">
        <f t="shared" si="20"/>
        <v>-7</v>
      </c>
      <c r="E297" s="8">
        <f t="shared" si="21"/>
        <v>7</v>
      </c>
      <c r="F297" s="8">
        <f t="shared" si="22"/>
        <v>49</v>
      </c>
      <c r="G297" s="5">
        <f t="shared" si="23"/>
        <v>0.18421052631578946</v>
      </c>
    </row>
    <row r="298" spans="1:7" ht="15.75" customHeight="1">
      <c r="A298" s="3">
        <v>21847</v>
      </c>
      <c r="B298" s="4">
        <v>36</v>
      </c>
      <c r="C298" s="8">
        <f t="shared" si="24"/>
        <v>43.142857142857146</v>
      </c>
      <c r="D298" s="8">
        <f t="shared" si="20"/>
        <v>-7.1428571428571459</v>
      </c>
      <c r="E298" s="8">
        <f t="shared" si="21"/>
        <v>7.1428571428571459</v>
      </c>
      <c r="F298" s="8">
        <f t="shared" si="22"/>
        <v>51.020408163265351</v>
      </c>
      <c r="G298" s="5">
        <f t="shared" si="23"/>
        <v>0.19841269841269848</v>
      </c>
    </row>
    <row r="299" spans="1:7" ht="15.75" customHeight="1">
      <c r="A299" s="3">
        <v>21848</v>
      </c>
      <c r="B299" s="4">
        <v>42</v>
      </c>
      <c r="C299" s="8">
        <f t="shared" si="24"/>
        <v>41.285714285714285</v>
      </c>
      <c r="D299" s="8">
        <f t="shared" si="20"/>
        <v>0.7142857142857153</v>
      </c>
      <c r="E299" s="8">
        <f t="shared" si="21"/>
        <v>0.7142857142857153</v>
      </c>
      <c r="F299" s="8">
        <f t="shared" si="22"/>
        <v>0.51020408163265452</v>
      </c>
      <c r="G299" s="5">
        <f t="shared" si="23"/>
        <v>1.7006802721088461E-2</v>
      </c>
    </row>
    <row r="300" spans="1:7" ht="15.75" customHeight="1">
      <c r="A300" s="3">
        <v>21849</v>
      </c>
      <c r="B300" s="4">
        <v>35</v>
      </c>
      <c r="C300" s="8">
        <f t="shared" si="24"/>
        <v>40.857142857142854</v>
      </c>
      <c r="D300" s="8">
        <f t="shared" si="20"/>
        <v>-5.8571428571428541</v>
      </c>
      <c r="E300" s="8">
        <f t="shared" si="21"/>
        <v>5.8571428571428541</v>
      </c>
      <c r="F300" s="8">
        <f t="shared" si="22"/>
        <v>34.306122448979558</v>
      </c>
      <c r="G300" s="5">
        <f t="shared" si="23"/>
        <v>0.16734693877551013</v>
      </c>
    </row>
    <row r="301" spans="1:7" ht="15.75" customHeight="1">
      <c r="A301" s="3">
        <v>21850</v>
      </c>
      <c r="B301" s="4">
        <v>28</v>
      </c>
      <c r="C301" s="8">
        <f t="shared" si="24"/>
        <v>39.714285714285715</v>
      </c>
      <c r="D301" s="8">
        <f t="shared" si="20"/>
        <v>-11.714285714285715</v>
      </c>
      <c r="E301" s="8">
        <f t="shared" si="21"/>
        <v>11.714285714285715</v>
      </c>
      <c r="F301" s="8">
        <f t="shared" si="22"/>
        <v>137.2244897959184</v>
      </c>
      <c r="G301" s="5">
        <f t="shared" si="23"/>
        <v>0.41836734693877553</v>
      </c>
    </row>
    <row r="302" spans="1:7" ht="15.75" customHeight="1">
      <c r="A302" s="3">
        <v>21851</v>
      </c>
      <c r="B302" s="4">
        <v>44</v>
      </c>
      <c r="C302" s="8">
        <f t="shared" si="24"/>
        <v>37.714285714285715</v>
      </c>
      <c r="D302" s="8">
        <f t="shared" si="20"/>
        <v>6.2857142857142847</v>
      </c>
      <c r="E302" s="8">
        <f t="shared" si="21"/>
        <v>6.2857142857142847</v>
      </c>
      <c r="F302" s="8">
        <f t="shared" si="22"/>
        <v>39.510204081632644</v>
      </c>
      <c r="G302" s="5">
        <f t="shared" si="23"/>
        <v>0.14285714285714282</v>
      </c>
    </row>
    <row r="303" spans="1:7" ht="15.75" customHeight="1">
      <c r="A303" s="3">
        <v>21852</v>
      </c>
      <c r="B303" s="4">
        <v>36</v>
      </c>
      <c r="C303" s="8">
        <f t="shared" si="24"/>
        <v>38.571428571428569</v>
      </c>
      <c r="D303" s="8">
        <f t="shared" si="20"/>
        <v>-2.5714285714285694</v>
      </c>
      <c r="E303" s="8">
        <f t="shared" si="21"/>
        <v>2.5714285714285694</v>
      </c>
      <c r="F303" s="8">
        <f t="shared" si="22"/>
        <v>6.6122448979591733</v>
      </c>
      <c r="G303" s="5">
        <f t="shared" si="23"/>
        <v>7.1428571428571369E-2</v>
      </c>
    </row>
    <row r="304" spans="1:7" ht="15.75" customHeight="1">
      <c r="A304" s="3">
        <v>21853</v>
      </c>
      <c r="B304" s="4">
        <v>45</v>
      </c>
      <c r="C304" s="8">
        <f t="shared" si="24"/>
        <v>37</v>
      </c>
      <c r="D304" s="8">
        <f t="shared" si="20"/>
        <v>8</v>
      </c>
      <c r="E304" s="8">
        <f t="shared" si="21"/>
        <v>8</v>
      </c>
      <c r="F304" s="8">
        <f t="shared" si="22"/>
        <v>64</v>
      </c>
      <c r="G304" s="5">
        <f t="shared" si="23"/>
        <v>0.17777777777777778</v>
      </c>
    </row>
    <row r="305" spans="1:7" ht="15.75" customHeight="1">
      <c r="A305" s="3">
        <v>21854</v>
      </c>
      <c r="B305" s="4">
        <v>46</v>
      </c>
      <c r="C305" s="8">
        <f t="shared" si="24"/>
        <v>38</v>
      </c>
      <c r="D305" s="8">
        <f t="shared" si="20"/>
        <v>8</v>
      </c>
      <c r="E305" s="8">
        <f t="shared" si="21"/>
        <v>8</v>
      </c>
      <c r="F305" s="8">
        <f t="shared" si="22"/>
        <v>64</v>
      </c>
      <c r="G305" s="5">
        <f t="shared" si="23"/>
        <v>0.17391304347826086</v>
      </c>
    </row>
    <row r="306" spans="1:7" ht="15.75" customHeight="1">
      <c r="A306" s="3">
        <v>21855</v>
      </c>
      <c r="B306" s="4">
        <v>48</v>
      </c>
      <c r="C306" s="8">
        <f t="shared" si="24"/>
        <v>39.428571428571431</v>
      </c>
      <c r="D306" s="8">
        <f t="shared" si="20"/>
        <v>8.5714285714285694</v>
      </c>
      <c r="E306" s="8">
        <f t="shared" si="21"/>
        <v>8.5714285714285694</v>
      </c>
      <c r="F306" s="8">
        <f t="shared" si="22"/>
        <v>73.469387755102005</v>
      </c>
      <c r="G306" s="5">
        <f t="shared" si="23"/>
        <v>0.17857142857142852</v>
      </c>
    </row>
    <row r="307" spans="1:7" ht="15.75" customHeight="1">
      <c r="A307" s="3">
        <v>21856</v>
      </c>
      <c r="B307" s="4">
        <v>49</v>
      </c>
      <c r="C307" s="8">
        <f t="shared" si="24"/>
        <v>40.285714285714285</v>
      </c>
      <c r="D307" s="8">
        <f t="shared" si="20"/>
        <v>8.7142857142857153</v>
      </c>
      <c r="E307" s="8">
        <f t="shared" si="21"/>
        <v>8.7142857142857153</v>
      </c>
      <c r="F307" s="8">
        <f t="shared" si="22"/>
        <v>75.938775510204096</v>
      </c>
      <c r="G307" s="5">
        <f t="shared" si="23"/>
        <v>0.17784256559766765</v>
      </c>
    </row>
    <row r="308" spans="1:7" ht="15.75" customHeight="1">
      <c r="A308" s="3">
        <v>21857</v>
      </c>
      <c r="B308" s="4">
        <v>43</v>
      </c>
      <c r="C308" s="8">
        <f t="shared" si="24"/>
        <v>42.285714285714285</v>
      </c>
      <c r="D308" s="8">
        <f t="shared" si="20"/>
        <v>0.7142857142857153</v>
      </c>
      <c r="E308" s="8">
        <f t="shared" si="21"/>
        <v>0.7142857142857153</v>
      </c>
      <c r="F308" s="8">
        <f t="shared" si="22"/>
        <v>0.51020408163265452</v>
      </c>
      <c r="G308" s="5">
        <f t="shared" si="23"/>
        <v>1.6611295681063145E-2</v>
      </c>
    </row>
    <row r="309" spans="1:7" ht="15.75" customHeight="1">
      <c r="A309" s="3">
        <v>21858</v>
      </c>
      <c r="B309" s="4">
        <v>42</v>
      </c>
      <c r="C309" s="8">
        <f t="shared" si="24"/>
        <v>44.428571428571431</v>
      </c>
      <c r="D309" s="8">
        <f t="shared" si="20"/>
        <v>-2.4285714285714306</v>
      </c>
      <c r="E309" s="8">
        <f t="shared" si="21"/>
        <v>2.4285714285714306</v>
      </c>
      <c r="F309" s="8">
        <f t="shared" si="22"/>
        <v>5.8979591836734793</v>
      </c>
      <c r="G309" s="5">
        <f t="shared" si="23"/>
        <v>5.7823129251700731E-2</v>
      </c>
    </row>
    <row r="310" spans="1:7" ht="15.75" customHeight="1">
      <c r="A310" s="3">
        <v>21859</v>
      </c>
      <c r="B310" s="4">
        <v>59</v>
      </c>
      <c r="C310" s="8">
        <f t="shared" si="24"/>
        <v>44.142857142857146</v>
      </c>
      <c r="D310" s="8">
        <f t="shared" si="20"/>
        <v>14.857142857142854</v>
      </c>
      <c r="E310" s="8">
        <f t="shared" si="21"/>
        <v>14.857142857142854</v>
      </c>
      <c r="F310" s="8">
        <f t="shared" si="22"/>
        <v>220.73469387755094</v>
      </c>
      <c r="G310" s="5">
        <f t="shared" si="23"/>
        <v>0.25181598062953992</v>
      </c>
    </row>
    <row r="311" spans="1:7" ht="15.75" customHeight="1">
      <c r="A311" s="3">
        <v>21860</v>
      </c>
      <c r="B311" s="4">
        <v>45</v>
      </c>
      <c r="C311" s="8">
        <f t="shared" si="24"/>
        <v>47.428571428571431</v>
      </c>
      <c r="D311" s="8">
        <f t="shared" si="20"/>
        <v>-2.4285714285714306</v>
      </c>
      <c r="E311" s="8">
        <f t="shared" si="21"/>
        <v>2.4285714285714306</v>
      </c>
      <c r="F311" s="8">
        <f t="shared" si="22"/>
        <v>5.8979591836734793</v>
      </c>
      <c r="G311" s="5">
        <f t="shared" si="23"/>
        <v>5.3968253968254012E-2</v>
      </c>
    </row>
    <row r="312" spans="1:7" ht="15.75" customHeight="1">
      <c r="A312" s="3">
        <v>21861</v>
      </c>
      <c r="B312" s="4">
        <v>52</v>
      </c>
      <c r="C312" s="8">
        <f t="shared" si="24"/>
        <v>47.428571428571431</v>
      </c>
      <c r="D312" s="8">
        <f t="shared" si="20"/>
        <v>4.5714285714285694</v>
      </c>
      <c r="E312" s="8">
        <f t="shared" si="21"/>
        <v>4.5714285714285694</v>
      </c>
      <c r="F312" s="8">
        <f t="shared" si="22"/>
        <v>20.89795918367345</v>
      </c>
      <c r="G312" s="5">
        <f t="shared" si="23"/>
        <v>8.7912087912087877E-2</v>
      </c>
    </row>
    <row r="313" spans="1:7" ht="15.75" customHeight="1">
      <c r="A313" s="3">
        <v>21862</v>
      </c>
      <c r="B313" s="4">
        <v>46</v>
      </c>
      <c r="C313" s="8">
        <f t="shared" si="24"/>
        <v>48.285714285714285</v>
      </c>
      <c r="D313" s="8">
        <f t="shared" si="20"/>
        <v>-2.2857142857142847</v>
      </c>
      <c r="E313" s="8">
        <f t="shared" si="21"/>
        <v>2.2857142857142847</v>
      </c>
      <c r="F313" s="8">
        <f t="shared" si="22"/>
        <v>5.2244897959183625</v>
      </c>
      <c r="G313" s="5">
        <f t="shared" si="23"/>
        <v>4.9689440993788796E-2</v>
      </c>
    </row>
    <row r="314" spans="1:7" ht="15.75" customHeight="1">
      <c r="A314" s="3">
        <v>21863</v>
      </c>
      <c r="B314" s="4">
        <v>42</v>
      </c>
      <c r="C314" s="8">
        <f t="shared" si="24"/>
        <v>48</v>
      </c>
      <c r="D314" s="8">
        <f t="shared" si="20"/>
        <v>-6</v>
      </c>
      <c r="E314" s="8">
        <f t="shared" si="21"/>
        <v>6</v>
      </c>
      <c r="F314" s="8">
        <f t="shared" si="22"/>
        <v>36</v>
      </c>
      <c r="G314" s="5">
        <f t="shared" si="23"/>
        <v>0.14285714285714285</v>
      </c>
    </row>
    <row r="315" spans="1:7" ht="15.75" customHeight="1">
      <c r="A315" s="3">
        <v>21864</v>
      </c>
      <c r="B315" s="4">
        <v>40</v>
      </c>
      <c r="C315" s="8">
        <f t="shared" si="24"/>
        <v>47</v>
      </c>
      <c r="D315" s="8">
        <f t="shared" si="20"/>
        <v>-7</v>
      </c>
      <c r="E315" s="8">
        <f t="shared" si="21"/>
        <v>7</v>
      </c>
      <c r="F315" s="8">
        <f t="shared" si="22"/>
        <v>49</v>
      </c>
      <c r="G315" s="5">
        <f t="shared" si="23"/>
        <v>0.17499999999999999</v>
      </c>
    </row>
    <row r="316" spans="1:7" ht="15.75" customHeight="1">
      <c r="A316" s="3">
        <v>21865</v>
      </c>
      <c r="B316" s="4">
        <v>40</v>
      </c>
      <c r="C316" s="8">
        <f t="shared" si="24"/>
        <v>46.571428571428569</v>
      </c>
      <c r="D316" s="8">
        <f t="shared" si="20"/>
        <v>-6.5714285714285694</v>
      </c>
      <c r="E316" s="8">
        <f t="shared" si="21"/>
        <v>6.5714285714285694</v>
      </c>
      <c r="F316" s="8">
        <f t="shared" si="22"/>
        <v>43.183673469387728</v>
      </c>
      <c r="G316" s="5">
        <f t="shared" si="23"/>
        <v>0.16428571428571423</v>
      </c>
    </row>
    <row r="317" spans="1:7" ht="15.75" customHeight="1">
      <c r="A317" s="3">
        <v>21866</v>
      </c>
      <c r="B317" s="4">
        <v>45</v>
      </c>
      <c r="C317" s="8">
        <f t="shared" si="24"/>
        <v>46.285714285714285</v>
      </c>
      <c r="D317" s="8">
        <f t="shared" si="20"/>
        <v>-1.2857142857142847</v>
      </c>
      <c r="E317" s="8">
        <f t="shared" si="21"/>
        <v>1.2857142857142847</v>
      </c>
      <c r="F317" s="8">
        <f t="shared" si="22"/>
        <v>1.6530612244897933</v>
      </c>
      <c r="G317" s="5">
        <f t="shared" si="23"/>
        <v>2.857142857142855E-2</v>
      </c>
    </row>
    <row r="318" spans="1:7" ht="15.75" customHeight="1">
      <c r="A318" s="3">
        <v>21867</v>
      </c>
      <c r="B318" s="4">
        <v>35</v>
      </c>
      <c r="C318" s="8">
        <f t="shared" si="24"/>
        <v>44.285714285714285</v>
      </c>
      <c r="D318" s="8">
        <f t="shared" si="20"/>
        <v>-9.2857142857142847</v>
      </c>
      <c r="E318" s="8">
        <f t="shared" si="21"/>
        <v>9.2857142857142847</v>
      </c>
      <c r="F318" s="8">
        <f t="shared" si="22"/>
        <v>86.224489795918345</v>
      </c>
      <c r="G318" s="5">
        <f t="shared" si="23"/>
        <v>0.26530612244897955</v>
      </c>
    </row>
    <row r="319" spans="1:7" ht="15.75" customHeight="1">
      <c r="A319" s="3">
        <v>21868</v>
      </c>
      <c r="B319" s="4">
        <v>35</v>
      </c>
      <c r="C319" s="8">
        <f t="shared" si="24"/>
        <v>42.857142857142854</v>
      </c>
      <c r="D319" s="8">
        <f t="shared" si="20"/>
        <v>-7.8571428571428541</v>
      </c>
      <c r="E319" s="8">
        <f t="shared" si="21"/>
        <v>7.8571428571428541</v>
      </c>
      <c r="F319" s="8">
        <f t="shared" si="22"/>
        <v>61.734693877550974</v>
      </c>
      <c r="G319" s="5">
        <f t="shared" si="23"/>
        <v>0.22448979591836726</v>
      </c>
    </row>
    <row r="320" spans="1:7" ht="15.75" customHeight="1">
      <c r="A320" s="3">
        <v>21869</v>
      </c>
      <c r="B320" s="4">
        <v>40</v>
      </c>
      <c r="C320" s="8">
        <f t="shared" si="24"/>
        <v>40.428571428571431</v>
      </c>
      <c r="D320" s="8">
        <f t="shared" si="20"/>
        <v>-0.4285714285714306</v>
      </c>
      <c r="E320" s="8">
        <f t="shared" si="21"/>
        <v>0.4285714285714306</v>
      </c>
      <c r="F320" s="8">
        <f t="shared" si="22"/>
        <v>0.18367346938775683</v>
      </c>
      <c r="G320" s="5">
        <f t="shared" si="23"/>
        <v>1.0714285714285765E-2</v>
      </c>
    </row>
    <row r="321" spans="1:7" ht="15.75" customHeight="1">
      <c r="A321" s="3">
        <v>21870</v>
      </c>
      <c r="B321" s="4">
        <v>39</v>
      </c>
      <c r="C321" s="8">
        <f t="shared" si="24"/>
        <v>39.571428571428569</v>
      </c>
      <c r="D321" s="8">
        <f t="shared" si="20"/>
        <v>-0.5714285714285694</v>
      </c>
      <c r="E321" s="8">
        <f t="shared" si="21"/>
        <v>0.5714285714285694</v>
      </c>
      <c r="F321" s="8">
        <f t="shared" si="22"/>
        <v>0.32653061224489566</v>
      </c>
      <c r="G321" s="5">
        <f t="shared" si="23"/>
        <v>1.46520146520146E-2</v>
      </c>
    </row>
    <row r="322" spans="1:7" ht="15.75" customHeight="1">
      <c r="A322" s="3">
        <v>21871</v>
      </c>
      <c r="B322" s="4">
        <v>33</v>
      </c>
      <c r="C322" s="8">
        <f t="shared" si="24"/>
        <v>39.142857142857146</v>
      </c>
      <c r="D322" s="8">
        <f t="shared" si="20"/>
        <v>-6.1428571428571459</v>
      </c>
      <c r="E322" s="8">
        <f t="shared" si="21"/>
        <v>6.1428571428571459</v>
      </c>
      <c r="F322" s="8">
        <f t="shared" si="22"/>
        <v>37.734693877551059</v>
      </c>
      <c r="G322" s="5">
        <f t="shared" si="23"/>
        <v>0.18614718614718623</v>
      </c>
    </row>
    <row r="323" spans="1:7" ht="15.75" customHeight="1">
      <c r="A323" s="3">
        <v>21872</v>
      </c>
      <c r="B323" s="4">
        <v>42</v>
      </c>
      <c r="C323" s="8">
        <f t="shared" si="24"/>
        <v>38.142857142857146</v>
      </c>
      <c r="D323" s="8">
        <f t="shared" si="20"/>
        <v>3.8571428571428541</v>
      </c>
      <c r="E323" s="8">
        <f t="shared" si="21"/>
        <v>3.8571428571428541</v>
      </c>
      <c r="F323" s="8">
        <f t="shared" si="22"/>
        <v>14.87755102040814</v>
      </c>
      <c r="G323" s="5">
        <f t="shared" si="23"/>
        <v>9.1836734693877473E-2</v>
      </c>
    </row>
    <row r="324" spans="1:7" ht="15.75" customHeight="1">
      <c r="A324" s="3">
        <v>21873</v>
      </c>
      <c r="B324" s="4">
        <v>47</v>
      </c>
      <c r="C324" s="8">
        <f t="shared" si="24"/>
        <v>38.428571428571431</v>
      </c>
      <c r="D324" s="8">
        <f t="shared" si="20"/>
        <v>8.5714285714285694</v>
      </c>
      <c r="E324" s="8">
        <f t="shared" si="21"/>
        <v>8.5714285714285694</v>
      </c>
      <c r="F324" s="8">
        <f t="shared" si="22"/>
        <v>73.469387755102005</v>
      </c>
      <c r="G324" s="5">
        <f t="shared" si="23"/>
        <v>0.18237082066869298</v>
      </c>
    </row>
    <row r="325" spans="1:7" ht="15.75" customHeight="1">
      <c r="A325" s="3">
        <v>21874</v>
      </c>
      <c r="B325" s="4">
        <v>51</v>
      </c>
      <c r="C325" s="8">
        <f t="shared" si="24"/>
        <v>38.714285714285715</v>
      </c>
      <c r="D325" s="8">
        <f t="shared" si="20"/>
        <v>12.285714285714285</v>
      </c>
      <c r="E325" s="8">
        <f t="shared" si="21"/>
        <v>12.285714285714285</v>
      </c>
      <c r="F325" s="8">
        <f t="shared" si="22"/>
        <v>150.93877551020407</v>
      </c>
      <c r="G325" s="5">
        <f t="shared" si="23"/>
        <v>0.24089635854341734</v>
      </c>
    </row>
    <row r="326" spans="1:7" ht="15.75" customHeight="1">
      <c r="A326" s="3">
        <v>21875</v>
      </c>
      <c r="B326" s="4">
        <v>44</v>
      </c>
      <c r="C326" s="8">
        <f t="shared" si="24"/>
        <v>41</v>
      </c>
      <c r="D326" s="8">
        <f t="shared" si="20"/>
        <v>3</v>
      </c>
      <c r="E326" s="8">
        <f t="shared" si="21"/>
        <v>3</v>
      </c>
      <c r="F326" s="8">
        <f t="shared" si="22"/>
        <v>9</v>
      </c>
      <c r="G326" s="5">
        <f t="shared" si="23"/>
        <v>6.8181818181818177E-2</v>
      </c>
    </row>
    <row r="327" spans="1:7" ht="15.75" customHeight="1">
      <c r="A327" s="3">
        <v>21876</v>
      </c>
      <c r="B327" s="4">
        <v>40</v>
      </c>
      <c r="C327" s="8">
        <f t="shared" si="24"/>
        <v>42.285714285714285</v>
      </c>
      <c r="D327" s="8">
        <f t="shared" si="20"/>
        <v>-2.2857142857142847</v>
      </c>
      <c r="E327" s="8">
        <f t="shared" si="21"/>
        <v>2.2857142857142847</v>
      </c>
      <c r="F327" s="8">
        <f t="shared" si="22"/>
        <v>5.2244897959183625</v>
      </c>
      <c r="G327" s="5">
        <f t="shared" si="23"/>
        <v>5.714285714285712E-2</v>
      </c>
    </row>
    <row r="328" spans="1:7" ht="15.75" customHeight="1">
      <c r="A328" s="3">
        <v>21877</v>
      </c>
      <c r="B328" s="4">
        <v>57</v>
      </c>
      <c r="C328" s="8">
        <f t="shared" si="24"/>
        <v>42.285714285714285</v>
      </c>
      <c r="D328" s="8">
        <f t="shared" si="20"/>
        <v>14.714285714285715</v>
      </c>
      <c r="E328" s="8">
        <f t="shared" si="21"/>
        <v>14.714285714285715</v>
      </c>
      <c r="F328" s="8">
        <f t="shared" si="22"/>
        <v>216.51020408163268</v>
      </c>
      <c r="G328" s="5">
        <f t="shared" si="23"/>
        <v>0.25814536340852134</v>
      </c>
    </row>
    <row r="329" spans="1:7" ht="15.75" customHeight="1">
      <c r="A329" s="3">
        <v>21878</v>
      </c>
      <c r="B329" s="4">
        <v>49</v>
      </c>
      <c r="C329" s="8">
        <f t="shared" si="24"/>
        <v>44.857142857142854</v>
      </c>
      <c r="D329" s="8">
        <f t="shared" si="20"/>
        <v>4.1428571428571459</v>
      </c>
      <c r="E329" s="8">
        <f t="shared" si="21"/>
        <v>4.1428571428571459</v>
      </c>
      <c r="F329" s="8">
        <f t="shared" si="22"/>
        <v>17.163265306122476</v>
      </c>
      <c r="G329" s="5">
        <f t="shared" si="23"/>
        <v>8.4548104956268286E-2</v>
      </c>
    </row>
    <row r="330" spans="1:7" ht="15.75" customHeight="1">
      <c r="A330" s="3">
        <v>21879</v>
      </c>
      <c r="B330" s="4">
        <v>45</v>
      </c>
      <c r="C330" s="8">
        <f t="shared" si="24"/>
        <v>47.142857142857146</v>
      </c>
      <c r="D330" s="8">
        <f t="shared" ref="D330:D366" si="25">B330-C330</f>
        <v>-2.1428571428571459</v>
      </c>
      <c r="E330" s="8">
        <f t="shared" ref="E330:E366" si="26">ABS(D330)</f>
        <v>2.1428571428571459</v>
      </c>
      <c r="F330" s="8">
        <f t="shared" ref="F330:F366" si="27">E330^2</f>
        <v>4.5918367346938904</v>
      </c>
      <c r="G330" s="5">
        <f t="shared" ref="G330:G366" si="28">E330/B330</f>
        <v>4.7619047619047686E-2</v>
      </c>
    </row>
    <row r="331" spans="1:7" ht="15.75" customHeight="1">
      <c r="A331" s="3">
        <v>21880</v>
      </c>
      <c r="B331" s="4">
        <v>49</v>
      </c>
      <c r="C331" s="8">
        <f t="shared" ref="C331:C366" si="29">AVERAGE(B324:B330)</f>
        <v>47.571428571428569</v>
      </c>
      <c r="D331" s="8">
        <f t="shared" si="25"/>
        <v>1.4285714285714306</v>
      </c>
      <c r="E331" s="8">
        <f t="shared" si="26"/>
        <v>1.4285714285714306</v>
      </c>
      <c r="F331" s="8">
        <f t="shared" si="27"/>
        <v>2.0408163265306181</v>
      </c>
      <c r="G331" s="5">
        <f t="shared" si="28"/>
        <v>2.9154518950437358E-2</v>
      </c>
    </row>
    <row r="332" spans="1:7" ht="15.75" customHeight="1">
      <c r="A332" s="3">
        <v>21881</v>
      </c>
      <c r="B332" s="4">
        <v>51</v>
      </c>
      <c r="C332" s="8">
        <f t="shared" si="29"/>
        <v>47.857142857142854</v>
      </c>
      <c r="D332" s="8">
        <f t="shared" si="25"/>
        <v>3.1428571428571459</v>
      </c>
      <c r="E332" s="8">
        <f t="shared" si="26"/>
        <v>3.1428571428571459</v>
      </c>
      <c r="F332" s="8">
        <f t="shared" si="27"/>
        <v>9.8775510204081822</v>
      </c>
      <c r="G332" s="5">
        <f t="shared" si="28"/>
        <v>6.1624649859944036E-2</v>
      </c>
    </row>
    <row r="333" spans="1:7" ht="15.75" customHeight="1">
      <c r="A333" s="3">
        <v>21882</v>
      </c>
      <c r="B333" s="4">
        <v>46</v>
      </c>
      <c r="C333" s="8">
        <f t="shared" si="29"/>
        <v>47.857142857142854</v>
      </c>
      <c r="D333" s="8">
        <f t="shared" si="25"/>
        <v>-1.8571428571428541</v>
      </c>
      <c r="E333" s="8">
        <f t="shared" si="26"/>
        <v>1.8571428571428541</v>
      </c>
      <c r="F333" s="8">
        <f t="shared" si="27"/>
        <v>3.4489795918367232</v>
      </c>
      <c r="G333" s="5">
        <f t="shared" si="28"/>
        <v>4.0372670807453347E-2</v>
      </c>
    </row>
    <row r="334" spans="1:7" ht="15.75" customHeight="1">
      <c r="A334" s="3">
        <v>21883</v>
      </c>
      <c r="B334" s="4">
        <v>44</v>
      </c>
      <c r="C334" s="8">
        <f t="shared" si="29"/>
        <v>48.142857142857146</v>
      </c>
      <c r="D334" s="8">
        <f t="shared" si="25"/>
        <v>-4.1428571428571459</v>
      </c>
      <c r="E334" s="8">
        <f t="shared" si="26"/>
        <v>4.1428571428571459</v>
      </c>
      <c r="F334" s="8">
        <f t="shared" si="27"/>
        <v>17.163265306122476</v>
      </c>
      <c r="G334" s="5">
        <f t="shared" si="28"/>
        <v>9.4155844155844229E-2</v>
      </c>
    </row>
    <row r="335" spans="1:7" ht="15.75" customHeight="1">
      <c r="A335" s="3">
        <v>21884</v>
      </c>
      <c r="B335" s="4">
        <v>52</v>
      </c>
      <c r="C335" s="8">
        <f t="shared" si="29"/>
        <v>48.714285714285715</v>
      </c>
      <c r="D335" s="8">
        <f t="shared" si="25"/>
        <v>3.2857142857142847</v>
      </c>
      <c r="E335" s="8">
        <f t="shared" si="26"/>
        <v>3.2857142857142847</v>
      </c>
      <c r="F335" s="8">
        <f t="shared" si="27"/>
        <v>10.795918367346932</v>
      </c>
      <c r="G335" s="5">
        <f t="shared" si="28"/>
        <v>6.318681318681317E-2</v>
      </c>
    </row>
    <row r="336" spans="1:7" ht="15.75" customHeight="1">
      <c r="A336" s="3">
        <v>21885</v>
      </c>
      <c r="B336" s="4">
        <v>45</v>
      </c>
      <c r="C336" s="8">
        <f t="shared" si="29"/>
        <v>48</v>
      </c>
      <c r="D336" s="8">
        <f t="shared" si="25"/>
        <v>-3</v>
      </c>
      <c r="E336" s="8">
        <f t="shared" si="26"/>
        <v>3</v>
      </c>
      <c r="F336" s="8">
        <f t="shared" si="27"/>
        <v>9</v>
      </c>
      <c r="G336" s="5">
        <f t="shared" si="28"/>
        <v>6.6666666666666666E-2</v>
      </c>
    </row>
    <row r="337" spans="1:7" ht="15.75" customHeight="1">
      <c r="A337" s="3">
        <v>21886</v>
      </c>
      <c r="B337" s="4">
        <v>32</v>
      </c>
      <c r="C337" s="8">
        <f t="shared" si="29"/>
        <v>47.428571428571431</v>
      </c>
      <c r="D337" s="8">
        <f t="shared" si="25"/>
        <v>-15.428571428571431</v>
      </c>
      <c r="E337" s="8">
        <f t="shared" si="26"/>
        <v>15.428571428571431</v>
      </c>
      <c r="F337" s="8">
        <f t="shared" si="27"/>
        <v>238.04081632653069</v>
      </c>
      <c r="G337" s="5">
        <f t="shared" si="28"/>
        <v>0.48214285714285721</v>
      </c>
    </row>
    <row r="338" spans="1:7" ht="15.75" customHeight="1">
      <c r="A338" s="3">
        <v>21887</v>
      </c>
      <c r="B338" s="4">
        <v>46</v>
      </c>
      <c r="C338" s="8">
        <f t="shared" si="29"/>
        <v>45.571428571428569</v>
      </c>
      <c r="D338" s="8">
        <f t="shared" si="25"/>
        <v>0.4285714285714306</v>
      </c>
      <c r="E338" s="8">
        <f t="shared" si="26"/>
        <v>0.4285714285714306</v>
      </c>
      <c r="F338" s="8">
        <f t="shared" si="27"/>
        <v>0.18367346938775683</v>
      </c>
      <c r="G338" s="5">
        <f t="shared" si="28"/>
        <v>9.3167701863354473E-3</v>
      </c>
    </row>
    <row r="339" spans="1:7" ht="15.75" customHeight="1">
      <c r="A339" s="3">
        <v>21888</v>
      </c>
      <c r="B339" s="4">
        <v>41</v>
      </c>
      <c r="C339" s="8">
        <f t="shared" si="29"/>
        <v>45.142857142857146</v>
      </c>
      <c r="D339" s="8">
        <f t="shared" si="25"/>
        <v>-4.1428571428571459</v>
      </c>
      <c r="E339" s="8">
        <f t="shared" si="26"/>
        <v>4.1428571428571459</v>
      </c>
      <c r="F339" s="8">
        <f t="shared" si="27"/>
        <v>17.163265306122476</v>
      </c>
      <c r="G339" s="5">
        <f t="shared" si="28"/>
        <v>0.10104529616724746</v>
      </c>
    </row>
    <row r="340" spans="1:7" ht="15.75" customHeight="1">
      <c r="A340" s="3">
        <v>21889</v>
      </c>
      <c r="B340" s="4">
        <v>34</v>
      </c>
      <c r="C340" s="8">
        <f t="shared" si="29"/>
        <v>43.714285714285715</v>
      </c>
      <c r="D340" s="8">
        <f t="shared" si="25"/>
        <v>-9.7142857142857153</v>
      </c>
      <c r="E340" s="8">
        <f t="shared" si="26"/>
        <v>9.7142857142857153</v>
      </c>
      <c r="F340" s="8">
        <f t="shared" si="27"/>
        <v>94.367346938775526</v>
      </c>
      <c r="G340" s="5">
        <f t="shared" si="28"/>
        <v>0.28571428571428575</v>
      </c>
    </row>
    <row r="341" spans="1:7" ht="15.75" customHeight="1">
      <c r="A341" s="3">
        <v>21890</v>
      </c>
      <c r="B341" s="4">
        <v>33</v>
      </c>
      <c r="C341" s="8">
        <f t="shared" si="29"/>
        <v>42</v>
      </c>
      <c r="D341" s="8">
        <f t="shared" si="25"/>
        <v>-9</v>
      </c>
      <c r="E341" s="8">
        <f t="shared" si="26"/>
        <v>9</v>
      </c>
      <c r="F341" s="8">
        <f t="shared" si="27"/>
        <v>81</v>
      </c>
      <c r="G341" s="5">
        <f t="shared" si="28"/>
        <v>0.27272727272727271</v>
      </c>
    </row>
    <row r="342" spans="1:7" ht="15.75" customHeight="1">
      <c r="A342" s="3">
        <v>21891</v>
      </c>
      <c r="B342" s="4">
        <v>36</v>
      </c>
      <c r="C342" s="8">
        <f t="shared" si="29"/>
        <v>40.428571428571431</v>
      </c>
      <c r="D342" s="8">
        <f t="shared" si="25"/>
        <v>-4.4285714285714306</v>
      </c>
      <c r="E342" s="8">
        <f t="shared" si="26"/>
        <v>4.4285714285714306</v>
      </c>
      <c r="F342" s="8">
        <f t="shared" si="27"/>
        <v>19.612244897959201</v>
      </c>
      <c r="G342" s="5">
        <f t="shared" si="28"/>
        <v>0.12301587301587308</v>
      </c>
    </row>
    <row r="343" spans="1:7" ht="15.75" customHeight="1">
      <c r="A343" s="3">
        <v>21892</v>
      </c>
      <c r="B343" s="4">
        <v>49</v>
      </c>
      <c r="C343" s="8">
        <f t="shared" si="29"/>
        <v>38.142857142857146</v>
      </c>
      <c r="D343" s="8">
        <f t="shared" si="25"/>
        <v>10.857142857142854</v>
      </c>
      <c r="E343" s="8">
        <f t="shared" si="26"/>
        <v>10.857142857142854</v>
      </c>
      <c r="F343" s="8">
        <f t="shared" si="27"/>
        <v>117.87755102040809</v>
      </c>
      <c r="G343" s="5">
        <f t="shared" si="28"/>
        <v>0.22157434402332354</v>
      </c>
    </row>
    <row r="344" spans="1:7" ht="15.75" customHeight="1">
      <c r="A344" s="3">
        <v>21893</v>
      </c>
      <c r="B344" s="4">
        <v>43</v>
      </c>
      <c r="C344" s="8">
        <f t="shared" si="29"/>
        <v>38.714285714285715</v>
      </c>
      <c r="D344" s="8">
        <f t="shared" si="25"/>
        <v>4.2857142857142847</v>
      </c>
      <c r="E344" s="8">
        <f t="shared" si="26"/>
        <v>4.2857142857142847</v>
      </c>
      <c r="F344" s="8">
        <f t="shared" si="27"/>
        <v>18.367346938775501</v>
      </c>
      <c r="G344" s="5">
        <f t="shared" si="28"/>
        <v>9.966777408637871E-2</v>
      </c>
    </row>
    <row r="345" spans="1:7" ht="15.75" customHeight="1">
      <c r="A345" s="3">
        <v>21894</v>
      </c>
      <c r="B345" s="4">
        <v>43</v>
      </c>
      <c r="C345" s="8">
        <f t="shared" si="29"/>
        <v>40.285714285714285</v>
      </c>
      <c r="D345" s="8">
        <f t="shared" si="25"/>
        <v>2.7142857142857153</v>
      </c>
      <c r="E345" s="8">
        <f t="shared" si="26"/>
        <v>2.7142857142857153</v>
      </c>
      <c r="F345" s="8">
        <f t="shared" si="27"/>
        <v>7.3673469387755155</v>
      </c>
      <c r="G345" s="5">
        <f t="shared" si="28"/>
        <v>6.3122923588039892E-2</v>
      </c>
    </row>
    <row r="346" spans="1:7" ht="15.75" customHeight="1">
      <c r="A346" s="3">
        <v>21895</v>
      </c>
      <c r="B346" s="4">
        <v>34</v>
      </c>
      <c r="C346" s="8">
        <f t="shared" si="29"/>
        <v>39.857142857142854</v>
      </c>
      <c r="D346" s="8">
        <f t="shared" si="25"/>
        <v>-5.8571428571428541</v>
      </c>
      <c r="E346" s="8">
        <f t="shared" si="26"/>
        <v>5.8571428571428541</v>
      </c>
      <c r="F346" s="8">
        <f t="shared" si="27"/>
        <v>34.306122448979558</v>
      </c>
      <c r="G346" s="5">
        <f t="shared" si="28"/>
        <v>0.17226890756302513</v>
      </c>
    </row>
    <row r="347" spans="1:7" ht="15.75" customHeight="1">
      <c r="A347" s="3">
        <v>21896</v>
      </c>
      <c r="B347" s="4">
        <v>39</v>
      </c>
      <c r="C347" s="8">
        <f t="shared" si="29"/>
        <v>38.857142857142854</v>
      </c>
      <c r="D347" s="8">
        <f t="shared" si="25"/>
        <v>0.1428571428571459</v>
      </c>
      <c r="E347" s="8">
        <f t="shared" si="26"/>
        <v>0.1428571428571459</v>
      </c>
      <c r="F347" s="8">
        <f t="shared" si="27"/>
        <v>2.0408163265306992E-2</v>
      </c>
      <c r="G347" s="5">
        <f t="shared" si="28"/>
        <v>3.6630036630037411E-3</v>
      </c>
    </row>
    <row r="348" spans="1:7" ht="15.75" customHeight="1">
      <c r="A348" s="3">
        <v>21897</v>
      </c>
      <c r="B348" s="4">
        <v>35</v>
      </c>
      <c r="C348" s="8">
        <f t="shared" si="29"/>
        <v>39.571428571428569</v>
      </c>
      <c r="D348" s="8">
        <f t="shared" si="25"/>
        <v>-4.5714285714285694</v>
      </c>
      <c r="E348" s="8">
        <f t="shared" si="26"/>
        <v>4.5714285714285694</v>
      </c>
      <c r="F348" s="8">
        <f t="shared" si="27"/>
        <v>20.89795918367345</v>
      </c>
      <c r="G348" s="5">
        <f t="shared" si="28"/>
        <v>0.13061224489795911</v>
      </c>
    </row>
    <row r="349" spans="1:7" ht="15.75" customHeight="1">
      <c r="A349" s="3">
        <v>21898</v>
      </c>
      <c r="B349" s="4">
        <v>52</v>
      </c>
      <c r="C349" s="8">
        <f t="shared" si="29"/>
        <v>39.857142857142854</v>
      </c>
      <c r="D349" s="8">
        <f t="shared" si="25"/>
        <v>12.142857142857146</v>
      </c>
      <c r="E349" s="8">
        <f t="shared" si="26"/>
        <v>12.142857142857146</v>
      </c>
      <c r="F349" s="8">
        <f t="shared" si="27"/>
        <v>147.4489795918368</v>
      </c>
      <c r="G349" s="5">
        <f t="shared" si="28"/>
        <v>0.23351648351648358</v>
      </c>
    </row>
    <row r="350" spans="1:7" ht="15.75" customHeight="1">
      <c r="A350" s="3">
        <v>21899</v>
      </c>
      <c r="B350" s="4">
        <v>47</v>
      </c>
      <c r="C350" s="8">
        <f t="shared" si="29"/>
        <v>42.142857142857146</v>
      </c>
      <c r="D350" s="8">
        <f t="shared" si="25"/>
        <v>4.8571428571428541</v>
      </c>
      <c r="E350" s="8">
        <f t="shared" si="26"/>
        <v>4.8571428571428541</v>
      </c>
      <c r="F350" s="8">
        <f t="shared" si="27"/>
        <v>23.59183673469385</v>
      </c>
      <c r="G350" s="5">
        <f t="shared" si="28"/>
        <v>0.10334346504559264</v>
      </c>
    </row>
    <row r="351" spans="1:7" ht="15.75" customHeight="1">
      <c r="A351" s="3">
        <v>21900</v>
      </c>
      <c r="B351" s="4">
        <v>52</v>
      </c>
      <c r="C351" s="8">
        <f t="shared" si="29"/>
        <v>41.857142857142854</v>
      </c>
      <c r="D351" s="8">
        <f t="shared" si="25"/>
        <v>10.142857142857146</v>
      </c>
      <c r="E351" s="8">
        <f t="shared" si="26"/>
        <v>10.142857142857146</v>
      </c>
      <c r="F351" s="8">
        <f t="shared" si="27"/>
        <v>102.87755102040822</v>
      </c>
      <c r="G351" s="5">
        <f t="shared" si="28"/>
        <v>0.19505494505494511</v>
      </c>
    </row>
    <row r="352" spans="1:7" ht="15.75" customHeight="1">
      <c r="A352" s="3">
        <v>21901</v>
      </c>
      <c r="B352" s="4">
        <v>39</v>
      </c>
      <c r="C352" s="8">
        <f t="shared" si="29"/>
        <v>43.142857142857146</v>
      </c>
      <c r="D352" s="8">
        <f t="shared" si="25"/>
        <v>-4.1428571428571459</v>
      </c>
      <c r="E352" s="8">
        <f t="shared" si="26"/>
        <v>4.1428571428571459</v>
      </c>
      <c r="F352" s="8">
        <f t="shared" si="27"/>
        <v>17.163265306122476</v>
      </c>
      <c r="G352" s="5">
        <f t="shared" si="28"/>
        <v>0.10622710622710631</v>
      </c>
    </row>
    <row r="353" spans="1:7" ht="15.75" customHeight="1">
      <c r="A353" s="3">
        <v>21902</v>
      </c>
      <c r="B353" s="4">
        <v>40</v>
      </c>
      <c r="C353" s="8">
        <f t="shared" si="29"/>
        <v>42.571428571428569</v>
      </c>
      <c r="D353" s="8">
        <f t="shared" si="25"/>
        <v>-2.5714285714285694</v>
      </c>
      <c r="E353" s="8">
        <f t="shared" si="26"/>
        <v>2.5714285714285694</v>
      </c>
      <c r="F353" s="8">
        <f t="shared" si="27"/>
        <v>6.6122448979591733</v>
      </c>
      <c r="G353" s="5">
        <f t="shared" si="28"/>
        <v>6.4285714285714238E-2</v>
      </c>
    </row>
    <row r="354" spans="1:7" ht="15.75" customHeight="1">
      <c r="A354" s="3">
        <v>21903</v>
      </c>
      <c r="B354" s="4">
        <v>42</v>
      </c>
      <c r="C354" s="8">
        <f t="shared" si="29"/>
        <v>43.428571428571431</v>
      </c>
      <c r="D354" s="8">
        <f t="shared" si="25"/>
        <v>-1.4285714285714306</v>
      </c>
      <c r="E354" s="8">
        <f t="shared" si="26"/>
        <v>1.4285714285714306</v>
      </c>
      <c r="F354" s="8">
        <f t="shared" si="27"/>
        <v>2.0408163265306181</v>
      </c>
      <c r="G354" s="5">
        <f t="shared" si="28"/>
        <v>3.4013605442176922E-2</v>
      </c>
    </row>
    <row r="355" spans="1:7" ht="15.75" customHeight="1">
      <c r="A355" s="3">
        <v>21904</v>
      </c>
      <c r="B355" s="4">
        <v>42</v>
      </c>
      <c r="C355" s="8">
        <f t="shared" si="29"/>
        <v>43.857142857142854</v>
      </c>
      <c r="D355" s="8">
        <f t="shared" si="25"/>
        <v>-1.8571428571428541</v>
      </c>
      <c r="E355" s="8">
        <f t="shared" si="26"/>
        <v>1.8571428571428541</v>
      </c>
      <c r="F355" s="8">
        <f t="shared" si="27"/>
        <v>3.4489795918367232</v>
      </c>
      <c r="G355" s="5">
        <f t="shared" si="28"/>
        <v>4.4217687074829856E-2</v>
      </c>
    </row>
    <row r="356" spans="1:7" ht="15.75" customHeight="1">
      <c r="A356" s="3">
        <v>21905</v>
      </c>
      <c r="B356" s="4">
        <v>53</v>
      </c>
      <c r="C356" s="8">
        <f t="shared" si="29"/>
        <v>44.857142857142854</v>
      </c>
      <c r="D356" s="8">
        <f t="shared" si="25"/>
        <v>8.1428571428571459</v>
      </c>
      <c r="E356" s="8">
        <f t="shared" si="26"/>
        <v>8.1428571428571459</v>
      </c>
      <c r="F356" s="8">
        <f t="shared" si="27"/>
        <v>66.306122448979636</v>
      </c>
      <c r="G356" s="5">
        <f t="shared" si="28"/>
        <v>0.15363881401617258</v>
      </c>
    </row>
    <row r="357" spans="1:7" ht="15.75" customHeight="1">
      <c r="A357" s="3">
        <v>21906</v>
      </c>
      <c r="B357" s="4">
        <v>39</v>
      </c>
      <c r="C357" s="8">
        <f t="shared" si="29"/>
        <v>45</v>
      </c>
      <c r="D357" s="8">
        <f t="shared" si="25"/>
        <v>-6</v>
      </c>
      <c r="E357" s="8">
        <f t="shared" si="26"/>
        <v>6</v>
      </c>
      <c r="F357" s="8">
        <f t="shared" si="27"/>
        <v>36</v>
      </c>
      <c r="G357" s="5">
        <f t="shared" si="28"/>
        <v>0.15384615384615385</v>
      </c>
    </row>
    <row r="358" spans="1:7" ht="15.75" customHeight="1">
      <c r="A358" s="3">
        <v>21907</v>
      </c>
      <c r="B358" s="4">
        <v>40</v>
      </c>
      <c r="C358" s="8">
        <f t="shared" si="29"/>
        <v>43.857142857142854</v>
      </c>
      <c r="D358" s="8">
        <f t="shared" si="25"/>
        <v>-3.8571428571428541</v>
      </c>
      <c r="E358" s="8">
        <f t="shared" si="26"/>
        <v>3.8571428571428541</v>
      </c>
      <c r="F358" s="8">
        <f t="shared" si="27"/>
        <v>14.87755102040814</v>
      </c>
      <c r="G358" s="5">
        <f t="shared" si="28"/>
        <v>9.642857142857135E-2</v>
      </c>
    </row>
    <row r="359" spans="1:7" ht="15.75" customHeight="1">
      <c r="A359" s="3">
        <v>21908</v>
      </c>
      <c r="B359" s="4">
        <v>38</v>
      </c>
      <c r="C359" s="8">
        <f t="shared" si="29"/>
        <v>42.142857142857146</v>
      </c>
      <c r="D359" s="8">
        <f t="shared" si="25"/>
        <v>-4.1428571428571459</v>
      </c>
      <c r="E359" s="8">
        <f t="shared" si="26"/>
        <v>4.1428571428571459</v>
      </c>
      <c r="F359" s="8">
        <f t="shared" si="27"/>
        <v>17.163265306122476</v>
      </c>
      <c r="G359" s="5">
        <f t="shared" si="28"/>
        <v>0.10902255639097752</v>
      </c>
    </row>
    <row r="360" spans="1:7" ht="15.75" customHeight="1">
      <c r="A360" s="3">
        <v>21909</v>
      </c>
      <c r="B360" s="4">
        <v>44</v>
      </c>
      <c r="C360" s="8">
        <f t="shared" si="29"/>
        <v>42</v>
      </c>
      <c r="D360" s="8">
        <f t="shared" si="25"/>
        <v>2</v>
      </c>
      <c r="E360" s="8">
        <f t="shared" si="26"/>
        <v>2</v>
      </c>
      <c r="F360" s="8">
        <f t="shared" si="27"/>
        <v>4</v>
      </c>
      <c r="G360" s="5">
        <f t="shared" si="28"/>
        <v>4.5454545454545456E-2</v>
      </c>
    </row>
    <row r="361" spans="1:7" ht="15.75" customHeight="1">
      <c r="A361" s="3">
        <v>21910</v>
      </c>
      <c r="B361" s="4">
        <v>34</v>
      </c>
      <c r="C361" s="8">
        <f t="shared" si="29"/>
        <v>42.571428571428569</v>
      </c>
      <c r="D361" s="8">
        <f t="shared" si="25"/>
        <v>-8.5714285714285694</v>
      </c>
      <c r="E361" s="8">
        <f t="shared" si="26"/>
        <v>8.5714285714285694</v>
      </c>
      <c r="F361" s="8">
        <f t="shared" si="27"/>
        <v>73.469387755102005</v>
      </c>
      <c r="G361" s="5">
        <f t="shared" si="28"/>
        <v>0.25210084033613439</v>
      </c>
    </row>
    <row r="362" spans="1:7" ht="15.75" customHeight="1">
      <c r="A362" s="3">
        <v>21911</v>
      </c>
      <c r="B362" s="4">
        <v>37</v>
      </c>
      <c r="C362" s="8">
        <f t="shared" si="29"/>
        <v>41.428571428571431</v>
      </c>
      <c r="D362" s="8">
        <f t="shared" si="25"/>
        <v>-4.4285714285714306</v>
      </c>
      <c r="E362" s="8">
        <f t="shared" si="26"/>
        <v>4.4285714285714306</v>
      </c>
      <c r="F362" s="8">
        <f t="shared" si="27"/>
        <v>19.612244897959201</v>
      </c>
      <c r="G362" s="5">
        <f t="shared" si="28"/>
        <v>0.11969111969111974</v>
      </c>
    </row>
    <row r="363" spans="1:7" ht="15.75" customHeight="1">
      <c r="A363" s="3">
        <v>21912</v>
      </c>
      <c r="B363" s="4">
        <v>52</v>
      </c>
      <c r="C363" s="8">
        <f t="shared" si="29"/>
        <v>40.714285714285715</v>
      </c>
      <c r="D363" s="8">
        <f t="shared" si="25"/>
        <v>11.285714285714285</v>
      </c>
      <c r="E363" s="8">
        <f t="shared" si="26"/>
        <v>11.285714285714285</v>
      </c>
      <c r="F363" s="8">
        <f t="shared" si="27"/>
        <v>127.36734693877548</v>
      </c>
      <c r="G363" s="5">
        <f t="shared" si="28"/>
        <v>0.21703296703296701</v>
      </c>
    </row>
    <row r="364" spans="1:7" ht="15.75" customHeight="1">
      <c r="A364" s="3">
        <v>21913</v>
      </c>
      <c r="B364" s="4">
        <v>48</v>
      </c>
      <c r="C364" s="8">
        <f t="shared" si="29"/>
        <v>40.571428571428569</v>
      </c>
      <c r="D364" s="8">
        <f t="shared" si="25"/>
        <v>7.4285714285714306</v>
      </c>
      <c r="E364" s="8">
        <f t="shared" si="26"/>
        <v>7.4285714285714306</v>
      </c>
      <c r="F364" s="8">
        <f t="shared" si="27"/>
        <v>55.183673469387784</v>
      </c>
      <c r="G364" s="5">
        <f t="shared" si="28"/>
        <v>0.15476190476190479</v>
      </c>
    </row>
    <row r="365" spans="1:7" ht="15.75" customHeight="1">
      <c r="A365" s="3">
        <v>21914</v>
      </c>
      <c r="B365" s="4">
        <v>55</v>
      </c>
      <c r="C365" s="8">
        <f t="shared" si="29"/>
        <v>41.857142857142854</v>
      </c>
      <c r="D365" s="8">
        <f t="shared" si="25"/>
        <v>13.142857142857146</v>
      </c>
      <c r="E365" s="8">
        <f t="shared" si="26"/>
        <v>13.142857142857146</v>
      </c>
      <c r="F365" s="8">
        <f t="shared" si="27"/>
        <v>172.73469387755111</v>
      </c>
      <c r="G365" s="5">
        <f t="shared" si="28"/>
        <v>0.23896103896103901</v>
      </c>
    </row>
    <row r="366" spans="1:7" ht="15.75" customHeight="1">
      <c r="A366" s="3">
        <v>21915</v>
      </c>
      <c r="B366" s="4">
        <v>50</v>
      </c>
      <c r="C366" s="8">
        <f t="shared" si="29"/>
        <v>44</v>
      </c>
      <c r="D366" s="8">
        <f t="shared" si="25"/>
        <v>6</v>
      </c>
      <c r="E366" s="8">
        <f t="shared" si="26"/>
        <v>6</v>
      </c>
      <c r="F366" s="8">
        <f t="shared" si="27"/>
        <v>36</v>
      </c>
      <c r="G366" s="5">
        <f t="shared" si="28"/>
        <v>0.12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K12" sqref="K12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8.699218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13.69921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0.7*B3+0.3*C3</f>
        <v>32.9</v>
      </c>
      <c r="D4" s="8">
        <f t="shared" ref="D4:D67" si="1">B4-C4</f>
        <v>-2.8999999999999986</v>
      </c>
      <c r="E4" s="8">
        <f t="shared" ref="E4:E67" si="2">ABS(D4)</f>
        <v>2.8999999999999986</v>
      </c>
      <c r="F4" s="8">
        <f t="shared" ref="F4:F67" si="3">E4^2</f>
        <v>8.4099999999999913</v>
      </c>
      <c r="G4" s="5">
        <f t="shared" ref="G4:G67" si="4">E4/B4</f>
        <v>9.6666666666666623E-2</v>
      </c>
    </row>
    <row r="5" spans="1:11" ht="15.75" customHeight="1">
      <c r="A5" s="3">
        <v>21554</v>
      </c>
      <c r="B5" s="4">
        <v>31</v>
      </c>
      <c r="C5">
        <f t="shared" si="0"/>
        <v>30.869999999999997</v>
      </c>
      <c r="D5" s="8">
        <f t="shared" si="1"/>
        <v>0.13000000000000256</v>
      </c>
      <c r="E5" s="8">
        <f t="shared" si="2"/>
        <v>0.13000000000000256</v>
      </c>
      <c r="F5" s="8">
        <f t="shared" si="3"/>
        <v>1.6900000000000664E-2</v>
      </c>
      <c r="G5" s="5">
        <f t="shared" si="4"/>
        <v>4.1935483870968564E-3</v>
      </c>
    </row>
    <row r="6" spans="1:11" ht="15.75" customHeight="1">
      <c r="A6" s="3">
        <v>21555</v>
      </c>
      <c r="B6" s="4">
        <v>44</v>
      </c>
      <c r="C6">
        <f t="shared" si="0"/>
        <v>30.960999999999999</v>
      </c>
      <c r="D6" s="8">
        <f t="shared" si="1"/>
        <v>13.039000000000001</v>
      </c>
      <c r="E6" s="8">
        <f t="shared" si="2"/>
        <v>13.039000000000001</v>
      </c>
      <c r="F6" s="8">
        <f t="shared" si="3"/>
        <v>170.01552100000004</v>
      </c>
      <c r="G6" s="5">
        <f t="shared" si="4"/>
        <v>0.2963409090909091</v>
      </c>
    </row>
    <row r="7" spans="1:11" ht="15.75" customHeight="1">
      <c r="A7" s="3">
        <v>21556</v>
      </c>
      <c r="B7" s="4">
        <v>29</v>
      </c>
      <c r="C7">
        <f t="shared" si="0"/>
        <v>40.088299999999997</v>
      </c>
      <c r="D7" s="8">
        <f t="shared" si="1"/>
        <v>-11.088299999999997</v>
      </c>
      <c r="E7" s="8">
        <f t="shared" si="2"/>
        <v>11.088299999999997</v>
      </c>
      <c r="F7" s="8">
        <f t="shared" si="3"/>
        <v>122.95039688999992</v>
      </c>
      <c r="G7" s="5">
        <f t="shared" si="4"/>
        <v>0.38235517241379297</v>
      </c>
    </row>
    <row r="8" spans="1:11" ht="15.75" customHeight="1">
      <c r="A8" s="3">
        <v>21557</v>
      </c>
      <c r="B8" s="4">
        <v>45</v>
      </c>
      <c r="C8">
        <f t="shared" si="0"/>
        <v>32.326489999999993</v>
      </c>
      <c r="D8" s="8">
        <f t="shared" si="1"/>
        <v>12.673510000000007</v>
      </c>
      <c r="E8" s="8">
        <f t="shared" si="2"/>
        <v>12.673510000000007</v>
      </c>
      <c r="F8" s="8">
        <f t="shared" si="3"/>
        <v>160.61785572010018</v>
      </c>
      <c r="G8" s="5">
        <f t="shared" si="4"/>
        <v>0.28163355555555569</v>
      </c>
      <c r="J8" s="2" t="s">
        <v>7</v>
      </c>
      <c r="K8" s="8">
        <f>AVERAGE(E3:E366)</f>
        <v>6.4889480262429782</v>
      </c>
    </row>
    <row r="9" spans="1:11" ht="15.75" customHeight="1">
      <c r="A9" s="3">
        <v>21558</v>
      </c>
      <c r="B9" s="4">
        <v>43</v>
      </c>
      <c r="C9">
        <f t="shared" si="0"/>
        <v>41.197946999999992</v>
      </c>
      <c r="D9" s="8">
        <f t="shared" si="1"/>
        <v>1.8020530000000079</v>
      </c>
      <c r="E9" s="8">
        <f t="shared" si="2"/>
        <v>1.8020530000000079</v>
      </c>
      <c r="F9" s="8">
        <f t="shared" si="3"/>
        <v>3.2473950148090283</v>
      </c>
      <c r="G9" s="5">
        <f t="shared" si="4"/>
        <v>4.1908209302325763E-2</v>
      </c>
      <c r="J9" s="2" t="s">
        <v>8</v>
      </c>
      <c r="K9" s="8">
        <f>AVERAGE(F3:F366)</f>
        <v>66.569454284561743</v>
      </c>
    </row>
    <row r="10" spans="1:11" ht="15.75" customHeight="1">
      <c r="A10" s="3">
        <v>21559</v>
      </c>
      <c r="B10" s="4">
        <v>38</v>
      </c>
      <c r="C10">
        <f t="shared" si="0"/>
        <v>42.459384099999994</v>
      </c>
      <c r="D10" s="8">
        <f t="shared" si="1"/>
        <v>-4.4593840999999941</v>
      </c>
      <c r="E10" s="8">
        <f t="shared" si="2"/>
        <v>4.4593840999999941</v>
      </c>
      <c r="F10" s="8">
        <f t="shared" si="3"/>
        <v>19.886106551332759</v>
      </c>
      <c r="G10" s="5">
        <f t="shared" si="4"/>
        <v>0.11735221315789458</v>
      </c>
      <c r="J10" s="9" t="s">
        <v>9</v>
      </c>
      <c r="K10" s="10">
        <f>AVERAGE(G3:G366)</f>
        <v>0.15720860261612712</v>
      </c>
    </row>
    <row r="11" spans="1:11" ht="15.75" customHeight="1">
      <c r="A11" s="3">
        <v>21560</v>
      </c>
      <c r="B11" s="4">
        <v>27</v>
      </c>
      <c r="C11">
        <f t="shared" si="0"/>
        <v>39.337815229999997</v>
      </c>
      <c r="D11" s="8">
        <f t="shared" si="1"/>
        <v>-12.337815229999997</v>
      </c>
      <c r="E11" s="8">
        <f t="shared" si="2"/>
        <v>12.337815229999997</v>
      </c>
      <c r="F11" s="8">
        <f t="shared" si="3"/>
        <v>152.22168464961987</v>
      </c>
      <c r="G11" s="5">
        <f t="shared" si="4"/>
        <v>0.45695611962962951</v>
      </c>
      <c r="J11" s="2" t="s">
        <v>10</v>
      </c>
      <c r="K11" s="5">
        <f>100%-K10</f>
        <v>0.84279139738387288</v>
      </c>
    </row>
    <row r="12" spans="1:11" ht="15.75" customHeight="1">
      <c r="A12" s="3">
        <v>21561</v>
      </c>
      <c r="B12" s="4">
        <v>38</v>
      </c>
      <c r="C12">
        <f t="shared" si="0"/>
        <v>30.701344569</v>
      </c>
      <c r="D12" s="8">
        <f t="shared" si="1"/>
        <v>7.2986554310000002</v>
      </c>
      <c r="E12" s="8">
        <f t="shared" si="2"/>
        <v>7.2986554310000002</v>
      </c>
      <c r="F12" s="8">
        <f t="shared" si="3"/>
        <v>53.270371100465802</v>
      </c>
      <c r="G12" s="5">
        <f t="shared" si="4"/>
        <v>0.1920698797631579</v>
      </c>
    </row>
    <row r="13" spans="1:11" ht="15.75" customHeight="1">
      <c r="A13" s="3">
        <v>21562</v>
      </c>
      <c r="B13" s="4">
        <v>33</v>
      </c>
      <c r="C13">
        <f t="shared" si="0"/>
        <v>35.810403370700001</v>
      </c>
      <c r="D13" s="8">
        <f t="shared" si="1"/>
        <v>-2.8104033707000013</v>
      </c>
      <c r="E13" s="8">
        <f t="shared" si="2"/>
        <v>2.8104033707000013</v>
      </c>
      <c r="F13" s="8">
        <f t="shared" si="3"/>
        <v>7.8983671060419294</v>
      </c>
      <c r="G13" s="5">
        <f t="shared" si="4"/>
        <v>8.5163738506060641E-2</v>
      </c>
    </row>
    <row r="14" spans="1:11" ht="15.75" customHeight="1">
      <c r="A14" s="3">
        <v>21563</v>
      </c>
      <c r="B14" s="4">
        <v>55</v>
      </c>
      <c r="C14">
        <f t="shared" si="0"/>
        <v>33.843121011210002</v>
      </c>
      <c r="D14" s="8">
        <f t="shared" si="1"/>
        <v>21.156878988789998</v>
      </c>
      <c r="E14" s="8">
        <f t="shared" si="2"/>
        <v>21.156878988789998</v>
      </c>
      <c r="F14" s="8">
        <f t="shared" si="3"/>
        <v>447.61352854630371</v>
      </c>
      <c r="G14" s="5">
        <f t="shared" si="4"/>
        <v>0.38467052706890908</v>
      </c>
    </row>
    <row r="15" spans="1:11" ht="15.75" customHeight="1">
      <c r="A15" s="3">
        <v>21564</v>
      </c>
      <c r="B15" s="4">
        <v>47</v>
      </c>
      <c r="C15">
        <f t="shared" si="0"/>
        <v>48.652936303362999</v>
      </c>
      <c r="D15" s="8">
        <f t="shared" si="1"/>
        <v>-1.6529363033629991</v>
      </c>
      <c r="E15" s="8">
        <f t="shared" si="2"/>
        <v>1.6529363033629991</v>
      </c>
      <c r="F15" s="8">
        <f t="shared" si="3"/>
        <v>2.7321984229753369</v>
      </c>
      <c r="G15" s="5">
        <f t="shared" si="4"/>
        <v>3.5168857518361685E-2</v>
      </c>
    </row>
    <row r="16" spans="1:11" ht="15.75" customHeight="1">
      <c r="A16" s="3">
        <v>21565</v>
      </c>
      <c r="B16" s="4">
        <v>45</v>
      </c>
      <c r="C16">
        <f t="shared" si="0"/>
        <v>47.495880891008895</v>
      </c>
      <c r="D16" s="8">
        <f t="shared" si="1"/>
        <v>-2.4958808910088948</v>
      </c>
      <c r="E16" s="8">
        <f t="shared" si="2"/>
        <v>2.4958808910088948</v>
      </c>
      <c r="F16" s="8">
        <f t="shared" si="3"/>
        <v>6.2294214221033544</v>
      </c>
      <c r="G16" s="5">
        <f t="shared" si="4"/>
        <v>5.5464019800197661E-2</v>
      </c>
    </row>
    <row r="17" spans="1:7" ht="15.75" customHeight="1">
      <c r="A17" s="3">
        <v>21566</v>
      </c>
      <c r="B17" s="4">
        <v>37</v>
      </c>
      <c r="C17">
        <f t="shared" si="0"/>
        <v>45.748764267302661</v>
      </c>
      <c r="D17" s="8">
        <f t="shared" si="1"/>
        <v>-8.7487642673026613</v>
      </c>
      <c r="E17" s="8">
        <f t="shared" si="2"/>
        <v>8.7487642673026613</v>
      </c>
      <c r="F17" s="8">
        <f t="shared" si="3"/>
        <v>76.540876204831875</v>
      </c>
      <c r="G17" s="5">
        <f t="shared" si="4"/>
        <v>0.23645308830547734</v>
      </c>
    </row>
    <row r="18" spans="1:7" ht="15.75" customHeight="1">
      <c r="A18" s="3">
        <v>21567</v>
      </c>
      <c r="B18" s="4">
        <v>50</v>
      </c>
      <c r="C18">
        <f t="shared" si="0"/>
        <v>39.624629280190796</v>
      </c>
      <c r="D18" s="8">
        <f t="shared" si="1"/>
        <v>10.375370719809204</v>
      </c>
      <c r="E18" s="8">
        <f t="shared" si="2"/>
        <v>10.375370719809204</v>
      </c>
      <c r="F18" s="8">
        <f t="shared" si="3"/>
        <v>107.64831757347417</v>
      </c>
      <c r="G18" s="5">
        <f t="shared" si="4"/>
        <v>0.20750741439618409</v>
      </c>
    </row>
    <row r="19" spans="1:7" ht="15.75" customHeight="1">
      <c r="A19" s="3">
        <v>21568</v>
      </c>
      <c r="B19" s="4">
        <v>43</v>
      </c>
      <c r="C19">
        <f t="shared" si="0"/>
        <v>46.887388784057237</v>
      </c>
      <c r="D19" s="8">
        <f t="shared" si="1"/>
        <v>-3.8873887840572365</v>
      </c>
      <c r="E19" s="8">
        <f t="shared" si="2"/>
        <v>3.8873887840572365</v>
      </c>
      <c r="F19" s="8">
        <f t="shared" si="3"/>
        <v>15.111791558414</v>
      </c>
      <c r="G19" s="5">
        <f t="shared" si="4"/>
        <v>9.0404390326912484E-2</v>
      </c>
    </row>
    <row r="20" spans="1:7" ht="15.75" customHeight="1">
      <c r="A20" s="3">
        <v>21569</v>
      </c>
      <c r="B20" s="4">
        <v>41</v>
      </c>
      <c r="C20">
        <f t="shared" si="0"/>
        <v>44.166216635217168</v>
      </c>
      <c r="D20" s="8">
        <f t="shared" si="1"/>
        <v>-3.1662166352171681</v>
      </c>
      <c r="E20" s="8">
        <f t="shared" si="2"/>
        <v>3.1662166352171681</v>
      </c>
      <c r="F20" s="8">
        <f t="shared" si="3"/>
        <v>10.024927781125927</v>
      </c>
      <c r="G20" s="5">
        <f t="shared" si="4"/>
        <v>7.7224795980906535E-2</v>
      </c>
    </row>
    <row r="21" spans="1:7" ht="15.75" customHeight="1">
      <c r="A21" s="3">
        <v>21570</v>
      </c>
      <c r="B21" s="4">
        <v>52</v>
      </c>
      <c r="C21">
        <f t="shared" si="0"/>
        <v>41.949864990565146</v>
      </c>
      <c r="D21" s="8">
        <f t="shared" si="1"/>
        <v>10.050135009434854</v>
      </c>
      <c r="E21" s="8">
        <f t="shared" si="2"/>
        <v>10.050135009434854</v>
      </c>
      <c r="F21" s="8">
        <f t="shared" si="3"/>
        <v>101.00521370786811</v>
      </c>
      <c r="G21" s="5">
        <f t="shared" si="4"/>
        <v>0.19327182710451643</v>
      </c>
    </row>
    <row r="22" spans="1:7" ht="15.75" customHeight="1">
      <c r="A22" s="3">
        <v>21571</v>
      </c>
      <c r="B22" s="4">
        <v>34</v>
      </c>
      <c r="C22">
        <f t="shared" si="0"/>
        <v>48.984959497169541</v>
      </c>
      <c r="D22" s="8">
        <f t="shared" si="1"/>
        <v>-14.984959497169541</v>
      </c>
      <c r="E22" s="8">
        <f t="shared" si="2"/>
        <v>14.984959497169541</v>
      </c>
      <c r="F22" s="8">
        <f t="shared" si="3"/>
        <v>224.54901113181162</v>
      </c>
      <c r="G22" s="5">
        <f t="shared" si="4"/>
        <v>0.44073410285792769</v>
      </c>
    </row>
    <row r="23" spans="1:7" ht="15.75" customHeight="1">
      <c r="A23" s="3">
        <v>21572</v>
      </c>
      <c r="B23" s="4">
        <v>53</v>
      </c>
      <c r="C23">
        <f t="shared" si="0"/>
        <v>38.495487849150862</v>
      </c>
      <c r="D23" s="8">
        <f t="shared" si="1"/>
        <v>14.504512150849138</v>
      </c>
      <c r="E23" s="8">
        <f t="shared" si="2"/>
        <v>14.504512150849138</v>
      </c>
      <c r="F23" s="8">
        <f t="shared" si="3"/>
        <v>210.38087273413029</v>
      </c>
      <c r="G23" s="5">
        <f t="shared" si="4"/>
        <v>0.27367004058205918</v>
      </c>
    </row>
    <row r="24" spans="1:7" ht="15.75" customHeight="1">
      <c r="A24" s="3">
        <v>21573</v>
      </c>
      <c r="B24" s="4">
        <v>39</v>
      </c>
      <c r="C24">
        <f t="shared" si="0"/>
        <v>48.648646354745253</v>
      </c>
      <c r="D24" s="8">
        <f t="shared" si="1"/>
        <v>-9.648646354745253</v>
      </c>
      <c r="E24" s="8">
        <f t="shared" si="2"/>
        <v>9.648646354745253</v>
      </c>
      <c r="F24" s="8">
        <f t="shared" si="3"/>
        <v>93.096376478938865</v>
      </c>
      <c r="G24" s="5">
        <f t="shared" si="4"/>
        <v>0.24740118858321161</v>
      </c>
    </row>
    <row r="25" spans="1:7" ht="15.75" customHeight="1">
      <c r="A25" s="3">
        <v>21574</v>
      </c>
      <c r="B25" s="4">
        <v>32</v>
      </c>
      <c r="C25">
        <f t="shared" si="0"/>
        <v>41.894593906423573</v>
      </c>
      <c r="D25" s="8">
        <f t="shared" si="1"/>
        <v>-9.8945939064235731</v>
      </c>
      <c r="E25" s="8">
        <f t="shared" si="2"/>
        <v>9.8945939064235731</v>
      </c>
      <c r="F25" s="8">
        <f t="shared" si="3"/>
        <v>97.902988573034506</v>
      </c>
      <c r="G25" s="5">
        <f t="shared" si="4"/>
        <v>0.30920605957573666</v>
      </c>
    </row>
    <row r="26" spans="1:7" ht="15.75" customHeight="1">
      <c r="A26" s="3">
        <v>21575</v>
      </c>
      <c r="B26" s="4">
        <v>37</v>
      </c>
      <c r="C26">
        <f t="shared" si="0"/>
        <v>34.968378171927071</v>
      </c>
      <c r="D26" s="8">
        <f t="shared" si="1"/>
        <v>2.0316218280729288</v>
      </c>
      <c r="E26" s="8">
        <f t="shared" si="2"/>
        <v>2.0316218280729288</v>
      </c>
      <c r="F26" s="8">
        <f t="shared" si="3"/>
        <v>4.1274872523023891</v>
      </c>
      <c r="G26" s="5">
        <f t="shared" si="4"/>
        <v>5.49086980560251E-2</v>
      </c>
    </row>
    <row r="27" spans="1:7" ht="15.75" customHeight="1">
      <c r="A27" s="3">
        <v>21576</v>
      </c>
      <c r="B27" s="4">
        <v>43</v>
      </c>
      <c r="C27">
        <f t="shared" si="0"/>
        <v>36.390513451578116</v>
      </c>
      <c r="D27" s="8">
        <f t="shared" si="1"/>
        <v>6.6094865484218843</v>
      </c>
      <c r="E27" s="8">
        <f t="shared" si="2"/>
        <v>6.6094865484218843</v>
      </c>
      <c r="F27" s="8">
        <f t="shared" si="3"/>
        <v>43.68531243376983</v>
      </c>
      <c r="G27" s="5">
        <f t="shared" si="4"/>
        <v>0.15370898949818335</v>
      </c>
    </row>
    <row r="28" spans="1:7" ht="15.75" customHeight="1">
      <c r="A28" s="3">
        <v>21577</v>
      </c>
      <c r="B28" s="4">
        <v>39</v>
      </c>
      <c r="C28">
        <f t="shared" si="0"/>
        <v>41.017154035473432</v>
      </c>
      <c r="D28" s="8">
        <f t="shared" si="1"/>
        <v>-2.0171540354734319</v>
      </c>
      <c r="E28" s="8">
        <f t="shared" si="2"/>
        <v>2.0171540354734319</v>
      </c>
      <c r="F28" s="8">
        <f t="shared" si="3"/>
        <v>4.0689104028267513</v>
      </c>
      <c r="G28" s="5">
        <f t="shared" si="4"/>
        <v>5.1721898345472611E-2</v>
      </c>
    </row>
    <row r="29" spans="1:7" ht="15.75" customHeight="1">
      <c r="A29" s="3">
        <v>21578</v>
      </c>
      <c r="B29" s="4">
        <v>35</v>
      </c>
      <c r="C29">
        <f t="shared" si="0"/>
        <v>39.605146210642026</v>
      </c>
      <c r="D29" s="8">
        <f t="shared" si="1"/>
        <v>-4.605146210642026</v>
      </c>
      <c r="E29" s="8">
        <f t="shared" si="2"/>
        <v>4.605146210642026</v>
      </c>
      <c r="F29" s="8">
        <f t="shared" si="3"/>
        <v>21.20737162139061</v>
      </c>
      <c r="G29" s="5">
        <f t="shared" si="4"/>
        <v>0.13157560601834359</v>
      </c>
    </row>
    <row r="30" spans="1:7" ht="15.75" customHeight="1">
      <c r="A30" s="3">
        <v>21579</v>
      </c>
      <c r="B30" s="4">
        <v>44</v>
      </c>
      <c r="C30">
        <f t="shared" si="0"/>
        <v>36.381543863192604</v>
      </c>
      <c r="D30" s="8">
        <f t="shared" si="1"/>
        <v>7.6184561368073958</v>
      </c>
      <c r="E30" s="8">
        <f t="shared" si="2"/>
        <v>7.6184561368073958</v>
      </c>
      <c r="F30" s="8">
        <f t="shared" si="3"/>
        <v>58.040873908458266</v>
      </c>
      <c r="G30" s="5">
        <f t="shared" si="4"/>
        <v>0.17314673038198627</v>
      </c>
    </row>
    <row r="31" spans="1:7" ht="15.75" customHeight="1">
      <c r="A31" s="3">
        <v>21580</v>
      </c>
      <c r="B31" s="4">
        <v>38</v>
      </c>
      <c r="C31">
        <f t="shared" si="0"/>
        <v>41.714463158957777</v>
      </c>
      <c r="D31" s="8">
        <f t="shared" si="1"/>
        <v>-3.714463158957777</v>
      </c>
      <c r="E31" s="8">
        <f t="shared" si="2"/>
        <v>3.714463158957777</v>
      </c>
      <c r="F31" s="8">
        <f t="shared" si="3"/>
        <v>13.797236559254587</v>
      </c>
      <c r="G31" s="5">
        <f t="shared" si="4"/>
        <v>9.7749030498888875E-2</v>
      </c>
    </row>
    <row r="32" spans="1:7" ht="15.75" customHeight="1">
      <c r="A32" s="3">
        <v>21581</v>
      </c>
      <c r="B32" s="4">
        <v>24</v>
      </c>
      <c r="C32">
        <f t="shared" si="0"/>
        <v>39.11433894768733</v>
      </c>
      <c r="D32" s="8">
        <f t="shared" si="1"/>
        <v>-15.11433894768733</v>
      </c>
      <c r="E32" s="8">
        <f t="shared" si="2"/>
        <v>15.11433894768733</v>
      </c>
      <c r="F32" s="8">
        <f t="shared" si="3"/>
        <v>228.44324182557813</v>
      </c>
      <c r="G32" s="5">
        <f t="shared" si="4"/>
        <v>0.62976412282030536</v>
      </c>
    </row>
    <row r="33" spans="1:7" ht="15.75" customHeight="1">
      <c r="A33" s="3">
        <v>21582</v>
      </c>
      <c r="B33" s="4">
        <v>23</v>
      </c>
      <c r="C33">
        <f t="shared" si="0"/>
        <v>28.534301684306193</v>
      </c>
      <c r="D33" s="8">
        <f t="shared" si="1"/>
        <v>-5.5343016843061932</v>
      </c>
      <c r="E33" s="8">
        <f t="shared" si="2"/>
        <v>5.5343016843061932</v>
      </c>
      <c r="F33" s="8">
        <f t="shared" si="3"/>
        <v>30.628495132914367</v>
      </c>
      <c r="G33" s="5">
        <f t="shared" si="4"/>
        <v>0.24062181236113883</v>
      </c>
    </row>
    <row r="34" spans="1:7" ht="15.75" customHeight="1">
      <c r="A34" s="3">
        <v>21583</v>
      </c>
      <c r="B34" s="4">
        <v>31</v>
      </c>
      <c r="C34">
        <f t="shared" si="0"/>
        <v>24.660290505291854</v>
      </c>
      <c r="D34" s="8">
        <f t="shared" si="1"/>
        <v>6.3397094947081456</v>
      </c>
      <c r="E34" s="8">
        <f t="shared" si="2"/>
        <v>6.3397094947081456</v>
      </c>
      <c r="F34" s="8">
        <f t="shared" si="3"/>
        <v>40.191916477292608</v>
      </c>
      <c r="G34" s="5">
        <f t="shared" si="4"/>
        <v>0.20450675789381115</v>
      </c>
    </row>
    <row r="35" spans="1:7" ht="15.75" customHeight="1">
      <c r="A35" s="3">
        <v>21584</v>
      </c>
      <c r="B35" s="4">
        <v>44</v>
      </c>
      <c r="C35">
        <f t="shared" si="0"/>
        <v>29.098087151587556</v>
      </c>
      <c r="D35" s="8">
        <f t="shared" si="1"/>
        <v>14.901912848412444</v>
      </c>
      <c r="E35" s="8">
        <f t="shared" si="2"/>
        <v>14.901912848412444</v>
      </c>
      <c r="F35" s="8">
        <f t="shared" si="3"/>
        <v>222.06700654167986</v>
      </c>
      <c r="G35" s="5">
        <f t="shared" si="4"/>
        <v>0.33867983746391916</v>
      </c>
    </row>
    <row r="36" spans="1:7" ht="15.75" customHeight="1">
      <c r="A36" s="3">
        <v>21585</v>
      </c>
      <c r="B36" s="4">
        <v>38</v>
      </c>
      <c r="C36">
        <f t="shared" si="0"/>
        <v>39.529426145476265</v>
      </c>
      <c r="D36" s="8">
        <f t="shared" si="1"/>
        <v>-1.5294261454762648</v>
      </c>
      <c r="E36" s="8">
        <f t="shared" si="2"/>
        <v>1.5294261454762648</v>
      </c>
      <c r="F36" s="8">
        <f t="shared" si="3"/>
        <v>2.3391443344663845</v>
      </c>
      <c r="G36" s="5">
        <f t="shared" si="4"/>
        <v>4.0248056459901704E-2</v>
      </c>
    </row>
    <row r="37" spans="1:7" ht="15.75" customHeight="1">
      <c r="A37" s="3">
        <v>21586</v>
      </c>
      <c r="B37" s="4">
        <v>50</v>
      </c>
      <c r="C37">
        <f t="shared" si="0"/>
        <v>38.458827843642879</v>
      </c>
      <c r="D37" s="8">
        <f t="shared" si="1"/>
        <v>11.541172156357121</v>
      </c>
      <c r="E37" s="8">
        <f t="shared" si="2"/>
        <v>11.541172156357121</v>
      </c>
      <c r="F37" s="8">
        <f t="shared" si="3"/>
        <v>133.19865474267286</v>
      </c>
      <c r="G37" s="5">
        <f t="shared" si="4"/>
        <v>0.23082344312714242</v>
      </c>
    </row>
    <row r="38" spans="1:7" ht="15.75" customHeight="1">
      <c r="A38" s="3">
        <v>21587</v>
      </c>
      <c r="B38" s="4">
        <v>38</v>
      </c>
      <c r="C38">
        <f t="shared" si="0"/>
        <v>46.537648353092862</v>
      </c>
      <c r="D38" s="8">
        <f t="shared" si="1"/>
        <v>-8.5376483530928624</v>
      </c>
      <c r="E38" s="8">
        <f t="shared" si="2"/>
        <v>8.5376483530928624</v>
      </c>
      <c r="F38" s="8">
        <f t="shared" si="3"/>
        <v>72.891439401069263</v>
      </c>
      <c r="G38" s="5">
        <f t="shared" si="4"/>
        <v>0.22467495666033849</v>
      </c>
    </row>
    <row r="39" spans="1:7" ht="15.75" customHeight="1">
      <c r="A39" s="3">
        <v>21588</v>
      </c>
      <c r="B39" s="4">
        <v>51</v>
      </c>
      <c r="C39">
        <f t="shared" si="0"/>
        <v>40.561294505927854</v>
      </c>
      <c r="D39" s="8">
        <f t="shared" si="1"/>
        <v>10.438705494072146</v>
      </c>
      <c r="E39" s="8">
        <f t="shared" si="2"/>
        <v>10.438705494072146</v>
      </c>
      <c r="F39" s="8">
        <f t="shared" si="3"/>
        <v>108.96657239197199</v>
      </c>
      <c r="G39" s="5">
        <f t="shared" si="4"/>
        <v>0.20468049988376755</v>
      </c>
    </row>
    <row r="40" spans="1:7" ht="15.75" customHeight="1">
      <c r="A40" s="3">
        <v>21589</v>
      </c>
      <c r="B40" s="4">
        <v>31</v>
      </c>
      <c r="C40">
        <f t="shared" si="0"/>
        <v>47.86838835177835</v>
      </c>
      <c r="D40" s="8">
        <f t="shared" si="1"/>
        <v>-16.86838835177835</v>
      </c>
      <c r="E40" s="8">
        <f t="shared" si="2"/>
        <v>16.86838835177835</v>
      </c>
      <c r="F40" s="8">
        <f t="shared" si="3"/>
        <v>284.5425255864115</v>
      </c>
      <c r="G40" s="5">
        <f t="shared" si="4"/>
        <v>0.54414155973478551</v>
      </c>
    </row>
    <row r="41" spans="1:7" ht="15.75" customHeight="1">
      <c r="A41" s="3">
        <v>21590</v>
      </c>
      <c r="B41" s="4">
        <v>31</v>
      </c>
      <c r="C41">
        <f t="shared" si="0"/>
        <v>36.060516505533506</v>
      </c>
      <c r="D41" s="8">
        <f t="shared" si="1"/>
        <v>-5.0605165055335064</v>
      </c>
      <c r="E41" s="8">
        <f t="shared" si="2"/>
        <v>5.0605165055335064</v>
      </c>
      <c r="F41" s="8">
        <f t="shared" si="3"/>
        <v>25.608827302777051</v>
      </c>
      <c r="G41" s="5">
        <f t="shared" si="4"/>
        <v>0.1632424679204357</v>
      </c>
    </row>
    <row r="42" spans="1:7" ht="15.75" customHeight="1">
      <c r="A42" s="3">
        <v>21591</v>
      </c>
      <c r="B42" s="4">
        <v>51</v>
      </c>
      <c r="C42">
        <f t="shared" si="0"/>
        <v>32.518154951660051</v>
      </c>
      <c r="D42" s="8">
        <f t="shared" si="1"/>
        <v>18.481845048339949</v>
      </c>
      <c r="E42" s="8">
        <f t="shared" si="2"/>
        <v>18.481845048339949</v>
      </c>
      <c r="F42" s="8">
        <f t="shared" si="3"/>
        <v>341.57859639084791</v>
      </c>
      <c r="G42" s="5">
        <f t="shared" si="4"/>
        <v>0.36238911859490097</v>
      </c>
    </row>
    <row r="43" spans="1:7" ht="15.75" customHeight="1">
      <c r="A43" s="3">
        <v>21592</v>
      </c>
      <c r="B43" s="4">
        <v>36</v>
      </c>
      <c r="C43">
        <f t="shared" si="0"/>
        <v>45.455446485498008</v>
      </c>
      <c r="D43" s="8">
        <f t="shared" si="1"/>
        <v>-9.4554464854980083</v>
      </c>
      <c r="E43" s="8">
        <f t="shared" si="2"/>
        <v>9.4554464854980083</v>
      </c>
      <c r="F43" s="8">
        <f t="shared" si="3"/>
        <v>89.405468240116633</v>
      </c>
      <c r="G43" s="5">
        <f t="shared" si="4"/>
        <v>0.26265129126383358</v>
      </c>
    </row>
    <row r="44" spans="1:7" ht="15.75" customHeight="1">
      <c r="A44" s="3">
        <v>21593</v>
      </c>
      <c r="B44" s="4">
        <v>45</v>
      </c>
      <c r="C44">
        <f t="shared" si="0"/>
        <v>38.836633945649403</v>
      </c>
      <c r="D44" s="8">
        <f t="shared" si="1"/>
        <v>6.1633660543505968</v>
      </c>
      <c r="E44" s="8">
        <f t="shared" si="2"/>
        <v>6.1633660543505968</v>
      </c>
      <c r="F44" s="8">
        <f t="shared" si="3"/>
        <v>37.987081119921243</v>
      </c>
      <c r="G44" s="5">
        <f t="shared" si="4"/>
        <v>0.13696369009667994</v>
      </c>
    </row>
    <row r="45" spans="1:7" ht="15.75" customHeight="1">
      <c r="A45" s="3">
        <v>21594</v>
      </c>
      <c r="B45" s="4">
        <v>51</v>
      </c>
      <c r="C45">
        <f t="shared" si="0"/>
        <v>43.150990183694816</v>
      </c>
      <c r="D45" s="8">
        <f t="shared" si="1"/>
        <v>7.849009816305184</v>
      </c>
      <c r="E45" s="8">
        <f t="shared" si="2"/>
        <v>7.849009816305184</v>
      </c>
      <c r="F45" s="8">
        <f t="shared" si="3"/>
        <v>61.606955096455138</v>
      </c>
      <c r="G45" s="5">
        <f t="shared" si="4"/>
        <v>0.15390215326088597</v>
      </c>
    </row>
    <row r="46" spans="1:7" ht="15.75" customHeight="1">
      <c r="A46" s="3">
        <v>21595</v>
      </c>
      <c r="B46" s="4">
        <v>34</v>
      </c>
      <c r="C46">
        <f t="shared" si="0"/>
        <v>48.645297055108443</v>
      </c>
      <c r="D46" s="8">
        <f t="shared" si="1"/>
        <v>-14.645297055108443</v>
      </c>
      <c r="E46" s="8">
        <f t="shared" si="2"/>
        <v>14.645297055108443</v>
      </c>
      <c r="F46" s="8">
        <f t="shared" si="3"/>
        <v>214.48472583236804</v>
      </c>
      <c r="G46" s="5">
        <f t="shared" si="4"/>
        <v>0.43074403103260128</v>
      </c>
    </row>
    <row r="47" spans="1:7" ht="15.75" customHeight="1">
      <c r="A47" s="3">
        <v>21596</v>
      </c>
      <c r="B47" s="4">
        <v>52</v>
      </c>
      <c r="C47">
        <f t="shared" si="0"/>
        <v>38.393589116532532</v>
      </c>
      <c r="D47" s="8">
        <f t="shared" si="1"/>
        <v>13.606410883467468</v>
      </c>
      <c r="E47" s="8">
        <f t="shared" si="2"/>
        <v>13.606410883467468</v>
      </c>
      <c r="F47" s="8">
        <f t="shared" si="3"/>
        <v>185.13441712974196</v>
      </c>
      <c r="G47" s="5">
        <f t="shared" si="4"/>
        <v>0.26166174775898976</v>
      </c>
    </row>
    <row r="48" spans="1:7" ht="15.75" customHeight="1">
      <c r="A48" s="3">
        <v>21597</v>
      </c>
      <c r="B48" s="4">
        <v>47</v>
      </c>
      <c r="C48">
        <f t="shared" si="0"/>
        <v>47.918076734959755</v>
      </c>
      <c r="D48" s="8">
        <f t="shared" si="1"/>
        <v>-0.9180767349597545</v>
      </c>
      <c r="E48" s="8">
        <f t="shared" si="2"/>
        <v>0.9180767349597545</v>
      </c>
      <c r="F48" s="8">
        <f t="shared" si="3"/>
        <v>0.84286489127436337</v>
      </c>
      <c r="G48" s="5">
        <f t="shared" si="4"/>
        <v>1.9533547552335204E-2</v>
      </c>
    </row>
    <row r="49" spans="1:7" ht="15.75" customHeight="1">
      <c r="A49" s="3">
        <v>21598</v>
      </c>
      <c r="B49" s="4">
        <v>45</v>
      </c>
      <c r="C49">
        <f t="shared" si="0"/>
        <v>47.275423020487921</v>
      </c>
      <c r="D49" s="8">
        <f t="shared" si="1"/>
        <v>-2.2754230204879207</v>
      </c>
      <c r="E49" s="8">
        <f t="shared" si="2"/>
        <v>2.2754230204879207</v>
      </c>
      <c r="F49" s="8">
        <f t="shared" si="3"/>
        <v>5.1775499221663726</v>
      </c>
      <c r="G49" s="5">
        <f t="shared" si="4"/>
        <v>5.0564956010842682E-2</v>
      </c>
    </row>
    <row r="50" spans="1:7" ht="15.75" customHeight="1">
      <c r="A50" s="3">
        <v>21599</v>
      </c>
      <c r="B50" s="4">
        <v>46</v>
      </c>
      <c r="C50">
        <f t="shared" si="0"/>
        <v>45.682626906146375</v>
      </c>
      <c r="D50" s="8">
        <f t="shared" si="1"/>
        <v>0.31737309385362522</v>
      </c>
      <c r="E50" s="8">
        <f t="shared" si="2"/>
        <v>0.31737309385362522</v>
      </c>
      <c r="F50" s="8">
        <f t="shared" si="3"/>
        <v>0.100725680702222</v>
      </c>
      <c r="G50" s="5">
        <f t="shared" si="4"/>
        <v>6.8994150837744612E-3</v>
      </c>
    </row>
    <row r="51" spans="1:7" ht="15.75" customHeight="1">
      <c r="A51" s="3">
        <v>21600</v>
      </c>
      <c r="B51" s="4">
        <v>39</v>
      </c>
      <c r="C51">
        <f t="shared" si="0"/>
        <v>45.90478807184391</v>
      </c>
      <c r="D51" s="8">
        <f t="shared" si="1"/>
        <v>-6.9047880718439103</v>
      </c>
      <c r="E51" s="8">
        <f t="shared" si="2"/>
        <v>6.9047880718439103</v>
      </c>
      <c r="F51" s="8">
        <f t="shared" si="3"/>
        <v>47.676098317077944</v>
      </c>
      <c r="G51" s="5">
        <f t="shared" si="4"/>
        <v>0.17704584799599771</v>
      </c>
    </row>
    <row r="52" spans="1:7" ht="15.75" customHeight="1">
      <c r="A52" s="3">
        <v>21601</v>
      </c>
      <c r="B52" s="4">
        <v>48</v>
      </c>
      <c r="C52">
        <f t="shared" si="0"/>
        <v>41.071436421553173</v>
      </c>
      <c r="D52" s="8">
        <f t="shared" si="1"/>
        <v>6.9285635784468269</v>
      </c>
      <c r="E52" s="8">
        <f t="shared" si="2"/>
        <v>6.9285635784468269</v>
      </c>
      <c r="F52" s="8">
        <f t="shared" si="3"/>
        <v>48.004993260579901</v>
      </c>
      <c r="G52" s="5">
        <f t="shared" si="4"/>
        <v>0.14434507455097556</v>
      </c>
    </row>
    <row r="53" spans="1:7" ht="15.75" customHeight="1">
      <c r="A53" s="3">
        <v>21602</v>
      </c>
      <c r="B53" s="4">
        <v>37</v>
      </c>
      <c r="C53">
        <f t="shared" si="0"/>
        <v>45.921430926465945</v>
      </c>
      <c r="D53" s="8">
        <f t="shared" si="1"/>
        <v>-8.9214309264659448</v>
      </c>
      <c r="E53" s="8">
        <f t="shared" si="2"/>
        <v>8.9214309264659448</v>
      </c>
      <c r="F53" s="8">
        <f t="shared" si="3"/>
        <v>79.591929775703008</v>
      </c>
      <c r="G53" s="5">
        <f t="shared" si="4"/>
        <v>0.24111975476934985</v>
      </c>
    </row>
    <row r="54" spans="1:7" ht="15.75" customHeight="1">
      <c r="A54" s="3">
        <v>21603</v>
      </c>
      <c r="B54" s="4">
        <v>35</v>
      </c>
      <c r="C54">
        <f t="shared" si="0"/>
        <v>39.676429277939782</v>
      </c>
      <c r="D54" s="8">
        <f t="shared" si="1"/>
        <v>-4.676429277939782</v>
      </c>
      <c r="E54" s="8">
        <f t="shared" si="2"/>
        <v>4.676429277939782</v>
      </c>
      <c r="F54" s="8">
        <f t="shared" si="3"/>
        <v>21.86899079157239</v>
      </c>
      <c r="G54" s="5">
        <f t="shared" si="4"/>
        <v>0.13361226508399376</v>
      </c>
    </row>
    <row r="55" spans="1:7" ht="15.75" customHeight="1">
      <c r="A55" s="3">
        <v>21604</v>
      </c>
      <c r="B55" s="4">
        <v>52</v>
      </c>
      <c r="C55">
        <f t="shared" si="0"/>
        <v>36.402928783381938</v>
      </c>
      <c r="D55" s="8">
        <f t="shared" si="1"/>
        <v>15.597071216618062</v>
      </c>
      <c r="E55" s="8">
        <f t="shared" si="2"/>
        <v>15.597071216618062</v>
      </c>
      <c r="F55" s="8">
        <f t="shared" si="3"/>
        <v>243.26863053625561</v>
      </c>
      <c r="G55" s="5">
        <f t="shared" si="4"/>
        <v>0.29994367724265503</v>
      </c>
    </row>
    <row r="56" spans="1:7" ht="15.75" customHeight="1">
      <c r="A56" s="3">
        <v>21605</v>
      </c>
      <c r="B56" s="4">
        <v>42</v>
      </c>
      <c r="C56">
        <f t="shared" si="0"/>
        <v>47.32087863501458</v>
      </c>
      <c r="D56" s="8">
        <f t="shared" si="1"/>
        <v>-5.32087863501458</v>
      </c>
      <c r="E56" s="8">
        <f t="shared" si="2"/>
        <v>5.32087863501458</v>
      </c>
      <c r="F56" s="8">
        <f t="shared" si="3"/>
        <v>28.311749448554622</v>
      </c>
      <c r="G56" s="5">
        <f t="shared" si="4"/>
        <v>0.12668758654796619</v>
      </c>
    </row>
    <row r="57" spans="1:7" ht="15.75" customHeight="1">
      <c r="A57" s="3">
        <v>21606</v>
      </c>
      <c r="B57" s="4">
        <v>45</v>
      </c>
      <c r="C57">
        <f t="shared" si="0"/>
        <v>43.596263590504371</v>
      </c>
      <c r="D57" s="8">
        <f t="shared" si="1"/>
        <v>1.4037364094956288</v>
      </c>
      <c r="E57" s="8">
        <f t="shared" si="2"/>
        <v>1.4037364094956288</v>
      </c>
      <c r="F57" s="8">
        <f t="shared" si="3"/>
        <v>1.9704759073436797</v>
      </c>
      <c r="G57" s="5">
        <f t="shared" si="4"/>
        <v>3.1194142433236198E-2</v>
      </c>
    </row>
    <row r="58" spans="1:7" ht="15.75" customHeight="1">
      <c r="A58" s="3">
        <v>21607</v>
      </c>
      <c r="B58" s="4">
        <v>39</v>
      </c>
      <c r="C58">
        <f t="shared" si="0"/>
        <v>44.578879077151306</v>
      </c>
      <c r="D58" s="8">
        <f t="shared" si="1"/>
        <v>-5.5788790771513064</v>
      </c>
      <c r="E58" s="8">
        <f t="shared" si="2"/>
        <v>5.5788790771513064</v>
      </c>
      <c r="F58" s="8">
        <f t="shared" si="3"/>
        <v>31.123891757476613</v>
      </c>
      <c r="G58" s="5">
        <f t="shared" si="4"/>
        <v>0.14304818146541812</v>
      </c>
    </row>
    <row r="59" spans="1:7" ht="15.75" customHeight="1">
      <c r="A59" s="3">
        <v>21608</v>
      </c>
      <c r="B59" s="4">
        <v>37</v>
      </c>
      <c r="C59">
        <f t="shared" si="0"/>
        <v>40.673663723145388</v>
      </c>
      <c r="D59" s="8">
        <f t="shared" si="1"/>
        <v>-3.6736637231453884</v>
      </c>
      <c r="E59" s="8">
        <f t="shared" si="2"/>
        <v>3.6736637231453884</v>
      </c>
      <c r="F59" s="8">
        <f t="shared" si="3"/>
        <v>13.495805150754437</v>
      </c>
      <c r="G59" s="5">
        <f t="shared" si="4"/>
        <v>9.928820873365915E-2</v>
      </c>
    </row>
    <row r="60" spans="1:7" ht="15.75" customHeight="1">
      <c r="A60" s="3">
        <v>21609</v>
      </c>
      <c r="B60" s="4">
        <v>30</v>
      </c>
      <c r="C60">
        <f t="shared" si="0"/>
        <v>38.102099116943613</v>
      </c>
      <c r="D60" s="8">
        <f t="shared" si="1"/>
        <v>-8.102099116943613</v>
      </c>
      <c r="E60" s="8">
        <f t="shared" si="2"/>
        <v>8.102099116943613</v>
      </c>
      <c r="F60" s="8">
        <f t="shared" si="3"/>
        <v>65.644010100778473</v>
      </c>
      <c r="G60" s="5">
        <f t="shared" si="4"/>
        <v>0.2700699705647871</v>
      </c>
    </row>
    <row r="61" spans="1:7" ht="15.75" customHeight="1">
      <c r="A61" s="3">
        <v>21610</v>
      </c>
      <c r="B61" s="4">
        <v>35</v>
      </c>
      <c r="C61">
        <f t="shared" si="0"/>
        <v>32.430629735083087</v>
      </c>
      <c r="D61" s="8">
        <f t="shared" si="1"/>
        <v>2.5693702649169126</v>
      </c>
      <c r="E61" s="8">
        <f t="shared" si="2"/>
        <v>2.5693702649169126</v>
      </c>
      <c r="F61" s="8">
        <f t="shared" si="3"/>
        <v>6.6016635582392054</v>
      </c>
      <c r="G61" s="5">
        <f t="shared" si="4"/>
        <v>7.3410578997626069E-2</v>
      </c>
    </row>
    <row r="62" spans="1:7" ht="15.75" customHeight="1">
      <c r="A62" s="3">
        <v>21611</v>
      </c>
      <c r="B62" s="4">
        <v>28</v>
      </c>
      <c r="C62">
        <f t="shared" si="0"/>
        <v>34.229188920524926</v>
      </c>
      <c r="D62" s="8">
        <f t="shared" si="1"/>
        <v>-6.2291889205249262</v>
      </c>
      <c r="E62" s="8">
        <f t="shared" si="2"/>
        <v>6.2291889205249262</v>
      </c>
      <c r="F62" s="8">
        <f t="shared" si="3"/>
        <v>38.802794607590499</v>
      </c>
      <c r="G62" s="5">
        <f t="shared" si="4"/>
        <v>0.22247103287589023</v>
      </c>
    </row>
    <row r="63" spans="1:7" ht="15.75" customHeight="1">
      <c r="A63" s="3">
        <v>21612</v>
      </c>
      <c r="B63" s="4">
        <v>45</v>
      </c>
      <c r="C63">
        <f t="shared" si="0"/>
        <v>29.868756676157474</v>
      </c>
      <c r="D63" s="8">
        <f t="shared" si="1"/>
        <v>15.131243323842526</v>
      </c>
      <c r="E63" s="8">
        <f t="shared" si="2"/>
        <v>15.131243323842526</v>
      </c>
      <c r="F63" s="8">
        <f t="shared" si="3"/>
        <v>228.95452452532899</v>
      </c>
      <c r="G63" s="5">
        <f t="shared" si="4"/>
        <v>0.33624985164094501</v>
      </c>
    </row>
    <row r="64" spans="1:7" ht="15.75" customHeight="1">
      <c r="A64" s="3">
        <v>21613</v>
      </c>
      <c r="B64" s="4">
        <v>34</v>
      </c>
      <c r="C64">
        <f t="shared" si="0"/>
        <v>40.460627002847239</v>
      </c>
      <c r="D64" s="8">
        <f t="shared" si="1"/>
        <v>-6.4606270028472395</v>
      </c>
      <c r="E64" s="8">
        <f t="shared" si="2"/>
        <v>6.4606270028472395</v>
      </c>
      <c r="F64" s="8">
        <f t="shared" si="3"/>
        <v>41.739701269918903</v>
      </c>
      <c r="G64" s="5">
        <f t="shared" si="4"/>
        <v>0.19001844126021292</v>
      </c>
    </row>
    <row r="65" spans="1:7" ht="15.75" customHeight="1">
      <c r="A65" s="3">
        <v>21614</v>
      </c>
      <c r="B65" s="4">
        <v>36</v>
      </c>
      <c r="C65">
        <f t="shared" si="0"/>
        <v>35.93818810085417</v>
      </c>
      <c r="D65" s="8">
        <f t="shared" si="1"/>
        <v>6.1811899145830296E-2</v>
      </c>
      <c r="E65" s="8">
        <f t="shared" si="2"/>
        <v>6.1811899145830296E-2</v>
      </c>
      <c r="F65" s="8">
        <f t="shared" si="3"/>
        <v>3.820710876014296E-3</v>
      </c>
      <c r="G65" s="5">
        <f t="shared" si="4"/>
        <v>1.716997198495286E-3</v>
      </c>
    </row>
    <row r="66" spans="1:7" ht="15.75" customHeight="1">
      <c r="A66" s="3">
        <v>21615</v>
      </c>
      <c r="B66" s="4">
        <v>50</v>
      </c>
      <c r="C66">
        <f t="shared" si="0"/>
        <v>35.981456430256252</v>
      </c>
      <c r="D66" s="8">
        <f t="shared" si="1"/>
        <v>14.018543569743748</v>
      </c>
      <c r="E66" s="8">
        <f t="shared" si="2"/>
        <v>14.018543569743748</v>
      </c>
      <c r="F66" s="8">
        <f t="shared" si="3"/>
        <v>196.51956381680378</v>
      </c>
      <c r="G66" s="5">
        <f t="shared" si="4"/>
        <v>0.28037087139487499</v>
      </c>
    </row>
    <row r="67" spans="1:7" ht="15.75" customHeight="1">
      <c r="A67" s="3">
        <v>21616</v>
      </c>
      <c r="B67" s="4">
        <v>44</v>
      </c>
      <c r="C67">
        <f t="shared" si="0"/>
        <v>45.794436929076873</v>
      </c>
      <c r="D67" s="8">
        <f t="shared" si="1"/>
        <v>-1.7944369290768734</v>
      </c>
      <c r="E67" s="8">
        <f t="shared" si="2"/>
        <v>1.7944369290768734</v>
      </c>
      <c r="F67" s="8">
        <f t="shared" si="3"/>
        <v>3.22000389243484</v>
      </c>
      <c r="G67" s="5">
        <f t="shared" si="4"/>
        <v>4.0782657479019851E-2</v>
      </c>
    </row>
    <row r="68" spans="1:7" ht="15.75" customHeight="1">
      <c r="A68" s="3">
        <v>21617</v>
      </c>
      <c r="B68" s="4">
        <v>39</v>
      </c>
      <c r="C68">
        <f t="shared" ref="C68:C131" si="5">0.7*B67+0.3*C67</f>
        <v>44.538331078723061</v>
      </c>
      <c r="D68" s="8">
        <f t="shared" ref="D68:D131" si="6">B68-C68</f>
        <v>-5.5383310787230613</v>
      </c>
      <c r="E68" s="8">
        <f t="shared" ref="E68:E131" si="7">ABS(D68)</f>
        <v>5.5383310787230613</v>
      </c>
      <c r="F68" s="8">
        <f t="shared" ref="F68:F131" si="8">E68^2</f>
        <v>30.673111137549746</v>
      </c>
      <c r="G68" s="5">
        <f t="shared" ref="G68:G131" si="9">E68/B68</f>
        <v>0.14200848919802722</v>
      </c>
    </row>
    <row r="69" spans="1:7" ht="15.75" customHeight="1">
      <c r="A69" s="3">
        <v>21618</v>
      </c>
      <c r="B69" s="4">
        <v>32</v>
      </c>
      <c r="C69">
        <f t="shared" si="5"/>
        <v>40.661499323616916</v>
      </c>
      <c r="D69" s="8">
        <f t="shared" si="6"/>
        <v>-8.6614993236169155</v>
      </c>
      <c r="E69" s="8">
        <f t="shared" si="7"/>
        <v>8.6614993236169155</v>
      </c>
      <c r="F69" s="8">
        <f t="shared" si="8"/>
        <v>75.021570533016288</v>
      </c>
      <c r="G69" s="5">
        <f t="shared" si="9"/>
        <v>0.27067185386302861</v>
      </c>
    </row>
    <row r="70" spans="1:7" ht="15.75" customHeight="1">
      <c r="A70" s="3">
        <v>21619</v>
      </c>
      <c r="B70" s="4">
        <v>39</v>
      </c>
      <c r="C70">
        <f t="shared" si="5"/>
        <v>34.598449797085074</v>
      </c>
      <c r="D70" s="8">
        <f t="shared" si="6"/>
        <v>4.401550202914926</v>
      </c>
      <c r="E70" s="8">
        <f t="shared" si="7"/>
        <v>4.401550202914926</v>
      </c>
      <c r="F70" s="8">
        <f t="shared" si="8"/>
        <v>19.373644188780428</v>
      </c>
      <c r="G70" s="5">
        <f t="shared" si="9"/>
        <v>0.11286026161320323</v>
      </c>
    </row>
    <row r="71" spans="1:7" ht="15.75" customHeight="1">
      <c r="A71" s="3">
        <v>21620</v>
      </c>
      <c r="B71" s="4">
        <v>45</v>
      </c>
      <c r="C71">
        <f t="shared" si="5"/>
        <v>37.679534939125517</v>
      </c>
      <c r="D71" s="8">
        <f t="shared" si="6"/>
        <v>7.3204650608744828</v>
      </c>
      <c r="E71" s="8">
        <f t="shared" si="7"/>
        <v>7.3204650608744828</v>
      </c>
      <c r="F71" s="8">
        <f t="shared" si="8"/>
        <v>53.589208707484048</v>
      </c>
      <c r="G71" s="5">
        <f t="shared" si="9"/>
        <v>0.16267700135276628</v>
      </c>
    </row>
    <row r="72" spans="1:7" ht="15.75" customHeight="1">
      <c r="A72" s="3">
        <v>21621</v>
      </c>
      <c r="B72" s="4">
        <v>43</v>
      </c>
      <c r="C72">
        <f t="shared" si="5"/>
        <v>42.803860481737651</v>
      </c>
      <c r="D72" s="8">
        <f t="shared" si="6"/>
        <v>0.1961395182623491</v>
      </c>
      <c r="E72" s="8">
        <f t="shared" si="7"/>
        <v>0.1961395182623491</v>
      </c>
      <c r="F72" s="8">
        <f t="shared" si="8"/>
        <v>3.8470710624186374E-2</v>
      </c>
      <c r="G72" s="5">
        <f t="shared" si="9"/>
        <v>4.5613841456360257E-3</v>
      </c>
    </row>
    <row r="73" spans="1:7" ht="15.75" customHeight="1">
      <c r="A73" s="3">
        <v>21622</v>
      </c>
      <c r="B73" s="4">
        <v>39</v>
      </c>
      <c r="C73">
        <f t="shared" si="5"/>
        <v>42.941158144521296</v>
      </c>
      <c r="D73" s="8">
        <f t="shared" si="6"/>
        <v>-3.941158144521296</v>
      </c>
      <c r="E73" s="8">
        <f t="shared" si="7"/>
        <v>3.941158144521296</v>
      </c>
      <c r="F73" s="8">
        <f t="shared" si="8"/>
        <v>15.532727520126544</v>
      </c>
      <c r="G73" s="5">
        <f t="shared" si="9"/>
        <v>0.10105533703900758</v>
      </c>
    </row>
    <row r="74" spans="1:7" ht="15.75" customHeight="1">
      <c r="A74" s="3">
        <v>21623</v>
      </c>
      <c r="B74" s="4">
        <v>31</v>
      </c>
      <c r="C74">
        <f t="shared" si="5"/>
        <v>40.182347443356385</v>
      </c>
      <c r="D74" s="8">
        <f t="shared" si="6"/>
        <v>-9.1823474433563845</v>
      </c>
      <c r="E74" s="8">
        <f t="shared" si="7"/>
        <v>9.1823474433563845</v>
      </c>
      <c r="F74" s="8">
        <f t="shared" si="8"/>
        <v>84.315504570513525</v>
      </c>
      <c r="G74" s="5">
        <f t="shared" si="9"/>
        <v>0.29620475623730275</v>
      </c>
    </row>
    <row r="75" spans="1:7" ht="15.75" customHeight="1">
      <c r="A75" s="3">
        <v>21624</v>
      </c>
      <c r="B75" s="4">
        <v>27</v>
      </c>
      <c r="C75">
        <f t="shared" si="5"/>
        <v>33.754704233006912</v>
      </c>
      <c r="D75" s="8">
        <f t="shared" si="6"/>
        <v>-6.7547042330069118</v>
      </c>
      <c r="E75" s="8">
        <f t="shared" si="7"/>
        <v>6.7547042330069118</v>
      </c>
      <c r="F75" s="8">
        <f t="shared" si="8"/>
        <v>45.626029275401493</v>
      </c>
      <c r="G75" s="5">
        <f t="shared" si="9"/>
        <v>0.25017423085210783</v>
      </c>
    </row>
    <row r="76" spans="1:7" ht="15.75" customHeight="1">
      <c r="A76" s="3">
        <v>21625</v>
      </c>
      <c r="B76" s="4">
        <v>30</v>
      </c>
      <c r="C76">
        <f t="shared" si="5"/>
        <v>29.02641126990207</v>
      </c>
      <c r="D76" s="8">
        <f t="shared" si="6"/>
        <v>0.97358873009793001</v>
      </c>
      <c r="E76" s="8">
        <f t="shared" si="7"/>
        <v>0.97358873009793001</v>
      </c>
      <c r="F76" s="8">
        <f t="shared" si="8"/>
        <v>0.9478750153737</v>
      </c>
      <c r="G76" s="5">
        <f t="shared" si="9"/>
        <v>3.2452957669930997E-2</v>
      </c>
    </row>
    <row r="77" spans="1:7" ht="15.75" customHeight="1">
      <c r="A77" s="3">
        <v>21626</v>
      </c>
      <c r="B77" s="4">
        <v>42</v>
      </c>
      <c r="C77">
        <f t="shared" si="5"/>
        <v>29.70792338097062</v>
      </c>
      <c r="D77" s="8">
        <f t="shared" si="6"/>
        <v>12.29207661902938</v>
      </c>
      <c r="E77" s="8">
        <f t="shared" si="7"/>
        <v>12.29207661902938</v>
      </c>
      <c r="F77" s="8">
        <f t="shared" si="8"/>
        <v>151.09514760808875</v>
      </c>
      <c r="G77" s="5">
        <f t="shared" si="9"/>
        <v>0.29266849092927094</v>
      </c>
    </row>
    <row r="78" spans="1:7" ht="15.75" customHeight="1">
      <c r="A78" s="3">
        <v>21627</v>
      </c>
      <c r="B78" s="4">
        <v>46</v>
      </c>
      <c r="C78">
        <f t="shared" si="5"/>
        <v>38.312377014291187</v>
      </c>
      <c r="D78" s="8">
        <f t="shared" si="6"/>
        <v>7.6876229857088134</v>
      </c>
      <c r="E78" s="8">
        <f t="shared" si="7"/>
        <v>7.6876229857088134</v>
      </c>
      <c r="F78" s="8">
        <f t="shared" si="8"/>
        <v>59.099547170398488</v>
      </c>
      <c r="G78" s="5">
        <f t="shared" si="9"/>
        <v>0.16712223881975682</v>
      </c>
    </row>
    <row r="79" spans="1:7" ht="15.75" customHeight="1">
      <c r="A79" s="3">
        <v>21628</v>
      </c>
      <c r="B79" s="4">
        <v>41</v>
      </c>
      <c r="C79">
        <f t="shared" si="5"/>
        <v>43.693713104287355</v>
      </c>
      <c r="D79" s="8">
        <f t="shared" si="6"/>
        <v>-2.6937131042873546</v>
      </c>
      <c r="E79" s="8">
        <f t="shared" si="7"/>
        <v>2.6937131042873546</v>
      </c>
      <c r="F79" s="8">
        <f t="shared" si="8"/>
        <v>7.2560902882094167</v>
      </c>
      <c r="G79" s="5">
        <f t="shared" si="9"/>
        <v>6.5700319616764744E-2</v>
      </c>
    </row>
    <row r="80" spans="1:7" ht="15.75" customHeight="1">
      <c r="A80" s="3">
        <v>21629</v>
      </c>
      <c r="B80" s="4">
        <v>36</v>
      </c>
      <c r="C80">
        <f t="shared" si="5"/>
        <v>41.808113931286208</v>
      </c>
      <c r="D80" s="8">
        <f t="shared" si="6"/>
        <v>-5.8081139312862078</v>
      </c>
      <c r="E80" s="8">
        <f t="shared" si="7"/>
        <v>5.8081139312862078</v>
      </c>
      <c r="F80" s="8">
        <f t="shared" si="8"/>
        <v>33.73418743880093</v>
      </c>
      <c r="G80" s="5">
        <f t="shared" si="9"/>
        <v>0.16133649809128356</v>
      </c>
    </row>
    <row r="81" spans="1:7" ht="15.75" customHeight="1">
      <c r="A81" s="3">
        <v>21630</v>
      </c>
      <c r="B81" s="4">
        <v>45</v>
      </c>
      <c r="C81">
        <f t="shared" si="5"/>
        <v>37.74243417938586</v>
      </c>
      <c r="D81" s="8">
        <f t="shared" si="6"/>
        <v>7.2575658206141398</v>
      </c>
      <c r="E81" s="8">
        <f t="shared" si="7"/>
        <v>7.2575658206141398</v>
      </c>
      <c r="F81" s="8">
        <f t="shared" si="8"/>
        <v>52.672261640546594</v>
      </c>
      <c r="G81" s="5">
        <f t="shared" si="9"/>
        <v>0.161279240458092</v>
      </c>
    </row>
    <row r="82" spans="1:7" ht="15.75" customHeight="1">
      <c r="A82" s="3">
        <v>21631</v>
      </c>
      <c r="B82" s="4">
        <v>46</v>
      </c>
      <c r="C82">
        <f t="shared" si="5"/>
        <v>42.822730253815756</v>
      </c>
      <c r="D82" s="8">
        <f t="shared" si="6"/>
        <v>3.1772697461842441</v>
      </c>
      <c r="E82" s="8">
        <f t="shared" si="7"/>
        <v>3.1772697461842441</v>
      </c>
      <c r="F82" s="8">
        <f t="shared" si="8"/>
        <v>10.095043040017691</v>
      </c>
      <c r="G82" s="5">
        <f t="shared" si="9"/>
        <v>6.9071081438787915E-2</v>
      </c>
    </row>
    <row r="83" spans="1:7" ht="15.75" customHeight="1">
      <c r="A83" s="3">
        <v>21632</v>
      </c>
      <c r="B83" s="4">
        <v>43</v>
      </c>
      <c r="C83">
        <f t="shared" si="5"/>
        <v>45.046819076144722</v>
      </c>
      <c r="D83" s="8">
        <f t="shared" si="6"/>
        <v>-2.0468190761447218</v>
      </c>
      <c r="E83" s="8">
        <f t="shared" si="7"/>
        <v>2.0468190761447218</v>
      </c>
      <c r="F83" s="8">
        <f t="shared" si="8"/>
        <v>4.1894683304699321</v>
      </c>
      <c r="G83" s="5">
        <f t="shared" si="9"/>
        <v>4.7600443631272603E-2</v>
      </c>
    </row>
    <row r="84" spans="1:7" ht="15.75" customHeight="1">
      <c r="A84" s="3">
        <v>21633</v>
      </c>
      <c r="B84" s="4">
        <v>38</v>
      </c>
      <c r="C84">
        <f t="shared" si="5"/>
        <v>43.614045722843414</v>
      </c>
      <c r="D84" s="8">
        <f t="shared" si="6"/>
        <v>-5.6140457228434144</v>
      </c>
      <c r="E84" s="8">
        <f t="shared" si="7"/>
        <v>5.6140457228434144</v>
      </c>
      <c r="F84" s="8">
        <f t="shared" si="8"/>
        <v>31.517509378176435</v>
      </c>
      <c r="G84" s="5">
        <f t="shared" si="9"/>
        <v>0.1477380453379846</v>
      </c>
    </row>
    <row r="85" spans="1:7" ht="15.75" customHeight="1">
      <c r="A85" s="3">
        <v>21634</v>
      </c>
      <c r="B85" s="4">
        <v>34</v>
      </c>
      <c r="C85">
        <f t="shared" si="5"/>
        <v>39.684213716853023</v>
      </c>
      <c r="D85" s="8">
        <f t="shared" si="6"/>
        <v>-5.6842137168530229</v>
      </c>
      <c r="E85" s="8">
        <f t="shared" si="7"/>
        <v>5.6842137168530229</v>
      </c>
      <c r="F85" s="8">
        <f t="shared" si="8"/>
        <v>32.310285578860061</v>
      </c>
      <c r="G85" s="5">
        <f t="shared" si="9"/>
        <v>0.1671827563780301</v>
      </c>
    </row>
    <row r="86" spans="1:7" ht="15.75" customHeight="1">
      <c r="A86" s="3">
        <v>21635</v>
      </c>
      <c r="B86" s="4">
        <v>35</v>
      </c>
      <c r="C86">
        <f t="shared" si="5"/>
        <v>35.705264115055904</v>
      </c>
      <c r="D86" s="8">
        <f t="shared" si="6"/>
        <v>-0.70526411505590403</v>
      </c>
      <c r="E86" s="8">
        <f t="shared" si="7"/>
        <v>0.70526411505590403</v>
      </c>
      <c r="F86" s="8">
        <f t="shared" si="8"/>
        <v>0.49739747198558742</v>
      </c>
      <c r="G86" s="5">
        <f t="shared" si="9"/>
        <v>2.0150403287311543E-2</v>
      </c>
    </row>
    <row r="87" spans="1:7" ht="15.75" customHeight="1">
      <c r="A87" s="3">
        <v>21636</v>
      </c>
      <c r="B87" s="4">
        <v>56</v>
      </c>
      <c r="C87">
        <f t="shared" si="5"/>
        <v>35.211579234516769</v>
      </c>
      <c r="D87" s="8">
        <f t="shared" si="6"/>
        <v>20.788420765483231</v>
      </c>
      <c r="E87" s="8">
        <f t="shared" si="7"/>
        <v>20.788420765483231</v>
      </c>
      <c r="F87" s="8">
        <f t="shared" si="8"/>
        <v>432.1584379227744</v>
      </c>
      <c r="G87" s="5">
        <f t="shared" si="9"/>
        <v>0.37122179938362915</v>
      </c>
    </row>
    <row r="88" spans="1:7" ht="15.75" customHeight="1">
      <c r="A88" s="3">
        <v>21637</v>
      </c>
      <c r="B88" s="4">
        <v>36</v>
      </c>
      <c r="C88">
        <f t="shared" si="5"/>
        <v>49.763473770355027</v>
      </c>
      <c r="D88" s="8">
        <f t="shared" si="6"/>
        <v>-13.763473770355027</v>
      </c>
      <c r="E88" s="8">
        <f t="shared" si="7"/>
        <v>13.763473770355027</v>
      </c>
      <c r="F88" s="8">
        <f t="shared" si="8"/>
        <v>189.43321022725084</v>
      </c>
      <c r="G88" s="5">
        <f t="shared" si="9"/>
        <v>0.38231871584319521</v>
      </c>
    </row>
    <row r="89" spans="1:7" ht="15.75" customHeight="1">
      <c r="A89" s="3">
        <v>21638</v>
      </c>
      <c r="B89" s="4">
        <v>32</v>
      </c>
      <c r="C89">
        <f t="shared" si="5"/>
        <v>40.129042131106509</v>
      </c>
      <c r="D89" s="8">
        <f t="shared" si="6"/>
        <v>-8.1290421311065089</v>
      </c>
      <c r="E89" s="8">
        <f t="shared" si="7"/>
        <v>8.1290421311065089</v>
      </c>
      <c r="F89" s="8">
        <f t="shared" si="8"/>
        <v>66.081325969304658</v>
      </c>
      <c r="G89" s="5">
        <f t="shared" si="9"/>
        <v>0.2540325665970784</v>
      </c>
    </row>
    <row r="90" spans="1:7" ht="15.75" customHeight="1">
      <c r="A90" s="3">
        <v>21639</v>
      </c>
      <c r="B90" s="4">
        <v>50</v>
      </c>
      <c r="C90">
        <f t="shared" si="5"/>
        <v>34.438712639331953</v>
      </c>
      <c r="D90" s="8">
        <f t="shared" si="6"/>
        <v>15.561287360668047</v>
      </c>
      <c r="E90" s="8">
        <f t="shared" si="7"/>
        <v>15.561287360668047</v>
      </c>
      <c r="F90" s="8">
        <f t="shared" si="8"/>
        <v>242.1536643212871</v>
      </c>
      <c r="G90" s="5">
        <f t="shared" si="9"/>
        <v>0.31122574721336094</v>
      </c>
    </row>
    <row r="91" spans="1:7" ht="15.75" customHeight="1">
      <c r="A91" s="3">
        <v>21640</v>
      </c>
      <c r="B91" s="4">
        <v>41</v>
      </c>
      <c r="C91">
        <f t="shared" si="5"/>
        <v>45.331613791799583</v>
      </c>
      <c r="D91" s="8">
        <f t="shared" si="6"/>
        <v>-4.3316137917995832</v>
      </c>
      <c r="E91" s="8">
        <f t="shared" si="7"/>
        <v>4.3316137917995832</v>
      </c>
      <c r="F91" s="8">
        <f t="shared" si="8"/>
        <v>18.762878041308362</v>
      </c>
      <c r="G91" s="5">
        <f t="shared" si="9"/>
        <v>0.10564911687316056</v>
      </c>
    </row>
    <row r="92" spans="1:7" ht="15.75" customHeight="1">
      <c r="A92" s="3">
        <v>21641</v>
      </c>
      <c r="B92" s="4">
        <v>39</v>
      </c>
      <c r="C92">
        <f t="shared" si="5"/>
        <v>42.299484137539878</v>
      </c>
      <c r="D92" s="8">
        <f t="shared" si="6"/>
        <v>-3.2994841375398778</v>
      </c>
      <c r="E92" s="8">
        <f t="shared" si="7"/>
        <v>3.2994841375398778</v>
      </c>
      <c r="F92" s="8">
        <f t="shared" si="8"/>
        <v>10.886595573877271</v>
      </c>
      <c r="G92" s="5">
        <f t="shared" si="9"/>
        <v>8.4602157372817385E-2</v>
      </c>
    </row>
    <row r="93" spans="1:7" ht="15.75" customHeight="1">
      <c r="A93" s="3">
        <v>21642</v>
      </c>
      <c r="B93" s="4">
        <v>41</v>
      </c>
      <c r="C93">
        <f t="shared" si="5"/>
        <v>39.98984524126196</v>
      </c>
      <c r="D93" s="8">
        <f t="shared" si="6"/>
        <v>1.0101547587380395</v>
      </c>
      <c r="E93" s="8">
        <f t="shared" si="7"/>
        <v>1.0101547587380395</v>
      </c>
      <c r="F93" s="8">
        <f t="shared" si="8"/>
        <v>1.0204126366011068</v>
      </c>
      <c r="G93" s="5">
        <f t="shared" si="9"/>
        <v>2.4637920944830232E-2</v>
      </c>
    </row>
    <row r="94" spans="1:7" ht="15.75" customHeight="1">
      <c r="A94" s="3">
        <v>21643</v>
      </c>
      <c r="B94" s="4">
        <v>47</v>
      </c>
      <c r="C94">
        <f t="shared" si="5"/>
        <v>40.69695357237859</v>
      </c>
      <c r="D94" s="8">
        <f t="shared" si="6"/>
        <v>6.3030464276214104</v>
      </c>
      <c r="E94" s="8">
        <f t="shared" si="7"/>
        <v>6.3030464276214104</v>
      </c>
      <c r="F94" s="8">
        <f t="shared" si="8"/>
        <v>39.728394268751025</v>
      </c>
      <c r="G94" s="5">
        <f t="shared" si="9"/>
        <v>0.13410737080045554</v>
      </c>
    </row>
    <row r="95" spans="1:7" ht="15.75" customHeight="1">
      <c r="A95" s="3">
        <v>21644</v>
      </c>
      <c r="B95" s="4">
        <v>34</v>
      </c>
      <c r="C95">
        <f t="shared" si="5"/>
        <v>45.109086071713577</v>
      </c>
      <c r="D95" s="8">
        <f t="shared" si="6"/>
        <v>-11.109086071713577</v>
      </c>
      <c r="E95" s="8">
        <f t="shared" si="7"/>
        <v>11.109086071713577</v>
      </c>
      <c r="F95" s="8">
        <f t="shared" si="8"/>
        <v>123.41179334874059</v>
      </c>
      <c r="G95" s="5">
        <f t="shared" si="9"/>
        <v>0.32673782563863463</v>
      </c>
    </row>
    <row r="96" spans="1:7" ht="15.75" customHeight="1">
      <c r="A96" s="3">
        <v>21645</v>
      </c>
      <c r="B96" s="4">
        <v>36</v>
      </c>
      <c r="C96">
        <f t="shared" si="5"/>
        <v>37.332725821514067</v>
      </c>
      <c r="D96" s="8">
        <f t="shared" si="6"/>
        <v>-1.3327258215140674</v>
      </c>
      <c r="E96" s="8">
        <f t="shared" si="7"/>
        <v>1.3327258215140674</v>
      </c>
      <c r="F96" s="8">
        <f t="shared" si="8"/>
        <v>1.7761581153303458</v>
      </c>
      <c r="G96" s="5">
        <f t="shared" si="9"/>
        <v>3.7020161708724096E-2</v>
      </c>
    </row>
    <row r="97" spans="1:7" ht="15.75" customHeight="1">
      <c r="A97" s="3">
        <v>21646</v>
      </c>
      <c r="B97" s="4">
        <v>33</v>
      </c>
      <c r="C97">
        <f t="shared" si="5"/>
        <v>36.399817746454218</v>
      </c>
      <c r="D97" s="8">
        <f t="shared" si="6"/>
        <v>-3.3998177464542181</v>
      </c>
      <c r="E97" s="8">
        <f t="shared" si="7"/>
        <v>3.3998177464542181</v>
      </c>
      <c r="F97" s="8">
        <f t="shared" si="8"/>
        <v>11.558760709105037</v>
      </c>
      <c r="G97" s="5">
        <f t="shared" si="9"/>
        <v>0.10302478019558237</v>
      </c>
    </row>
    <row r="98" spans="1:7" ht="15.75" customHeight="1">
      <c r="A98" s="3">
        <v>21647</v>
      </c>
      <c r="B98" s="4">
        <v>35</v>
      </c>
      <c r="C98">
        <f t="shared" si="5"/>
        <v>34.019945323936263</v>
      </c>
      <c r="D98" s="8">
        <f t="shared" si="6"/>
        <v>0.98005467606373742</v>
      </c>
      <c r="E98" s="8">
        <f t="shared" si="7"/>
        <v>0.98005467606373742</v>
      </c>
      <c r="F98" s="8">
        <f t="shared" si="8"/>
        <v>0.96050716807439729</v>
      </c>
      <c r="G98" s="5">
        <f t="shared" si="9"/>
        <v>2.8001562173249641E-2</v>
      </c>
    </row>
    <row r="99" spans="1:7" ht="15.75" customHeight="1">
      <c r="A99" s="3">
        <v>21648</v>
      </c>
      <c r="B99" s="4">
        <v>38</v>
      </c>
      <c r="C99">
        <f t="shared" si="5"/>
        <v>34.705983597180875</v>
      </c>
      <c r="D99" s="8">
        <f t="shared" si="6"/>
        <v>3.2940164028191248</v>
      </c>
      <c r="E99" s="8">
        <f t="shared" si="7"/>
        <v>3.2940164028191248</v>
      </c>
      <c r="F99" s="8">
        <f t="shared" si="8"/>
        <v>10.850544062041447</v>
      </c>
      <c r="G99" s="5">
        <f t="shared" si="9"/>
        <v>8.6684642179450655E-2</v>
      </c>
    </row>
    <row r="100" spans="1:7" ht="15.75" customHeight="1">
      <c r="A100" s="3">
        <v>21649</v>
      </c>
      <c r="B100" s="4">
        <v>38</v>
      </c>
      <c r="C100">
        <f t="shared" si="5"/>
        <v>37.011795079154261</v>
      </c>
      <c r="D100" s="8">
        <f t="shared" si="6"/>
        <v>0.98820492084573885</v>
      </c>
      <c r="E100" s="8">
        <f t="shared" si="7"/>
        <v>0.98820492084573885</v>
      </c>
      <c r="F100" s="8">
        <f t="shared" si="8"/>
        <v>0.97654896558373294</v>
      </c>
      <c r="G100" s="5">
        <f t="shared" si="9"/>
        <v>2.6005392653835235E-2</v>
      </c>
    </row>
    <row r="101" spans="1:7" ht="15.75" customHeight="1">
      <c r="A101" s="3">
        <v>21650</v>
      </c>
      <c r="B101" s="4">
        <v>34</v>
      </c>
      <c r="C101">
        <f t="shared" si="5"/>
        <v>37.703538523746275</v>
      </c>
      <c r="D101" s="8">
        <f t="shared" si="6"/>
        <v>-3.7035385237462748</v>
      </c>
      <c r="E101" s="8">
        <f t="shared" si="7"/>
        <v>3.7035385237462748</v>
      </c>
      <c r="F101" s="8">
        <f t="shared" si="8"/>
        <v>13.716197596872737</v>
      </c>
      <c r="G101" s="5">
        <f t="shared" si="9"/>
        <v>0.10892760363959632</v>
      </c>
    </row>
    <row r="102" spans="1:7" ht="15.75" customHeight="1">
      <c r="A102" s="3">
        <v>21651</v>
      </c>
      <c r="B102" s="4">
        <v>53</v>
      </c>
      <c r="C102">
        <f t="shared" si="5"/>
        <v>35.111061557123875</v>
      </c>
      <c r="D102" s="8">
        <f t="shared" si="6"/>
        <v>17.888938442876125</v>
      </c>
      <c r="E102" s="8">
        <f t="shared" si="7"/>
        <v>17.888938442876125</v>
      </c>
      <c r="F102" s="8">
        <f t="shared" si="8"/>
        <v>320.01411861301125</v>
      </c>
      <c r="G102" s="5">
        <f t="shared" si="9"/>
        <v>0.33752714043162502</v>
      </c>
    </row>
    <row r="103" spans="1:7" ht="15.75" customHeight="1">
      <c r="A103" s="3">
        <v>21652</v>
      </c>
      <c r="B103" s="4">
        <v>34</v>
      </c>
      <c r="C103">
        <f t="shared" si="5"/>
        <v>47.633318467137158</v>
      </c>
      <c r="D103" s="8">
        <f t="shared" si="6"/>
        <v>-13.633318467137158</v>
      </c>
      <c r="E103" s="8">
        <f t="shared" si="7"/>
        <v>13.633318467137158</v>
      </c>
      <c r="F103" s="8">
        <f t="shared" si="8"/>
        <v>185.86737242638307</v>
      </c>
      <c r="G103" s="5">
        <f t="shared" si="9"/>
        <v>0.4009799549157988</v>
      </c>
    </row>
    <row r="104" spans="1:7" ht="15.75" customHeight="1">
      <c r="A104" s="3">
        <v>21653</v>
      </c>
      <c r="B104" s="4">
        <v>34</v>
      </c>
      <c r="C104">
        <f t="shared" si="5"/>
        <v>38.089995540141146</v>
      </c>
      <c r="D104" s="8">
        <f t="shared" si="6"/>
        <v>-4.0899955401411461</v>
      </c>
      <c r="E104" s="8">
        <f t="shared" si="7"/>
        <v>4.0899955401411461</v>
      </c>
      <c r="F104" s="8">
        <f t="shared" si="8"/>
        <v>16.728063518374466</v>
      </c>
      <c r="G104" s="5">
        <f t="shared" si="9"/>
        <v>0.12029398647473959</v>
      </c>
    </row>
    <row r="105" spans="1:7" ht="15.75" customHeight="1">
      <c r="A105" s="3">
        <v>21654</v>
      </c>
      <c r="B105" s="4">
        <v>38</v>
      </c>
      <c r="C105">
        <f t="shared" si="5"/>
        <v>35.226998662042341</v>
      </c>
      <c r="D105" s="8">
        <f t="shared" si="6"/>
        <v>2.773001337957659</v>
      </c>
      <c r="E105" s="8">
        <f t="shared" si="7"/>
        <v>2.773001337957659</v>
      </c>
      <c r="F105" s="8">
        <f t="shared" si="8"/>
        <v>7.6895364203149672</v>
      </c>
      <c r="G105" s="5">
        <f t="shared" si="9"/>
        <v>7.2973719419938396E-2</v>
      </c>
    </row>
    <row r="106" spans="1:7" ht="15.75" customHeight="1">
      <c r="A106" s="3">
        <v>21655</v>
      </c>
      <c r="B106" s="4">
        <v>35</v>
      </c>
      <c r="C106">
        <f t="shared" si="5"/>
        <v>37.168099598612699</v>
      </c>
      <c r="D106" s="8">
        <f t="shared" si="6"/>
        <v>-2.1680995986126987</v>
      </c>
      <c r="E106" s="8">
        <f t="shared" si="7"/>
        <v>2.1680995986126987</v>
      </c>
      <c r="F106" s="8">
        <f t="shared" si="8"/>
        <v>4.7006558695045451</v>
      </c>
      <c r="G106" s="5">
        <f t="shared" si="9"/>
        <v>6.194570281750568E-2</v>
      </c>
    </row>
    <row r="107" spans="1:7" ht="15.75" customHeight="1">
      <c r="A107" s="3">
        <v>21656</v>
      </c>
      <c r="B107" s="4">
        <v>32</v>
      </c>
      <c r="C107">
        <f t="shared" si="5"/>
        <v>35.650429879583811</v>
      </c>
      <c r="D107" s="8">
        <f t="shared" si="6"/>
        <v>-3.650429879583811</v>
      </c>
      <c r="E107" s="8">
        <f t="shared" si="7"/>
        <v>3.650429879583811</v>
      </c>
      <c r="F107" s="8">
        <f t="shared" si="8"/>
        <v>13.325638305758277</v>
      </c>
      <c r="G107" s="5">
        <f t="shared" si="9"/>
        <v>0.1140759337369941</v>
      </c>
    </row>
    <row r="108" spans="1:7" ht="15.75" customHeight="1">
      <c r="A108" s="3">
        <v>21657</v>
      </c>
      <c r="B108" s="4">
        <v>42</v>
      </c>
      <c r="C108">
        <f t="shared" si="5"/>
        <v>33.09512896387514</v>
      </c>
      <c r="D108" s="8">
        <f t="shared" si="6"/>
        <v>8.9048710361248595</v>
      </c>
      <c r="E108" s="8">
        <f t="shared" si="7"/>
        <v>8.9048710361248595</v>
      </c>
      <c r="F108" s="8">
        <f t="shared" si="8"/>
        <v>79.296728170015427</v>
      </c>
      <c r="G108" s="5">
        <f t="shared" si="9"/>
        <v>0.21202073895535381</v>
      </c>
    </row>
    <row r="109" spans="1:7" ht="15.75" customHeight="1">
      <c r="A109" s="3">
        <v>21658</v>
      </c>
      <c r="B109" s="4">
        <v>34</v>
      </c>
      <c r="C109">
        <f t="shared" si="5"/>
        <v>39.328538689162542</v>
      </c>
      <c r="D109" s="8">
        <f t="shared" si="6"/>
        <v>-5.3285386891625421</v>
      </c>
      <c r="E109" s="8">
        <f t="shared" si="7"/>
        <v>5.3285386891625421</v>
      </c>
      <c r="F109" s="8">
        <f t="shared" si="8"/>
        <v>28.393324561902062</v>
      </c>
      <c r="G109" s="5">
        <f t="shared" si="9"/>
        <v>0.15672172615183946</v>
      </c>
    </row>
    <row r="110" spans="1:7" ht="15.75" customHeight="1">
      <c r="A110" s="3">
        <v>21659</v>
      </c>
      <c r="B110" s="4">
        <v>46</v>
      </c>
      <c r="C110">
        <f t="shared" si="5"/>
        <v>35.59856160674876</v>
      </c>
      <c r="D110" s="8">
        <f t="shared" si="6"/>
        <v>10.40143839325124</v>
      </c>
      <c r="E110" s="8">
        <f t="shared" si="7"/>
        <v>10.40143839325124</v>
      </c>
      <c r="F110" s="8">
        <f t="shared" si="8"/>
        <v>108.18992064860095</v>
      </c>
      <c r="G110" s="5">
        <f t="shared" si="9"/>
        <v>0.22611822594024436</v>
      </c>
    </row>
    <row r="111" spans="1:7" ht="15.75" customHeight="1">
      <c r="A111" s="3">
        <v>21660</v>
      </c>
      <c r="B111" s="4">
        <v>30</v>
      </c>
      <c r="C111">
        <f t="shared" si="5"/>
        <v>42.879568482024624</v>
      </c>
      <c r="D111" s="8">
        <f t="shared" si="6"/>
        <v>-12.879568482024624</v>
      </c>
      <c r="E111" s="8">
        <f t="shared" si="7"/>
        <v>12.879568482024624</v>
      </c>
      <c r="F111" s="8">
        <f t="shared" si="8"/>
        <v>165.88328428316206</v>
      </c>
      <c r="G111" s="5">
        <f t="shared" si="9"/>
        <v>0.42931894940082077</v>
      </c>
    </row>
    <row r="112" spans="1:7" ht="15.75" customHeight="1">
      <c r="A112" s="3">
        <v>21661</v>
      </c>
      <c r="B112" s="4">
        <v>46</v>
      </c>
      <c r="C112">
        <f t="shared" si="5"/>
        <v>33.863870544607387</v>
      </c>
      <c r="D112" s="8">
        <f t="shared" si="6"/>
        <v>12.136129455392613</v>
      </c>
      <c r="E112" s="8">
        <f t="shared" si="7"/>
        <v>12.136129455392613</v>
      </c>
      <c r="F112" s="8">
        <f t="shared" si="8"/>
        <v>147.28563815804819</v>
      </c>
      <c r="G112" s="5">
        <f t="shared" si="9"/>
        <v>0.26382890120418723</v>
      </c>
    </row>
    <row r="113" spans="1:7" ht="15.75" customHeight="1">
      <c r="A113" s="3">
        <v>21662</v>
      </c>
      <c r="B113" s="4">
        <v>45</v>
      </c>
      <c r="C113">
        <f t="shared" si="5"/>
        <v>42.359161163382211</v>
      </c>
      <c r="D113" s="8">
        <f t="shared" si="6"/>
        <v>2.6408388366177888</v>
      </c>
      <c r="E113" s="8">
        <f t="shared" si="7"/>
        <v>2.6408388366177888</v>
      </c>
      <c r="F113" s="8">
        <f t="shared" si="8"/>
        <v>6.9740297609887962</v>
      </c>
      <c r="G113" s="5">
        <f t="shared" si="9"/>
        <v>5.8685307480395306E-2</v>
      </c>
    </row>
    <row r="114" spans="1:7" ht="15.75" customHeight="1">
      <c r="A114" s="3">
        <v>21663</v>
      </c>
      <c r="B114" s="4">
        <v>54</v>
      </c>
      <c r="C114">
        <f t="shared" si="5"/>
        <v>44.207748349014658</v>
      </c>
      <c r="D114" s="8">
        <f t="shared" si="6"/>
        <v>9.7922516509853423</v>
      </c>
      <c r="E114" s="8">
        <f t="shared" si="7"/>
        <v>9.7922516509853423</v>
      </c>
      <c r="F114" s="8">
        <f t="shared" si="8"/>
        <v>95.888192396225165</v>
      </c>
      <c r="G114" s="5">
        <f t="shared" si="9"/>
        <v>0.18133799353676561</v>
      </c>
    </row>
    <row r="115" spans="1:7" ht="15.75" customHeight="1">
      <c r="A115" s="3">
        <v>21664</v>
      </c>
      <c r="B115" s="4">
        <v>34</v>
      </c>
      <c r="C115">
        <f t="shared" si="5"/>
        <v>51.062324504704392</v>
      </c>
      <c r="D115" s="8">
        <f t="shared" si="6"/>
        <v>-17.062324504704392</v>
      </c>
      <c r="E115" s="8">
        <f t="shared" si="7"/>
        <v>17.062324504704392</v>
      </c>
      <c r="F115" s="8">
        <f t="shared" si="8"/>
        <v>291.12291750383599</v>
      </c>
      <c r="G115" s="5">
        <f t="shared" si="9"/>
        <v>0.5018330736677763</v>
      </c>
    </row>
    <row r="116" spans="1:7" ht="15.75" customHeight="1">
      <c r="A116" s="3">
        <v>21665</v>
      </c>
      <c r="B116" s="4">
        <v>37</v>
      </c>
      <c r="C116">
        <f t="shared" si="5"/>
        <v>39.118697351411313</v>
      </c>
      <c r="D116" s="8">
        <f t="shared" si="6"/>
        <v>-2.1186973514113134</v>
      </c>
      <c r="E116" s="8">
        <f t="shared" si="7"/>
        <v>2.1186973514113134</v>
      </c>
      <c r="F116" s="8">
        <f t="shared" si="8"/>
        <v>4.4888784668773143</v>
      </c>
      <c r="G116" s="5">
        <f t="shared" si="9"/>
        <v>5.7262090578684144E-2</v>
      </c>
    </row>
    <row r="117" spans="1:7" ht="15.75" customHeight="1">
      <c r="A117" s="3">
        <v>21666</v>
      </c>
      <c r="B117" s="4">
        <v>35</v>
      </c>
      <c r="C117">
        <f t="shared" si="5"/>
        <v>37.635609205423393</v>
      </c>
      <c r="D117" s="8">
        <f t="shared" si="6"/>
        <v>-2.6356092054233926</v>
      </c>
      <c r="E117" s="8">
        <f t="shared" si="7"/>
        <v>2.6356092054233926</v>
      </c>
      <c r="F117" s="8">
        <f t="shared" si="8"/>
        <v>6.9464358837125273</v>
      </c>
      <c r="G117" s="5">
        <f t="shared" si="9"/>
        <v>7.5303120154954079E-2</v>
      </c>
    </row>
    <row r="118" spans="1:7" ht="15.75" customHeight="1">
      <c r="A118" s="3">
        <v>21667</v>
      </c>
      <c r="B118" s="4">
        <v>40</v>
      </c>
      <c r="C118">
        <f t="shared" si="5"/>
        <v>35.790682761627018</v>
      </c>
      <c r="D118" s="8">
        <f t="shared" si="6"/>
        <v>4.2093172383729822</v>
      </c>
      <c r="E118" s="8">
        <f t="shared" si="7"/>
        <v>4.2093172383729822</v>
      </c>
      <c r="F118" s="8">
        <f t="shared" si="8"/>
        <v>17.718351613263948</v>
      </c>
      <c r="G118" s="5">
        <f t="shared" si="9"/>
        <v>0.10523293095932455</v>
      </c>
    </row>
    <row r="119" spans="1:7" ht="15.75" customHeight="1">
      <c r="A119" s="3">
        <v>21668</v>
      </c>
      <c r="B119" s="4">
        <v>42</v>
      </c>
      <c r="C119">
        <f t="shared" si="5"/>
        <v>38.737204828488103</v>
      </c>
      <c r="D119" s="8">
        <f t="shared" si="6"/>
        <v>3.2627951715118968</v>
      </c>
      <c r="E119" s="8">
        <f t="shared" si="7"/>
        <v>3.2627951715118968</v>
      </c>
      <c r="F119" s="8">
        <f t="shared" si="8"/>
        <v>10.645832331241348</v>
      </c>
      <c r="G119" s="5">
        <f t="shared" si="9"/>
        <v>7.7685599321711832E-2</v>
      </c>
    </row>
    <row r="120" spans="1:7" ht="15.75" customHeight="1">
      <c r="A120" s="3">
        <v>21669</v>
      </c>
      <c r="B120" s="4">
        <v>58</v>
      </c>
      <c r="C120">
        <f t="shared" si="5"/>
        <v>41.02116144854643</v>
      </c>
      <c r="D120" s="8">
        <f t="shared" si="6"/>
        <v>16.97883855145357</v>
      </c>
      <c r="E120" s="8">
        <f t="shared" si="7"/>
        <v>16.97883855145357</v>
      </c>
      <c r="F120" s="8">
        <f t="shared" si="8"/>
        <v>288.28095855632597</v>
      </c>
      <c r="G120" s="5">
        <f t="shared" si="9"/>
        <v>0.29273859571471672</v>
      </c>
    </row>
    <row r="121" spans="1:7" ht="15.75" customHeight="1">
      <c r="A121" s="3">
        <v>21670</v>
      </c>
      <c r="B121" s="4">
        <v>51</v>
      </c>
      <c r="C121">
        <f t="shared" si="5"/>
        <v>52.906348434563924</v>
      </c>
      <c r="D121" s="8">
        <f t="shared" si="6"/>
        <v>-1.9063484345639239</v>
      </c>
      <c r="E121" s="8">
        <f t="shared" si="7"/>
        <v>1.9063484345639239</v>
      </c>
      <c r="F121" s="8">
        <f t="shared" si="8"/>
        <v>3.6341643539643234</v>
      </c>
      <c r="G121" s="5">
        <f t="shared" si="9"/>
        <v>3.7379381069880861E-2</v>
      </c>
    </row>
    <row r="122" spans="1:7" ht="15.75" customHeight="1">
      <c r="A122" s="3">
        <v>21671</v>
      </c>
      <c r="B122" s="4">
        <v>32</v>
      </c>
      <c r="C122">
        <f t="shared" si="5"/>
        <v>51.571904530369174</v>
      </c>
      <c r="D122" s="8">
        <f t="shared" si="6"/>
        <v>-19.571904530369174</v>
      </c>
      <c r="E122" s="8">
        <f t="shared" si="7"/>
        <v>19.571904530369174</v>
      </c>
      <c r="F122" s="8">
        <f t="shared" si="8"/>
        <v>383.05944694588538</v>
      </c>
      <c r="G122" s="5">
        <f t="shared" si="9"/>
        <v>0.6116220165740367</v>
      </c>
    </row>
    <row r="123" spans="1:7" ht="15.75" customHeight="1">
      <c r="A123" s="3">
        <v>21672</v>
      </c>
      <c r="B123" s="4">
        <v>35</v>
      </c>
      <c r="C123">
        <f t="shared" si="5"/>
        <v>37.871571359110746</v>
      </c>
      <c r="D123" s="8">
        <f t="shared" si="6"/>
        <v>-2.8715713591107459</v>
      </c>
      <c r="E123" s="8">
        <f t="shared" si="7"/>
        <v>2.8715713591107459</v>
      </c>
      <c r="F123" s="8">
        <f t="shared" si="8"/>
        <v>8.2459220704651361</v>
      </c>
      <c r="G123" s="5">
        <f t="shared" si="9"/>
        <v>8.2044895974592746E-2</v>
      </c>
    </row>
    <row r="124" spans="1:7" ht="15.75" customHeight="1">
      <c r="A124" s="3">
        <v>21673</v>
      </c>
      <c r="B124" s="4">
        <v>38</v>
      </c>
      <c r="C124">
        <f t="shared" si="5"/>
        <v>35.86147140773322</v>
      </c>
      <c r="D124" s="8">
        <f t="shared" si="6"/>
        <v>2.1385285922667805</v>
      </c>
      <c r="E124" s="8">
        <f t="shared" si="7"/>
        <v>2.1385285922667805</v>
      </c>
      <c r="F124" s="8">
        <f t="shared" si="8"/>
        <v>4.573304539942538</v>
      </c>
      <c r="G124" s="5">
        <f t="shared" si="9"/>
        <v>5.6277068217546855E-2</v>
      </c>
    </row>
    <row r="125" spans="1:7" ht="15.75" customHeight="1">
      <c r="A125" s="3">
        <v>21674</v>
      </c>
      <c r="B125" s="4">
        <v>33</v>
      </c>
      <c r="C125">
        <f t="shared" si="5"/>
        <v>37.358441422319963</v>
      </c>
      <c r="D125" s="8">
        <f t="shared" si="6"/>
        <v>-4.358441422319963</v>
      </c>
      <c r="E125" s="8">
        <f t="shared" si="7"/>
        <v>4.358441422319963</v>
      </c>
      <c r="F125" s="8">
        <f t="shared" si="8"/>
        <v>18.996011631794463</v>
      </c>
      <c r="G125" s="5">
        <f t="shared" si="9"/>
        <v>0.13207398249454433</v>
      </c>
    </row>
    <row r="126" spans="1:7" ht="15.75" customHeight="1">
      <c r="A126" s="3">
        <v>21675</v>
      </c>
      <c r="B126" s="4">
        <v>39</v>
      </c>
      <c r="C126">
        <f t="shared" si="5"/>
        <v>34.307532426695985</v>
      </c>
      <c r="D126" s="8">
        <f t="shared" si="6"/>
        <v>4.6924675733040146</v>
      </c>
      <c r="E126" s="8">
        <f t="shared" si="7"/>
        <v>4.6924675733040146</v>
      </c>
      <c r="F126" s="8">
        <f t="shared" si="8"/>
        <v>22.019251926509668</v>
      </c>
      <c r="G126" s="5">
        <f t="shared" si="9"/>
        <v>0.12031968136676961</v>
      </c>
    </row>
    <row r="127" spans="1:7" ht="15.75" customHeight="1">
      <c r="A127" s="3">
        <v>21676</v>
      </c>
      <c r="B127" s="4">
        <v>47</v>
      </c>
      <c r="C127">
        <f t="shared" si="5"/>
        <v>37.592259728008791</v>
      </c>
      <c r="D127" s="8">
        <f t="shared" si="6"/>
        <v>9.4077402719912087</v>
      </c>
      <c r="E127" s="8">
        <f t="shared" si="7"/>
        <v>9.4077402719912087</v>
      </c>
      <c r="F127" s="8">
        <f t="shared" si="8"/>
        <v>88.505577025245216</v>
      </c>
      <c r="G127" s="5">
        <f t="shared" si="9"/>
        <v>0.20016468663811082</v>
      </c>
    </row>
    <row r="128" spans="1:7" ht="15.75" customHeight="1">
      <c r="A128" s="3">
        <v>21677</v>
      </c>
      <c r="B128" s="4">
        <v>38</v>
      </c>
      <c r="C128">
        <f t="shared" si="5"/>
        <v>44.177677918402637</v>
      </c>
      <c r="D128" s="8">
        <f t="shared" si="6"/>
        <v>-6.1776779184026367</v>
      </c>
      <c r="E128" s="8">
        <f t="shared" si="7"/>
        <v>6.1776779184026367</v>
      </c>
      <c r="F128" s="8">
        <f t="shared" si="8"/>
        <v>38.163704463519537</v>
      </c>
      <c r="G128" s="5">
        <f t="shared" si="9"/>
        <v>0.16257047153691148</v>
      </c>
    </row>
    <row r="129" spans="1:7" ht="15.75" customHeight="1">
      <c r="A129" s="3">
        <v>21678</v>
      </c>
      <c r="B129" s="4">
        <v>52</v>
      </c>
      <c r="C129">
        <f t="shared" si="5"/>
        <v>39.853303375520788</v>
      </c>
      <c r="D129" s="8">
        <f t="shared" si="6"/>
        <v>12.146696624479212</v>
      </c>
      <c r="E129" s="8">
        <f t="shared" si="7"/>
        <v>12.146696624479212</v>
      </c>
      <c r="F129" s="8">
        <f t="shared" si="8"/>
        <v>147.54223888713469</v>
      </c>
      <c r="G129" s="5">
        <f t="shared" si="9"/>
        <v>0.2335903197015233</v>
      </c>
    </row>
    <row r="130" spans="1:7" ht="15.75" customHeight="1">
      <c r="A130" s="3">
        <v>21679</v>
      </c>
      <c r="B130" s="4">
        <v>30</v>
      </c>
      <c r="C130">
        <f t="shared" si="5"/>
        <v>48.355991012656233</v>
      </c>
      <c r="D130" s="8">
        <f t="shared" si="6"/>
        <v>-18.355991012656233</v>
      </c>
      <c r="E130" s="8">
        <f t="shared" si="7"/>
        <v>18.355991012656233</v>
      </c>
      <c r="F130" s="8">
        <f t="shared" si="8"/>
        <v>336.94240605671638</v>
      </c>
      <c r="G130" s="5">
        <f t="shared" si="9"/>
        <v>0.61186636708854114</v>
      </c>
    </row>
    <row r="131" spans="1:7" ht="15.75" customHeight="1">
      <c r="A131" s="3">
        <v>21680</v>
      </c>
      <c r="B131" s="4">
        <v>34</v>
      </c>
      <c r="C131">
        <f t="shared" si="5"/>
        <v>35.506797303796873</v>
      </c>
      <c r="D131" s="8">
        <f t="shared" si="6"/>
        <v>-1.5067973037968727</v>
      </c>
      <c r="E131" s="8">
        <f t="shared" si="7"/>
        <v>1.5067973037968727</v>
      </c>
      <c r="F131" s="8">
        <f t="shared" si="8"/>
        <v>2.2704381147295249</v>
      </c>
      <c r="G131" s="5">
        <f t="shared" si="9"/>
        <v>4.4317567758731552E-2</v>
      </c>
    </row>
    <row r="132" spans="1:7" ht="15.75" customHeight="1">
      <c r="A132" s="3">
        <v>21681</v>
      </c>
      <c r="B132" s="4">
        <v>40</v>
      </c>
      <c r="C132">
        <f t="shared" ref="C132:C195" si="10">0.7*B131+0.3*C131</f>
        <v>34.452039191139058</v>
      </c>
      <c r="D132" s="8">
        <f t="shared" ref="D132:D195" si="11">B132-C132</f>
        <v>5.5479608088609424</v>
      </c>
      <c r="E132" s="8">
        <f t="shared" ref="E132:E195" si="12">ABS(D132)</f>
        <v>5.5479608088609424</v>
      </c>
      <c r="F132" s="8">
        <f t="shared" ref="F132:F195" si="13">E132^2</f>
        <v>30.779869136656963</v>
      </c>
      <c r="G132" s="5">
        <f t="shared" ref="G132:G195" si="14">E132/B132</f>
        <v>0.13869902022152356</v>
      </c>
    </row>
    <row r="133" spans="1:7" ht="15.75" customHeight="1">
      <c r="A133" s="3">
        <v>21682</v>
      </c>
      <c r="B133" s="4">
        <v>35</v>
      </c>
      <c r="C133">
        <f t="shared" si="10"/>
        <v>38.335611757341717</v>
      </c>
      <c r="D133" s="8">
        <f t="shared" si="11"/>
        <v>-3.3356117573417166</v>
      </c>
      <c r="E133" s="8">
        <f t="shared" si="12"/>
        <v>3.3356117573417166</v>
      </c>
      <c r="F133" s="8">
        <f t="shared" si="13"/>
        <v>11.126305795716295</v>
      </c>
      <c r="G133" s="5">
        <f t="shared" si="14"/>
        <v>9.5303193066906183E-2</v>
      </c>
    </row>
    <row r="134" spans="1:7" ht="15.75" customHeight="1">
      <c r="A134" s="3">
        <v>21683</v>
      </c>
      <c r="B134" s="4">
        <v>42</v>
      </c>
      <c r="C134">
        <f t="shared" si="10"/>
        <v>36.000683527202511</v>
      </c>
      <c r="D134" s="8">
        <f t="shared" si="11"/>
        <v>5.9993164727974886</v>
      </c>
      <c r="E134" s="8">
        <f t="shared" si="12"/>
        <v>5.9993164727974886</v>
      </c>
      <c r="F134" s="8">
        <f t="shared" si="13"/>
        <v>35.991798140779302</v>
      </c>
      <c r="G134" s="5">
        <f t="shared" si="14"/>
        <v>0.1428408683999402</v>
      </c>
    </row>
    <row r="135" spans="1:7" ht="15.75" customHeight="1">
      <c r="A135" s="3">
        <v>21684</v>
      </c>
      <c r="B135" s="4">
        <v>41</v>
      </c>
      <c r="C135">
        <f t="shared" si="10"/>
        <v>40.200205058160748</v>
      </c>
      <c r="D135" s="8">
        <f t="shared" si="11"/>
        <v>0.79979494183925226</v>
      </c>
      <c r="E135" s="8">
        <f t="shared" si="12"/>
        <v>0.79979494183925226</v>
      </c>
      <c r="F135" s="8">
        <f t="shared" si="13"/>
        <v>0.63967194899165292</v>
      </c>
      <c r="G135" s="5">
        <f t="shared" si="14"/>
        <v>1.9507193703396396E-2</v>
      </c>
    </row>
    <row r="136" spans="1:7" ht="15.75" customHeight="1">
      <c r="A136" s="3">
        <v>21685</v>
      </c>
      <c r="B136" s="4">
        <v>42</v>
      </c>
      <c r="C136">
        <f t="shared" si="10"/>
        <v>40.760061517448221</v>
      </c>
      <c r="D136" s="8">
        <f t="shared" si="11"/>
        <v>1.2399384825517785</v>
      </c>
      <c r="E136" s="8">
        <f t="shared" si="12"/>
        <v>1.2399384825517785</v>
      </c>
      <c r="F136" s="8">
        <f t="shared" si="13"/>
        <v>1.5374474405128071</v>
      </c>
      <c r="G136" s="5">
        <f t="shared" si="14"/>
        <v>2.9522344822661393E-2</v>
      </c>
    </row>
    <row r="137" spans="1:7" ht="15.75" customHeight="1">
      <c r="A137" s="3">
        <v>21686</v>
      </c>
      <c r="B137" s="4">
        <v>38</v>
      </c>
      <c r="C137">
        <f t="shared" si="10"/>
        <v>41.628018455234468</v>
      </c>
      <c r="D137" s="8">
        <f t="shared" si="11"/>
        <v>-3.6280184552344679</v>
      </c>
      <c r="E137" s="8">
        <f t="shared" si="12"/>
        <v>3.6280184552344679</v>
      </c>
      <c r="F137" s="8">
        <f t="shared" si="13"/>
        <v>13.162517911521894</v>
      </c>
      <c r="G137" s="5">
        <f t="shared" si="14"/>
        <v>9.5474169874591258E-2</v>
      </c>
    </row>
    <row r="138" spans="1:7" ht="15.75" customHeight="1">
      <c r="A138" s="3">
        <v>21687</v>
      </c>
      <c r="B138" s="4">
        <v>24</v>
      </c>
      <c r="C138">
        <f t="shared" si="10"/>
        <v>39.088405536570335</v>
      </c>
      <c r="D138" s="8">
        <f t="shared" si="11"/>
        <v>-15.088405536570335</v>
      </c>
      <c r="E138" s="8">
        <f t="shared" si="12"/>
        <v>15.088405536570335</v>
      </c>
      <c r="F138" s="8">
        <f t="shared" si="13"/>
        <v>227.65998163600634</v>
      </c>
      <c r="G138" s="5">
        <f t="shared" si="14"/>
        <v>0.62868356402376391</v>
      </c>
    </row>
    <row r="139" spans="1:7" ht="15.75" customHeight="1">
      <c r="A139" s="3">
        <v>21688</v>
      </c>
      <c r="B139" s="4">
        <v>34</v>
      </c>
      <c r="C139">
        <f t="shared" si="10"/>
        <v>28.526521660971099</v>
      </c>
      <c r="D139" s="8">
        <f t="shared" si="11"/>
        <v>5.473478339028901</v>
      </c>
      <c r="E139" s="8">
        <f t="shared" si="12"/>
        <v>5.473478339028901</v>
      </c>
      <c r="F139" s="8">
        <f t="shared" si="13"/>
        <v>29.958965127818576</v>
      </c>
      <c r="G139" s="5">
        <f t="shared" si="14"/>
        <v>0.1609846570302618</v>
      </c>
    </row>
    <row r="140" spans="1:7" ht="15.75" customHeight="1">
      <c r="A140" s="3">
        <v>21689</v>
      </c>
      <c r="B140" s="4">
        <v>43</v>
      </c>
      <c r="C140">
        <f t="shared" si="10"/>
        <v>32.35795649829133</v>
      </c>
      <c r="D140" s="8">
        <f t="shared" si="11"/>
        <v>10.64204350170867</v>
      </c>
      <c r="E140" s="8">
        <f t="shared" si="12"/>
        <v>10.64204350170867</v>
      </c>
      <c r="F140" s="8">
        <f t="shared" si="13"/>
        <v>113.25308989225974</v>
      </c>
      <c r="G140" s="5">
        <f t="shared" si="14"/>
        <v>0.24748938376066676</v>
      </c>
    </row>
    <row r="141" spans="1:7" ht="15.75" customHeight="1">
      <c r="A141" s="3">
        <v>21690</v>
      </c>
      <c r="B141" s="4">
        <v>36</v>
      </c>
      <c r="C141">
        <f t="shared" si="10"/>
        <v>39.807386949487395</v>
      </c>
      <c r="D141" s="8">
        <f t="shared" si="11"/>
        <v>-3.8073869494873946</v>
      </c>
      <c r="E141" s="8">
        <f t="shared" si="12"/>
        <v>3.8073869494873946</v>
      </c>
      <c r="F141" s="8">
        <f t="shared" si="13"/>
        <v>14.496195383126929</v>
      </c>
      <c r="G141" s="5">
        <f t="shared" si="14"/>
        <v>0.10576074859687207</v>
      </c>
    </row>
    <row r="142" spans="1:7" ht="15.75" customHeight="1">
      <c r="A142" s="3">
        <v>21691</v>
      </c>
      <c r="B142" s="4">
        <v>55</v>
      </c>
      <c r="C142">
        <f t="shared" si="10"/>
        <v>37.142216084846218</v>
      </c>
      <c r="D142" s="8">
        <f t="shared" si="11"/>
        <v>17.857783915153782</v>
      </c>
      <c r="E142" s="8">
        <f t="shared" si="12"/>
        <v>17.857783915153782</v>
      </c>
      <c r="F142" s="8">
        <f t="shared" si="13"/>
        <v>318.90044636032513</v>
      </c>
      <c r="G142" s="5">
        <f t="shared" si="14"/>
        <v>0.32468698027552328</v>
      </c>
    </row>
    <row r="143" spans="1:7" ht="15.75" customHeight="1">
      <c r="A143" s="3">
        <v>21692</v>
      </c>
      <c r="B143" s="4">
        <v>41</v>
      </c>
      <c r="C143">
        <f t="shared" si="10"/>
        <v>49.642664825453863</v>
      </c>
      <c r="D143" s="8">
        <f t="shared" si="11"/>
        <v>-8.6426648254538634</v>
      </c>
      <c r="E143" s="8">
        <f t="shared" si="12"/>
        <v>8.6426648254538634</v>
      </c>
      <c r="F143" s="8">
        <f t="shared" si="13"/>
        <v>74.695655285137462</v>
      </c>
      <c r="G143" s="5">
        <f t="shared" si="14"/>
        <v>0.21079670305985032</v>
      </c>
    </row>
    <row r="144" spans="1:7" ht="15.75" customHeight="1">
      <c r="A144" s="3">
        <v>21693</v>
      </c>
      <c r="B144" s="4">
        <v>45</v>
      </c>
      <c r="C144">
        <f t="shared" si="10"/>
        <v>43.592799447636153</v>
      </c>
      <c r="D144" s="8">
        <f t="shared" si="11"/>
        <v>1.4072005523638467</v>
      </c>
      <c r="E144" s="8">
        <f t="shared" si="12"/>
        <v>1.4072005523638467</v>
      </c>
      <c r="F144" s="8">
        <f t="shared" si="13"/>
        <v>1.9802133945731151</v>
      </c>
      <c r="G144" s="5">
        <f t="shared" si="14"/>
        <v>3.1271123385863256E-2</v>
      </c>
    </row>
    <row r="145" spans="1:7" ht="15.75" customHeight="1">
      <c r="A145" s="3">
        <v>21694</v>
      </c>
      <c r="B145" s="4">
        <v>41</v>
      </c>
      <c r="C145">
        <f t="shared" si="10"/>
        <v>44.577839834290842</v>
      </c>
      <c r="D145" s="8">
        <f t="shared" si="11"/>
        <v>-3.5778398342908417</v>
      </c>
      <c r="E145" s="8">
        <f t="shared" si="12"/>
        <v>3.5778398342908417</v>
      </c>
      <c r="F145" s="8">
        <f t="shared" si="13"/>
        <v>12.800937879838317</v>
      </c>
      <c r="G145" s="5">
        <f t="shared" si="14"/>
        <v>8.7264386202215646E-2</v>
      </c>
    </row>
    <row r="146" spans="1:7" ht="15.75" customHeight="1">
      <c r="A146" s="3">
        <v>21695</v>
      </c>
      <c r="B146" s="4">
        <v>37</v>
      </c>
      <c r="C146">
        <f t="shared" si="10"/>
        <v>42.073351950287254</v>
      </c>
      <c r="D146" s="8">
        <f t="shared" si="11"/>
        <v>-5.0733519502872539</v>
      </c>
      <c r="E146" s="8">
        <f t="shared" si="12"/>
        <v>5.0733519502872539</v>
      </c>
      <c r="F146" s="8">
        <f t="shared" si="13"/>
        <v>25.738900011483484</v>
      </c>
      <c r="G146" s="5">
        <f t="shared" si="14"/>
        <v>0.1371176202780339</v>
      </c>
    </row>
    <row r="147" spans="1:7" ht="15.75" customHeight="1">
      <c r="A147" s="3">
        <v>21696</v>
      </c>
      <c r="B147" s="4">
        <v>43</v>
      </c>
      <c r="C147">
        <f t="shared" si="10"/>
        <v>38.522005585086177</v>
      </c>
      <c r="D147" s="8">
        <f t="shared" si="11"/>
        <v>4.4779944149138231</v>
      </c>
      <c r="E147" s="8">
        <f t="shared" si="12"/>
        <v>4.4779944149138231</v>
      </c>
      <c r="F147" s="8">
        <f t="shared" si="13"/>
        <v>20.052433979999392</v>
      </c>
      <c r="G147" s="5">
        <f t="shared" si="14"/>
        <v>0.10413940499799589</v>
      </c>
    </row>
    <row r="148" spans="1:7" ht="15.75" customHeight="1">
      <c r="A148" s="3">
        <v>21697</v>
      </c>
      <c r="B148" s="4">
        <v>39</v>
      </c>
      <c r="C148">
        <f t="shared" si="10"/>
        <v>41.656601675525849</v>
      </c>
      <c r="D148" s="8">
        <f t="shared" si="11"/>
        <v>-2.6566016755258488</v>
      </c>
      <c r="E148" s="8">
        <f t="shared" si="12"/>
        <v>2.6566016755258488</v>
      </c>
      <c r="F148" s="8">
        <f t="shared" si="13"/>
        <v>7.0575324624067477</v>
      </c>
      <c r="G148" s="5">
        <f t="shared" si="14"/>
        <v>6.8117991680149967E-2</v>
      </c>
    </row>
    <row r="149" spans="1:7" ht="15.75" customHeight="1">
      <c r="A149" s="3">
        <v>21698</v>
      </c>
      <c r="B149" s="4">
        <v>33</v>
      </c>
      <c r="C149">
        <f t="shared" si="10"/>
        <v>39.796980502657753</v>
      </c>
      <c r="D149" s="8">
        <f t="shared" si="11"/>
        <v>-6.7969805026577532</v>
      </c>
      <c r="E149" s="8">
        <f t="shared" si="12"/>
        <v>6.7969805026577532</v>
      </c>
      <c r="F149" s="8">
        <f t="shared" si="13"/>
        <v>46.198943953509641</v>
      </c>
      <c r="G149" s="5">
        <f t="shared" si="14"/>
        <v>0.20596910614114403</v>
      </c>
    </row>
    <row r="150" spans="1:7" ht="15.75" customHeight="1">
      <c r="A150" s="3">
        <v>21699</v>
      </c>
      <c r="B150" s="4">
        <v>43</v>
      </c>
      <c r="C150">
        <f t="shared" si="10"/>
        <v>35.039094150797325</v>
      </c>
      <c r="D150" s="8">
        <f t="shared" si="11"/>
        <v>7.9609058492026747</v>
      </c>
      <c r="E150" s="8">
        <f t="shared" si="12"/>
        <v>7.9609058492026747</v>
      </c>
      <c r="F150" s="8">
        <f t="shared" si="13"/>
        <v>63.376021939869361</v>
      </c>
      <c r="G150" s="5">
        <f t="shared" si="14"/>
        <v>0.18513734533029477</v>
      </c>
    </row>
    <row r="151" spans="1:7" ht="15.75" customHeight="1">
      <c r="A151" s="3">
        <v>21700</v>
      </c>
      <c r="B151" s="4">
        <v>40</v>
      </c>
      <c r="C151">
        <f t="shared" si="10"/>
        <v>40.611728245239192</v>
      </c>
      <c r="D151" s="8">
        <f t="shared" si="11"/>
        <v>-0.61172824523919189</v>
      </c>
      <c r="E151" s="8">
        <f t="shared" si="12"/>
        <v>0.61172824523919189</v>
      </c>
      <c r="F151" s="8">
        <f t="shared" si="13"/>
        <v>0.37421144602342088</v>
      </c>
      <c r="G151" s="5">
        <f t="shared" si="14"/>
        <v>1.5293206130979797E-2</v>
      </c>
    </row>
    <row r="152" spans="1:7" ht="15.75" customHeight="1">
      <c r="A152" s="3">
        <v>21701</v>
      </c>
      <c r="B152" s="4">
        <v>38</v>
      </c>
      <c r="C152">
        <f t="shared" si="10"/>
        <v>40.183518473571759</v>
      </c>
      <c r="D152" s="8">
        <f t="shared" si="11"/>
        <v>-2.183518473571759</v>
      </c>
      <c r="E152" s="8">
        <f t="shared" si="12"/>
        <v>2.183518473571759</v>
      </c>
      <c r="F152" s="8">
        <f t="shared" si="13"/>
        <v>4.7677529244291446</v>
      </c>
      <c r="G152" s="5">
        <f t="shared" si="14"/>
        <v>5.746101246241471E-2</v>
      </c>
    </row>
    <row r="153" spans="1:7" ht="15.75" customHeight="1">
      <c r="A153" s="3">
        <v>21702</v>
      </c>
      <c r="B153" s="4">
        <v>45</v>
      </c>
      <c r="C153">
        <f t="shared" si="10"/>
        <v>38.655055542071523</v>
      </c>
      <c r="D153" s="8">
        <f t="shared" si="11"/>
        <v>6.3449444579284773</v>
      </c>
      <c r="E153" s="8">
        <f t="shared" si="12"/>
        <v>6.3449444579284773</v>
      </c>
      <c r="F153" s="8">
        <f t="shared" si="13"/>
        <v>40.258320174197301</v>
      </c>
      <c r="G153" s="5">
        <f t="shared" si="14"/>
        <v>0.14099876573174394</v>
      </c>
    </row>
    <row r="154" spans="1:7" ht="15.75" customHeight="1">
      <c r="A154" s="3">
        <v>21703</v>
      </c>
      <c r="B154" s="4">
        <v>46</v>
      </c>
      <c r="C154">
        <f t="shared" si="10"/>
        <v>43.096516662621454</v>
      </c>
      <c r="D154" s="8">
        <f t="shared" si="11"/>
        <v>2.903483337378546</v>
      </c>
      <c r="E154" s="8">
        <f t="shared" si="12"/>
        <v>2.903483337378546</v>
      </c>
      <c r="F154" s="8">
        <f t="shared" si="13"/>
        <v>8.4302154904348594</v>
      </c>
      <c r="G154" s="5">
        <f t="shared" si="14"/>
        <v>6.3119202986490125E-2</v>
      </c>
    </row>
    <row r="155" spans="1:7" ht="15.75" customHeight="1">
      <c r="A155" s="3">
        <v>21704</v>
      </c>
      <c r="B155" s="4">
        <v>34</v>
      </c>
      <c r="C155">
        <f t="shared" si="10"/>
        <v>45.128954998786433</v>
      </c>
      <c r="D155" s="8">
        <f t="shared" si="11"/>
        <v>-11.128954998786433</v>
      </c>
      <c r="E155" s="8">
        <f t="shared" si="12"/>
        <v>11.128954998786433</v>
      </c>
      <c r="F155" s="8">
        <f t="shared" si="13"/>
        <v>123.85363936501355</v>
      </c>
      <c r="G155" s="5">
        <f t="shared" si="14"/>
        <v>0.32732220584665983</v>
      </c>
    </row>
    <row r="156" spans="1:7" ht="15.75" customHeight="1">
      <c r="A156" s="3">
        <v>21705</v>
      </c>
      <c r="B156" s="4">
        <v>35</v>
      </c>
      <c r="C156">
        <f t="shared" si="10"/>
        <v>37.338686499635926</v>
      </c>
      <c r="D156" s="8">
        <f t="shared" si="11"/>
        <v>-2.3386864996359265</v>
      </c>
      <c r="E156" s="8">
        <f t="shared" si="12"/>
        <v>2.3386864996359265</v>
      </c>
      <c r="F156" s="8">
        <f t="shared" si="13"/>
        <v>5.4694545435793422</v>
      </c>
      <c r="G156" s="5">
        <f t="shared" si="14"/>
        <v>6.6819614275312189E-2</v>
      </c>
    </row>
    <row r="157" spans="1:7" ht="15.75" customHeight="1">
      <c r="A157" s="3">
        <v>21706</v>
      </c>
      <c r="B157" s="4">
        <v>48</v>
      </c>
      <c r="C157">
        <f t="shared" si="10"/>
        <v>35.701605949890777</v>
      </c>
      <c r="D157" s="8">
        <f t="shared" si="11"/>
        <v>12.298394050109223</v>
      </c>
      <c r="E157" s="8">
        <f t="shared" si="12"/>
        <v>12.298394050109223</v>
      </c>
      <c r="F157" s="8">
        <f t="shared" si="13"/>
        <v>151.25049621176194</v>
      </c>
      <c r="G157" s="5">
        <f t="shared" si="14"/>
        <v>0.25621654271060884</v>
      </c>
    </row>
    <row r="158" spans="1:7" ht="15.75" customHeight="1">
      <c r="A158" s="3">
        <v>21707</v>
      </c>
      <c r="B158" s="4">
        <v>51</v>
      </c>
      <c r="C158">
        <f t="shared" si="10"/>
        <v>44.310481784967223</v>
      </c>
      <c r="D158" s="8">
        <f t="shared" si="11"/>
        <v>6.689518215032777</v>
      </c>
      <c r="E158" s="8">
        <f t="shared" si="12"/>
        <v>6.689518215032777</v>
      </c>
      <c r="F158" s="8">
        <f t="shared" si="13"/>
        <v>44.749653949255311</v>
      </c>
      <c r="G158" s="5">
        <f t="shared" si="14"/>
        <v>0.13116702382417209</v>
      </c>
    </row>
    <row r="159" spans="1:7" ht="15.75" customHeight="1">
      <c r="A159" s="3">
        <v>21708</v>
      </c>
      <c r="B159" s="4">
        <v>36</v>
      </c>
      <c r="C159">
        <f t="shared" si="10"/>
        <v>48.99314453549016</v>
      </c>
      <c r="D159" s="8">
        <f t="shared" si="11"/>
        <v>-12.99314453549016</v>
      </c>
      <c r="E159" s="8">
        <f t="shared" si="12"/>
        <v>12.99314453549016</v>
      </c>
      <c r="F159" s="8">
        <f t="shared" si="13"/>
        <v>168.82180492013779</v>
      </c>
      <c r="G159" s="5">
        <f t="shared" si="14"/>
        <v>0.36092068154139334</v>
      </c>
    </row>
    <row r="160" spans="1:7" ht="15.75" customHeight="1">
      <c r="A160" s="3">
        <v>21709</v>
      </c>
      <c r="B160" s="4">
        <v>33</v>
      </c>
      <c r="C160">
        <f t="shared" si="10"/>
        <v>39.897943360647048</v>
      </c>
      <c r="D160" s="8">
        <f t="shared" si="11"/>
        <v>-6.8979433606470479</v>
      </c>
      <c r="E160" s="8">
        <f t="shared" si="12"/>
        <v>6.8979433606470479</v>
      </c>
      <c r="F160" s="8">
        <f t="shared" si="13"/>
        <v>47.581622606694687</v>
      </c>
      <c r="G160" s="5">
        <f t="shared" si="14"/>
        <v>0.20902858668627419</v>
      </c>
    </row>
    <row r="161" spans="1:7" ht="15.75" customHeight="1">
      <c r="A161" s="3">
        <v>21710</v>
      </c>
      <c r="B161" s="4">
        <v>46</v>
      </c>
      <c r="C161">
        <f t="shared" si="10"/>
        <v>35.069383008194109</v>
      </c>
      <c r="D161" s="8">
        <f t="shared" si="11"/>
        <v>10.930616991805891</v>
      </c>
      <c r="E161" s="8">
        <f t="shared" si="12"/>
        <v>10.930616991805891</v>
      </c>
      <c r="F161" s="8">
        <f t="shared" si="13"/>
        <v>119.47838782155567</v>
      </c>
      <c r="G161" s="5">
        <f t="shared" si="14"/>
        <v>0.23762210851751939</v>
      </c>
    </row>
    <row r="162" spans="1:7" ht="15.75" customHeight="1">
      <c r="A162" s="3">
        <v>21711</v>
      </c>
      <c r="B162" s="4">
        <v>42</v>
      </c>
      <c r="C162">
        <f t="shared" si="10"/>
        <v>42.72081490245823</v>
      </c>
      <c r="D162" s="8">
        <f t="shared" si="11"/>
        <v>-0.72081490245822977</v>
      </c>
      <c r="E162" s="8">
        <f t="shared" si="12"/>
        <v>0.72081490245822977</v>
      </c>
      <c r="F162" s="8">
        <f t="shared" si="13"/>
        <v>0.5195741236058673</v>
      </c>
      <c r="G162" s="5">
        <f t="shared" si="14"/>
        <v>1.7162259582338805E-2</v>
      </c>
    </row>
    <row r="163" spans="1:7" ht="15.75" customHeight="1">
      <c r="A163" s="3">
        <v>21712</v>
      </c>
      <c r="B163" s="4">
        <v>48</v>
      </c>
      <c r="C163">
        <f t="shared" si="10"/>
        <v>42.216244470737465</v>
      </c>
      <c r="D163" s="8">
        <f t="shared" si="11"/>
        <v>5.7837555292625353</v>
      </c>
      <c r="E163" s="8">
        <f t="shared" si="12"/>
        <v>5.7837555292625353</v>
      </c>
      <c r="F163" s="8">
        <f t="shared" si="13"/>
        <v>33.451828022274952</v>
      </c>
      <c r="G163" s="5">
        <f t="shared" si="14"/>
        <v>0.12049490685963615</v>
      </c>
    </row>
    <row r="164" spans="1:7" ht="15.75" customHeight="1">
      <c r="A164" s="3">
        <v>21713</v>
      </c>
      <c r="B164" s="4">
        <v>34</v>
      </c>
      <c r="C164">
        <f t="shared" si="10"/>
        <v>46.264873341221232</v>
      </c>
      <c r="D164" s="8">
        <f t="shared" si="11"/>
        <v>-12.264873341221232</v>
      </c>
      <c r="E164" s="8">
        <f t="shared" si="12"/>
        <v>12.264873341221232</v>
      </c>
      <c r="F164" s="8">
        <f t="shared" si="13"/>
        <v>150.42711807619926</v>
      </c>
      <c r="G164" s="5">
        <f t="shared" si="14"/>
        <v>0.36073156885944802</v>
      </c>
    </row>
    <row r="165" spans="1:7" ht="15.75" customHeight="1">
      <c r="A165" s="3">
        <v>21714</v>
      </c>
      <c r="B165" s="4">
        <v>41</v>
      </c>
      <c r="C165">
        <f t="shared" si="10"/>
        <v>37.679462002366364</v>
      </c>
      <c r="D165" s="8">
        <f t="shared" si="11"/>
        <v>3.320537997633636</v>
      </c>
      <c r="E165" s="8">
        <f t="shared" si="12"/>
        <v>3.320537997633636</v>
      </c>
      <c r="F165" s="8">
        <f t="shared" si="13"/>
        <v>11.025972593728797</v>
      </c>
      <c r="G165" s="5">
        <f t="shared" si="14"/>
        <v>8.0988731649600881E-2</v>
      </c>
    </row>
    <row r="166" spans="1:7" ht="15.75" customHeight="1">
      <c r="A166" s="3">
        <v>21715</v>
      </c>
      <c r="B166" s="4">
        <v>35</v>
      </c>
      <c r="C166">
        <f t="shared" si="10"/>
        <v>40.003838600709912</v>
      </c>
      <c r="D166" s="8">
        <f t="shared" si="11"/>
        <v>-5.003838600709912</v>
      </c>
      <c r="E166" s="8">
        <f t="shared" si="12"/>
        <v>5.003838600709912</v>
      </c>
      <c r="F166" s="8">
        <f t="shared" si="13"/>
        <v>25.038400741954529</v>
      </c>
      <c r="G166" s="5">
        <f t="shared" si="14"/>
        <v>0.14296681716314033</v>
      </c>
    </row>
    <row r="167" spans="1:7" ht="15.75" customHeight="1">
      <c r="A167" s="3">
        <v>21716</v>
      </c>
      <c r="B167" s="4">
        <v>40</v>
      </c>
      <c r="C167">
        <f t="shared" si="10"/>
        <v>36.501151580212976</v>
      </c>
      <c r="D167" s="8">
        <f t="shared" si="11"/>
        <v>3.4988484197870235</v>
      </c>
      <c r="E167" s="8">
        <f t="shared" si="12"/>
        <v>3.4988484197870235</v>
      </c>
      <c r="F167" s="8">
        <f t="shared" si="13"/>
        <v>12.241940264646152</v>
      </c>
      <c r="G167" s="5">
        <f t="shared" si="14"/>
        <v>8.7471210494675586E-2</v>
      </c>
    </row>
    <row r="168" spans="1:7" ht="15.75" customHeight="1">
      <c r="A168" s="3">
        <v>21717</v>
      </c>
      <c r="B168" s="4">
        <v>34</v>
      </c>
      <c r="C168">
        <f t="shared" si="10"/>
        <v>38.950345474063894</v>
      </c>
      <c r="D168" s="8">
        <f t="shared" si="11"/>
        <v>-4.9503454740638944</v>
      </c>
      <c r="E168" s="8">
        <f t="shared" si="12"/>
        <v>4.9503454740638944</v>
      </c>
      <c r="F168" s="8">
        <f t="shared" si="13"/>
        <v>24.505920312584884</v>
      </c>
      <c r="G168" s="5">
        <f t="shared" si="14"/>
        <v>0.14559839629599688</v>
      </c>
    </row>
    <row r="169" spans="1:7" ht="15.75" customHeight="1">
      <c r="A169" s="3">
        <v>21718</v>
      </c>
      <c r="B169" s="4">
        <v>30</v>
      </c>
      <c r="C169">
        <f t="shared" si="10"/>
        <v>35.485103642219165</v>
      </c>
      <c r="D169" s="8">
        <f t="shared" si="11"/>
        <v>-5.4851036422191655</v>
      </c>
      <c r="E169" s="8">
        <f t="shared" si="12"/>
        <v>5.4851036422191655</v>
      </c>
      <c r="F169" s="8">
        <f t="shared" si="13"/>
        <v>30.086361965885956</v>
      </c>
      <c r="G169" s="5">
        <f t="shared" si="14"/>
        <v>0.18283678807397219</v>
      </c>
    </row>
    <row r="170" spans="1:7" ht="15.75" customHeight="1">
      <c r="A170" s="3">
        <v>21719</v>
      </c>
      <c r="B170" s="4">
        <v>36</v>
      </c>
      <c r="C170">
        <f t="shared" si="10"/>
        <v>31.645531092665749</v>
      </c>
      <c r="D170" s="8">
        <f t="shared" si="11"/>
        <v>4.3544689073342511</v>
      </c>
      <c r="E170" s="8">
        <f t="shared" si="12"/>
        <v>4.3544689073342511</v>
      </c>
      <c r="F170" s="8">
        <f t="shared" si="13"/>
        <v>18.961399464940747</v>
      </c>
      <c r="G170" s="5">
        <f t="shared" si="14"/>
        <v>0.12095746964817364</v>
      </c>
    </row>
    <row r="171" spans="1:7" ht="15.75" customHeight="1">
      <c r="A171" s="3">
        <v>21720</v>
      </c>
      <c r="B171" s="4">
        <v>40</v>
      </c>
      <c r="C171">
        <f t="shared" si="10"/>
        <v>34.693659327799722</v>
      </c>
      <c r="D171" s="8">
        <f t="shared" si="11"/>
        <v>5.3063406722002782</v>
      </c>
      <c r="E171" s="8">
        <f t="shared" si="12"/>
        <v>5.3063406722002782</v>
      </c>
      <c r="F171" s="8">
        <f t="shared" si="13"/>
        <v>28.1572513294469</v>
      </c>
      <c r="G171" s="5">
        <f t="shared" si="14"/>
        <v>0.13265851680500695</v>
      </c>
    </row>
    <row r="172" spans="1:7" ht="15.75" customHeight="1">
      <c r="A172" s="3">
        <v>21721</v>
      </c>
      <c r="B172" s="4">
        <v>39</v>
      </c>
      <c r="C172">
        <f t="shared" si="10"/>
        <v>38.408097798339917</v>
      </c>
      <c r="D172" s="8">
        <f t="shared" si="11"/>
        <v>0.59190220166008345</v>
      </c>
      <c r="E172" s="8">
        <f t="shared" si="12"/>
        <v>0.59190220166008345</v>
      </c>
      <c r="F172" s="8">
        <f t="shared" si="13"/>
        <v>0.35034821633005409</v>
      </c>
      <c r="G172" s="5">
        <f t="shared" si="14"/>
        <v>1.517697952974573E-2</v>
      </c>
    </row>
    <row r="173" spans="1:7" ht="15.75" customHeight="1">
      <c r="A173" s="3">
        <v>21722</v>
      </c>
      <c r="B173" s="4">
        <v>45</v>
      </c>
      <c r="C173">
        <f t="shared" si="10"/>
        <v>38.822429339501973</v>
      </c>
      <c r="D173" s="8">
        <f t="shared" si="11"/>
        <v>6.1775706604980272</v>
      </c>
      <c r="E173" s="8">
        <f t="shared" si="12"/>
        <v>6.1775706604980272</v>
      </c>
      <c r="F173" s="8">
        <f t="shared" si="13"/>
        <v>38.162379265446035</v>
      </c>
      <c r="G173" s="5">
        <f t="shared" si="14"/>
        <v>0.13727934801106728</v>
      </c>
    </row>
    <row r="174" spans="1:7" ht="15.75" customHeight="1">
      <c r="A174" s="3">
        <v>21723</v>
      </c>
      <c r="B174" s="4">
        <v>38</v>
      </c>
      <c r="C174">
        <f t="shared" si="10"/>
        <v>43.146728801850585</v>
      </c>
      <c r="D174" s="8">
        <f t="shared" si="11"/>
        <v>-5.1467288018505855</v>
      </c>
      <c r="E174" s="8">
        <f t="shared" si="12"/>
        <v>5.1467288018505855</v>
      </c>
      <c r="F174" s="8">
        <f t="shared" si="13"/>
        <v>26.488817359798364</v>
      </c>
      <c r="G174" s="5">
        <f t="shared" si="14"/>
        <v>0.13544023162764698</v>
      </c>
    </row>
    <row r="175" spans="1:7" ht="15.75" customHeight="1">
      <c r="A175" s="3">
        <v>21724</v>
      </c>
      <c r="B175" s="4">
        <v>47</v>
      </c>
      <c r="C175">
        <f t="shared" si="10"/>
        <v>39.544018640555173</v>
      </c>
      <c r="D175" s="8">
        <f t="shared" si="11"/>
        <v>7.4559813594448272</v>
      </c>
      <c r="E175" s="8">
        <f t="shared" si="12"/>
        <v>7.4559813594448272</v>
      </c>
      <c r="F175" s="8">
        <f t="shared" si="13"/>
        <v>55.591658032388736</v>
      </c>
      <c r="G175" s="5">
        <f t="shared" si="14"/>
        <v>0.15863790126478355</v>
      </c>
    </row>
    <row r="176" spans="1:7" ht="15.75" customHeight="1">
      <c r="A176" s="3">
        <v>21725</v>
      </c>
      <c r="B176" s="4">
        <v>33</v>
      </c>
      <c r="C176">
        <f t="shared" si="10"/>
        <v>44.76320559216655</v>
      </c>
      <c r="D176" s="8">
        <f t="shared" si="11"/>
        <v>-11.76320559216655</v>
      </c>
      <c r="E176" s="8">
        <f t="shared" si="12"/>
        <v>11.76320559216655</v>
      </c>
      <c r="F176" s="8">
        <f t="shared" si="13"/>
        <v>138.37300580357839</v>
      </c>
      <c r="G176" s="5">
        <f t="shared" si="14"/>
        <v>0.3564607755201985</v>
      </c>
    </row>
    <row r="177" spans="1:7" ht="15.75" customHeight="1">
      <c r="A177" s="3">
        <v>21726</v>
      </c>
      <c r="B177" s="4">
        <v>30</v>
      </c>
      <c r="C177">
        <f t="shared" si="10"/>
        <v>36.52896167764996</v>
      </c>
      <c r="D177" s="8">
        <f t="shared" si="11"/>
        <v>-6.5289616776499599</v>
      </c>
      <c r="E177" s="8">
        <f t="shared" si="12"/>
        <v>6.5289616776499599</v>
      </c>
      <c r="F177" s="8">
        <f t="shared" si="13"/>
        <v>42.627340588221777</v>
      </c>
      <c r="G177" s="5">
        <f t="shared" si="14"/>
        <v>0.21763205592166532</v>
      </c>
    </row>
    <row r="178" spans="1:7" ht="15.75" customHeight="1">
      <c r="A178" s="3">
        <v>21727</v>
      </c>
      <c r="B178" s="4">
        <v>42</v>
      </c>
      <c r="C178">
        <f t="shared" si="10"/>
        <v>31.958688503294987</v>
      </c>
      <c r="D178" s="8">
        <f t="shared" si="11"/>
        <v>10.041311496705013</v>
      </c>
      <c r="E178" s="8">
        <f t="shared" si="12"/>
        <v>10.041311496705013</v>
      </c>
      <c r="F178" s="8">
        <f t="shared" si="13"/>
        <v>100.82793657386027</v>
      </c>
      <c r="G178" s="5">
        <f t="shared" si="14"/>
        <v>0.23907884515964317</v>
      </c>
    </row>
    <row r="179" spans="1:7" ht="15.75" customHeight="1">
      <c r="A179" s="3">
        <v>21728</v>
      </c>
      <c r="B179" s="4">
        <v>43</v>
      </c>
      <c r="C179">
        <f t="shared" si="10"/>
        <v>38.987606550988495</v>
      </c>
      <c r="D179" s="8">
        <f t="shared" si="11"/>
        <v>4.0123934490115047</v>
      </c>
      <c r="E179" s="8">
        <f t="shared" si="12"/>
        <v>4.0123934490115047</v>
      </c>
      <c r="F179" s="8">
        <f t="shared" si="13"/>
        <v>16.099301189670438</v>
      </c>
      <c r="G179" s="5">
        <f t="shared" si="14"/>
        <v>9.3311475558407089E-2</v>
      </c>
    </row>
    <row r="180" spans="1:7" ht="15.75" customHeight="1">
      <c r="A180" s="3">
        <v>21729</v>
      </c>
      <c r="B180" s="4">
        <v>41</v>
      </c>
      <c r="C180">
        <f t="shared" si="10"/>
        <v>41.796281965296544</v>
      </c>
      <c r="D180" s="8">
        <f t="shared" si="11"/>
        <v>-0.7962819652965436</v>
      </c>
      <c r="E180" s="8">
        <f t="shared" si="12"/>
        <v>0.7962819652965436</v>
      </c>
      <c r="F180" s="8">
        <f t="shared" si="13"/>
        <v>0.63406496825652592</v>
      </c>
      <c r="G180" s="5">
        <f t="shared" si="14"/>
        <v>1.9421511348696185E-2</v>
      </c>
    </row>
    <row r="181" spans="1:7" ht="15.75" customHeight="1">
      <c r="A181" s="3">
        <v>21730</v>
      </c>
      <c r="B181" s="4">
        <v>41</v>
      </c>
      <c r="C181">
        <f t="shared" si="10"/>
        <v>41.238884589588963</v>
      </c>
      <c r="D181" s="8">
        <f t="shared" si="11"/>
        <v>-0.23888458958896308</v>
      </c>
      <c r="E181" s="8">
        <f t="shared" si="12"/>
        <v>0.23888458958896308</v>
      </c>
      <c r="F181" s="8">
        <f t="shared" si="13"/>
        <v>5.706584714308733E-2</v>
      </c>
      <c r="G181" s="5">
        <f t="shared" si="14"/>
        <v>5.8264534046088556E-3</v>
      </c>
    </row>
    <row r="182" spans="1:7" ht="15.75" customHeight="1">
      <c r="A182" s="3">
        <v>21731</v>
      </c>
      <c r="B182" s="4">
        <v>59</v>
      </c>
      <c r="C182">
        <f t="shared" si="10"/>
        <v>41.071665376876688</v>
      </c>
      <c r="D182" s="8">
        <f t="shared" si="11"/>
        <v>17.928334623123312</v>
      </c>
      <c r="E182" s="8">
        <f t="shared" si="12"/>
        <v>17.928334623123312</v>
      </c>
      <c r="F182" s="8">
        <f t="shared" si="13"/>
        <v>321.42518235868215</v>
      </c>
      <c r="G182" s="5">
        <f t="shared" si="14"/>
        <v>0.30387007835802227</v>
      </c>
    </row>
    <row r="183" spans="1:7" ht="15.75" customHeight="1">
      <c r="A183" s="3">
        <v>21732</v>
      </c>
      <c r="B183" s="4">
        <v>43</v>
      </c>
      <c r="C183">
        <f t="shared" si="10"/>
        <v>53.621499613063001</v>
      </c>
      <c r="D183" s="8">
        <f t="shared" si="11"/>
        <v>-10.621499613063001</v>
      </c>
      <c r="E183" s="8">
        <f t="shared" si="12"/>
        <v>10.621499613063001</v>
      </c>
      <c r="F183" s="8">
        <f t="shared" si="13"/>
        <v>112.81625403029749</v>
      </c>
      <c r="G183" s="5">
        <f t="shared" si="14"/>
        <v>0.24701161890844189</v>
      </c>
    </row>
    <row r="184" spans="1:7" ht="15.75" customHeight="1">
      <c r="A184" s="3">
        <v>21733</v>
      </c>
      <c r="B184" s="4">
        <v>45</v>
      </c>
      <c r="C184">
        <f t="shared" si="10"/>
        <v>46.186449883918897</v>
      </c>
      <c r="D184" s="8">
        <f t="shared" si="11"/>
        <v>-1.1864498839188968</v>
      </c>
      <c r="E184" s="8">
        <f t="shared" si="12"/>
        <v>1.1864498839188968</v>
      </c>
      <c r="F184" s="8">
        <f t="shared" si="13"/>
        <v>1.4076633270511638</v>
      </c>
      <c r="G184" s="5">
        <f t="shared" si="14"/>
        <v>2.6365552975975485E-2</v>
      </c>
    </row>
    <row r="185" spans="1:7" ht="15.75" customHeight="1">
      <c r="A185" s="3">
        <v>21734</v>
      </c>
      <c r="B185" s="4">
        <v>38</v>
      </c>
      <c r="C185">
        <f t="shared" si="10"/>
        <v>45.355934965175663</v>
      </c>
      <c r="D185" s="8">
        <f t="shared" si="11"/>
        <v>-7.3559349651756634</v>
      </c>
      <c r="E185" s="8">
        <f t="shared" si="12"/>
        <v>7.3559349651756634</v>
      </c>
      <c r="F185" s="8">
        <f t="shared" si="13"/>
        <v>54.109779211893887</v>
      </c>
      <c r="G185" s="5">
        <f t="shared" si="14"/>
        <v>0.19357723592567536</v>
      </c>
    </row>
    <row r="186" spans="1:7" ht="15.75" customHeight="1">
      <c r="A186" s="3">
        <v>21735</v>
      </c>
      <c r="B186" s="4">
        <v>37</v>
      </c>
      <c r="C186">
        <f t="shared" si="10"/>
        <v>40.206780489552699</v>
      </c>
      <c r="D186" s="8">
        <f t="shared" si="11"/>
        <v>-3.206780489552699</v>
      </c>
      <c r="E186" s="8">
        <f t="shared" si="12"/>
        <v>3.206780489552699</v>
      </c>
      <c r="F186" s="8">
        <f t="shared" si="13"/>
        <v>10.283441108175849</v>
      </c>
      <c r="G186" s="5">
        <f t="shared" si="14"/>
        <v>8.6669742960883756E-2</v>
      </c>
    </row>
    <row r="187" spans="1:7" ht="15.75" customHeight="1">
      <c r="A187" s="3">
        <v>21736</v>
      </c>
      <c r="B187" s="4">
        <v>45</v>
      </c>
      <c r="C187">
        <f t="shared" si="10"/>
        <v>37.962034146865804</v>
      </c>
      <c r="D187" s="8">
        <f t="shared" si="11"/>
        <v>7.037965853134196</v>
      </c>
      <c r="E187" s="8">
        <f t="shared" si="12"/>
        <v>7.037965853134196</v>
      </c>
      <c r="F187" s="8">
        <f t="shared" si="13"/>
        <v>49.532963349882948</v>
      </c>
      <c r="G187" s="5">
        <f t="shared" si="14"/>
        <v>0.1563992411807599</v>
      </c>
    </row>
    <row r="188" spans="1:7" ht="15.75" customHeight="1">
      <c r="A188" s="3">
        <v>21737</v>
      </c>
      <c r="B188" s="4">
        <v>42</v>
      </c>
      <c r="C188">
        <f t="shared" si="10"/>
        <v>42.888610244059734</v>
      </c>
      <c r="D188" s="8">
        <f t="shared" si="11"/>
        <v>-0.8886102440597341</v>
      </c>
      <c r="E188" s="8">
        <f t="shared" si="12"/>
        <v>0.8886102440597341</v>
      </c>
      <c r="F188" s="8">
        <f t="shared" si="13"/>
        <v>0.78962816584790019</v>
      </c>
      <c r="G188" s="5">
        <f t="shared" si="14"/>
        <v>2.1157386763327003E-2</v>
      </c>
    </row>
    <row r="189" spans="1:7" ht="15.75" customHeight="1">
      <c r="A189" s="3">
        <v>21738</v>
      </c>
      <c r="B189" s="4">
        <v>57</v>
      </c>
      <c r="C189">
        <f t="shared" si="10"/>
        <v>42.266583073217916</v>
      </c>
      <c r="D189" s="8">
        <f t="shared" si="11"/>
        <v>14.733416926782084</v>
      </c>
      <c r="E189" s="8">
        <f t="shared" si="12"/>
        <v>14.733416926782084</v>
      </c>
      <c r="F189" s="8">
        <f t="shared" si="13"/>
        <v>217.07357433838882</v>
      </c>
      <c r="G189" s="5">
        <f t="shared" si="14"/>
        <v>0.25848099871547514</v>
      </c>
    </row>
    <row r="190" spans="1:7" ht="15.75" customHeight="1">
      <c r="A190" s="3">
        <v>21739</v>
      </c>
      <c r="B190" s="4">
        <v>46</v>
      </c>
      <c r="C190">
        <f t="shared" si="10"/>
        <v>52.579974921965373</v>
      </c>
      <c r="D190" s="8">
        <f t="shared" si="11"/>
        <v>-6.5799749219653734</v>
      </c>
      <c r="E190" s="8">
        <f t="shared" si="12"/>
        <v>6.5799749219653734</v>
      </c>
      <c r="F190" s="8">
        <f t="shared" si="13"/>
        <v>43.296069973693221</v>
      </c>
      <c r="G190" s="5">
        <f t="shared" si="14"/>
        <v>0.14304293308620378</v>
      </c>
    </row>
    <row r="191" spans="1:7" ht="15.75" customHeight="1">
      <c r="A191" s="3">
        <v>21740</v>
      </c>
      <c r="B191" s="4">
        <v>51</v>
      </c>
      <c r="C191">
        <f t="shared" si="10"/>
        <v>47.973992476589608</v>
      </c>
      <c r="D191" s="8">
        <f t="shared" si="11"/>
        <v>3.0260075234103923</v>
      </c>
      <c r="E191" s="8">
        <f t="shared" si="12"/>
        <v>3.0260075234103923</v>
      </c>
      <c r="F191" s="8">
        <f t="shared" si="13"/>
        <v>9.1567215317362951</v>
      </c>
      <c r="G191" s="5">
        <f t="shared" si="14"/>
        <v>5.9333480851184159E-2</v>
      </c>
    </row>
    <row r="192" spans="1:7" ht="15.75" customHeight="1">
      <c r="A192" s="3">
        <v>21741</v>
      </c>
      <c r="B192" s="4">
        <v>41</v>
      </c>
      <c r="C192">
        <f t="shared" si="10"/>
        <v>50.092197742976879</v>
      </c>
      <c r="D192" s="8">
        <f t="shared" si="11"/>
        <v>-9.0921977429768788</v>
      </c>
      <c r="E192" s="8">
        <f t="shared" si="12"/>
        <v>9.0921977429768788</v>
      </c>
      <c r="F192" s="8">
        <f t="shared" si="13"/>
        <v>82.668059797393852</v>
      </c>
      <c r="G192" s="5">
        <f t="shared" si="14"/>
        <v>0.22176092056041169</v>
      </c>
    </row>
    <row r="193" spans="1:7" ht="15.75" customHeight="1">
      <c r="A193" s="3">
        <v>21742</v>
      </c>
      <c r="B193" s="4">
        <v>47</v>
      </c>
      <c r="C193">
        <f t="shared" si="10"/>
        <v>43.727659322893061</v>
      </c>
      <c r="D193" s="8">
        <f t="shared" si="11"/>
        <v>3.2723406771069392</v>
      </c>
      <c r="E193" s="8">
        <f t="shared" si="12"/>
        <v>3.2723406771069392</v>
      </c>
      <c r="F193" s="8">
        <f t="shared" si="13"/>
        <v>10.708213507048701</v>
      </c>
      <c r="G193" s="5">
        <f t="shared" si="14"/>
        <v>6.9624269725679561E-2</v>
      </c>
    </row>
    <row r="194" spans="1:7" ht="15.75" customHeight="1">
      <c r="A194" s="3">
        <v>21743</v>
      </c>
      <c r="B194" s="4">
        <v>26</v>
      </c>
      <c r="C194">
        <f t="shared" si="10"/>
        <v>46.018297796867913</v>
      </c>
      <c r="D194" s="8">
        <f t="shared" si="11"/>
        <v>-20.018297796867913</v>
      </c>
      <c r="E194" s="8">
        <f t="shared" si="12"/>
        <v>20.018297796867913</v>
      </c>
      <c r="F194" s="8">
        <f t="shared" si="13"/>
        <v>400.7322466840867</v>
      </c>
      <c r="G194" s="5">
        <f t="shared" si="14"/>
        <v>0.76993453064876582</v>
      </c>
    </row>
    <row r="195" spans="1:7" ht="15.75" customHeight="1">
      <c r="A195" s="3">
        <v>21744</v>
      </c>
      <c r="B195" s="4">
        <v>35</v>
      </c>
      <c r="C195">
        <f t="shared" si="10"/>
        <v>32.005489339060375</v>
      </c>
      <c r="D195" s="8">
        <f t="shared" si="11"/>
        <v>2.9945106609396248</v>
      </c>
      <c r="E195" s="8">
        <f t="shared" si="12"/>
        <v>2.9945106609396248</v>
      </c>
      <c r="F195" s="8">
        <f t="shared" si="13"/>
        <v>8.9670940984810681</v>
      </c>
      <c r="G195" s="5">
        <f t="shared" si="14"/>
        <v>8.5557447455417851E-2</v>
      </c>
    </row>
    <row r="196" spans="1:7" ht="15.75" customHeight="1">
      <c r="A196" s="3">
        <v>21745</v>
      </c>
      <c r="B196" s="4">
        <v>44</v>
      </c>
      <c r="C196">
        <f t="shared" ref="C196:C259" si="15">0.7*B195+0.3*C195</f>
        <v>34.101646801718111</v>
      </c>
      <c r="D196" s="8">
        <f t="shared" ref="D196:D259" si="16">B196-C196</f>
        <v>9.8983531982818889</v>
      </c>
      <c r="E196" s="8">
        <f t="shared" ref="E196:E259" si="17">ABS(D196)</f>
        <v>9.8983531982818889</v>
      </c>
      <c r="F196" s="8">
        <f t="shared" ref="F196:F259" si="18">E196^2</f>
        <v>97.977396037937297</v>
      </c>
      <c r="G196" s="5">
        <f t="shared" ref="G196:G259" si="19">E196/B196</f>
        <v>0.22496257268822475</v>
      </c>
    </row>
    <row r="197" spans="1:7" ht="15.75" customHeight="1">
      <c r="A197" s="3">
        <v>21746</v>
      </c>
      <c r="B197" s="4">
        <v>41</v>
      </c>
      <c r="C197">
        <f t="shared" si="15"/>
        <v>41.030494040515428</v>
      </c>
      <c r="D197" s="8">
        <f t="shared" si="16"/>
        <v>-3.0494040515428367E-2</v>
      </c>
      <c r="E197" s="8">
        <f t="shared" si="17"/>
        <v>3.0494040515428367E-2</v>
      </c>
      <c r="F197" s="8">
        <f t="shared" si="18"/>
        <v>9.2988650695658673E-4</v>
      </c>
      <c r="G197" s="5">
        <f t="shared" si="19"/>
        <v>7.4375708574215529E-4</v>
      </c>
    </row>
    <row r="198" spans="1:7" ht="15.75" customHeight="1">
      <c r="A198" s="3">
        <v>21747</v>
      </c>
      <c r="B198" s="4">
        <v>42</v>
      </c>
      <c r="C198">
        <f t="shared" si="15"/>
        <v>41.009148212154628</v>
      </c>
      <c r="D198" s="8">
        <f t="shared" si="16"/>
        <v>0.9908517878453722</v>
      </c>
      <c r="E198" s="8">
        <f t="shared" si="17"/>
        <v>0.9908517878453722</v>
      </c>
      <c r="F198" s="8">
        <f t="shared" si="18"/>
        <v>0.98178726547637052</v>
      </c>
      <c r="G198" s="5">
        <f t="shared" si="19"/>
        <v>2.3591709234413623E-2</v>
      </c>
    </row>
    <row r="199" spans="1:7" ht="15.75" customHeight="1">
      <c r="A199" s="3">
        <v>21748</v>
      </c>
      <c r="B199" s="4">
        <v>36</v>
      </c>
      <c r="C199">
        <f t="shared" si="15"/>
        <v>41.702744463646383</v>
      </c>
      <c r="D199" s="8">
        <f t="shared" si="16"/>
        <v>-5.7027444636463827</v>
      </c>
      <c r="E199" s="8">
        <f t="shared" si="17"/>
        <v>5.7027444636463827</v>
      </c>
      <c r="F199" s="8">
        <f t="shared" si="18"/>
        <v>32.521294417649472</v>
      </c>
      <c r="G199" s="5">
        <f t="shared" si="19"/>
        <v>0.15840956843462173</v>
      </c>
    </row>
    <row r="200" spans="1:7" ht="15.75" customHeight="1">
      <c r="A200" s="3">
        <v>21749</v>
      </c>
      <c r="B200" s="4">
        <v>45</v>
      </c>
      <c r="C200">
        <f t="shared" si="15"/>
        <v>37.710823339093913</v>
      </c>
      <c r="D200" s="8">
        <f t="shared" si="16"/>
        <v>7.2891766609060866</v>
      </c>
      <c r="E200" s="8">
        <f t="shared" si="17"/>
        <v>7.2891766609060866</v>
      </c>
      <c r="F200" s="8">
        <f t="shared" si="18"/>
        <v>53.13209639389801</v>
      </c>
      <c r="G200" s="5">
        <f t="shared" si="19"/>
        <v>0.16198170357569081</v>
      </c>
    </row>
    <row r="201" spans="1:7" ht="15.75" customHeight="1">
      <c r="A201" s="3">
        <v>21750</v>
      </c>
      <c r="B201" s="4">
        <v>45</v>
      </c>
      <c r="C201">
        <f t="shared" si="15"/>
        <v>42.813247001728172</v>
      </c>
      <c r="D201" s="8">
        <f t="shared" si="16"/>
        <v>2.1867529982718281</v>
      </c>
      <c r="E201" s="8">
        <f t="shared" si="17"/>
        <v>2.1867529982718281</v>
      </c>
      <c r="F201" s="8">
        <f t="shared" si="18"/>
        <v>4.7818886754508299</v>
      </c>
      <c r="G201" s="5">
        <f t="shared" si="19"/>
        <v>4.8594511072707292E-2</v>
      </c>
    </row>
    <row r="202" spans="1:7" ht="15.75" customHeight="1">
      <c r="A202" s="3">
        <v>21751</v>
      </c>
      <c r="B202" s="4">
        <v>45</v>
      </c>
      <c r="C202">
        <f t="shared" si="15"/>
        <v>44.343974100518452</v>
      </c>
      <c r="D202" s="8">
        <f t="shared" si="16"/>
        <v>0.65602589948154844</v>
      </c>
      <c r="E202" s="8">
        <f t="shared" si="17"/>
        <v>0.65602589948154844</v>
      </c>
      <c r="F202" s="8">
        <f t="shared" si="18"/>
        <v>0.4303699807905747</v>
      </c>
      <c r="G202" s="5">
        <f t="shared" si="19"/>
        <v>1.4578353321812187E-2</v>
      </c>
    </row>
    <row r="203" spans="1:7" ht="15.75" customHeight="1">
      <c r="A203" s="3">
        <v>21752</v>
      </c>
      <c r="B203" s="4">
        <v>47</v>
      </c>
      <c r="C203">
        <f t="shared" si="15"/>
        <v>44.803192230155531</v>
      </c>
      <c r="D203" s="8">
        <f t="shared" si="16"/>
        <v>2.1968077698444688</v>
      </c>
      <c r="E203" s="8">
        <f t="shared" si="17"/>
        <v>2.1968077698444688</v>
      </c>
      <c r="F203" s="8">
        <f t="shared" si="18"/>
        <v>4.8259643776490284</v>
      </c>
      <c r="G203" s="5">
        <f t="shared" si="19"/>
        <v>4.6740590847754657E-2</v>
      </c>
    </row>
    <row r="204" spans="1:7" ht="15.75" customHeight="1">
      <c r="A204" s="3">
        <v>21753</v>
      </c>
      <c r="B204" s="4">
        <v>38</v>
      </c>
      <c r="C204">
        <f t="shared" si="15"/>
        <v>46.340957669046659</v>
      </c>
      <c r="D204" s="8">
        <f t="shared" si="16"/>
        <v>-8.3409576690466594</v>
      </c>
      <c r="E204" s="8">
        <f t="shared" si="17"/>
        <v>8.3409576690466594</v>
      </c>
      <c r="F204" s="8">
        <f t="shared" si="18"/>
        <v>69.571574836828276</v>
      </c>
      <c r="G204" s="5">
        <f t="shared" si="19"/>
        <v>0.21949888602754367</v>
      </c>
    </row>
    <row r="205" spans="1:7" ht="15.75" customHeight="1">
      <c r="A205" s="3">
        <v>21754</v>
      </c>
      <c r="B205" s="4">
        <v>42</v>
      </c>
      <c r="C205">
        <f t="shared" si="15"/>
        <v>40.502287300713995</v>
      </c>
      <c r="D205" s="8">
        <f t="shared" si="16"/>
        <v>1.497712699286005</v>
      </c>
      <c r="E205" s="8">
        <f t="shared" si="17"/>
        <v>1.497712699286005</v>
      </c>
      <c r="F205" s="8">
        <f t="shared" si="18"/>
        <v>2.2431433296025713</v>
      </c>
      <c r="G205" s="5">
        <f t="shared" si="19"/>
        <v>3.5659826173476308E-2</v>
      </c>
    </row>
    <row r="206" spans="1:7" ht="15.75" customHeight="1">
      <c r="A206" s="3">
        <v>21755</v>
      </c>
      <c r="B206" s="4">
        <v>35</v>
      </c>
      <c r="C206">
        <f t="shared" si="15"/>
        <v>41.550686190214194</v>
      </c>
      <c r="D206" s="8">
        <f t="shared" si="16"/>
        <v>-6.5506861902141935</v>
      </c>
      <c r="E206" s="8">
        <f t="shared" si="17"/>
        <v>6.5506861902141935</v>
      </c>
      <c r="F206" s="8">
        <f t="shared" si="18"/>
        <v>42.911489562662943</v>
      </c>
      <c r="G206" s="5">
        <f t="shared" si="19"/>
        <v>0.1871624625775484</v>
      </c>
    </row>
    <row r="207" spans="1:7" ht="15.75" customHeight="1">
      <c r="A207" s="3">
        <v>21756</v>
      </c>
      <c r="B207" s="4">
        <v>36</v>
      </c>
      <c r="C207">
        <f t="shared" si="15"/>
        <v>36.965205857064255</v>
      </c>
      <c r="D207" s="8">
        <f t="shared" si="16"/>
        <v>-0.96520585706425521</v>
      </c>
      <c r="E207" s="8">
        <f t="shared" si="17"/>
        <v>0.96520585706425521</v>
      </c>
      <c r="F207" s="8">
        <f t="shared" si="18"/>
        <v>0.93162234651114351</v>
      </c>
      <c r="G207" s="5">
        <f t="shared" si="19"/>
        <v>2.6811273807340424E-2</v>
      </c>
    </row>
    <row r="208" spans="1:7" ht="15.75" customHeight="1">
      <c r="A208" s="3">
        <v>21757</v>
      </c>
      <c r="B208" s="4">
        <v>39</v>
      </c>
      <c r="C208">
        <f t="shared" si="15"/>
        <v>36.289561757119273</v>
      </c>
      <c r="D208" s="8">
        <f t="shared" si="16"/>
        <v>2.710438242880727</v>
      </c>
      <c r="E208" s="8">
        <f t="shared" si="17"/>
        <v>2.710438242880727</v>
      </c>
      <c r="F208" s="8">
        <f t="shared" si="18"/>
        <v>7.3464754684703628</v>
      </c>
      <c r="G208" s="5">
        <f t="shared" si="19"/>
        <v>6.9498416484121209E-2</v>
      </c>
    </row>
    <row r="209" spans="1:7" ht="15.75" customHeight="1">
      <c r="A209" s="3">
        <v>21758</v>
      </c>
      <c r="B209" s="4">
        <v>45</v>
      </c>
      <c r="C209">
        <f t="shared" si="15"/>
        <v>38.186868527135779</v>
      </c>
      <c r="D209" s="8">
        <f t="shared" si="16"/>
        <v>6.8131314728642209</v>
      </c>
      <c r="E209" s="8">
        <f t="shared" si="17"/>
        <v>6.8131314728642209</v>
      </c>
      <c r="F209" s="8">
        <f t="shared" si="18"/>
        <v>46.418760466532987</v>
      </c>
      <c r="G209" s="5">
        <f t="shared" si="19"/>
        <v>0.15140292161920491</v>
      </c>
    </row>
    <row r="210" spans="1:7" ht="15.75" customHeight="1">
      <c r="A210" s="3">
        <v>21759</v>
      </c>
      <c r="B210" s="4">
        <v>43</v>
      </c>
      <c r="C210">
        <f t="shared" si="15"/>
        <v>42.956060558140727</v>
      </c>
      <c r="D210" s="8">
        <f t="shared" si="16"/>
        <v>4.3939441859272677E-2</v>
      </c>
      <c r="E210" s="8">
        <f t="shared" si="17"/>
        <v>4.3939441859272677E-2</v>
      </c>
      <c r="F210" s="8">
        <f t="shared" si="18"/>
        <v>1.930674550904404E-3</v>
      </c>
      <c r="G210" s="5">
        <f t="shared" si="19"/>
        <v>1.0218474850993645E-3</v>
      </c>
    </row>
    <row r="211" spans="1:7" ht="15.75" customHeight="1">
      <c r="A211" s="3">
        <v>21760</v>
      </c>
      <c r="B211" s="4">
        <v>47</v>
      </c>
      <c r="C211">
        <f t="shared" si="15"/>
        <v>42.986818167442216</v>
      </c>
      <c r="D211" s="8">
        <f t="shared" si="16"/>
        <v>4.0131818325577839</v>
      </c>
      <c r="E211" s="8">
        <f t="shared" si="17"/>
        <v>4.0131818325577839</v>
      </c>
      <c r="F211" s="8">
        <f t="shared" si="18"/>
        <v>16.105628421171854</v>
      </c>
      <c r="G211" s="5">
        <f t="shared" si="19"/>
        <v>8.5386847501229449E-2</v>
      </c>
    </row>
    <row r="212" spans="1:7" ht="15.75" customHeight="1">
      <c r="A212" s="3">
        <v>21761</v>
      </c>
      <c r="B212" s="4">
        <v>36</v>
      </c>
      <c r="C212">
        <f t="shared" si="15"/>
        <v>45.796045450232661</v>
      </c>
      <c r="D212" s="8">
        <f t="shared" si="16"/>
        <v>-9.7960454502326613</v>
      </c>
      <c r="E212" s="8">
        <f t="shared" si="17"/>
        <v>9.7960454502326613</v>
      </c>
      <c r="F212" s="8">
        <f t="shared" si="18"/>
        <v>95.962506463024027</v>
      </c>
      <c r="G212" s="5">
        <f t="shared" si="19"/>
        <v>0.2721123736175739</v>
      </c>
    </row>
    <row r="213" spans="1:7" ht="15.75" customHeight="1">
      <c r="A213" s="3">
        <v>21762</v>
      </c>
      <c r="B213" s="4">
        <v>41</v>
      </c>
      <c r="C213">
        <f t="shared" si="15"/>
        <v>38.938813635069799</v>
      </c>
      <c r="D213" s="8">
        <f t="shared" si="16"/>
        <v>2.0611863649302009</v>
      </c>
      <c r="E213" s="8">
        <f t="shared" si="17"/>
        <v>2.0611863649302009</v>
      </c>
      <c r="F213" s="8">
        <f t="shared" si="18"/>
        <v>4.2484892309741751</v>
      </c>
      <c r="G213" s="5">
        <f t="shared" si="19"/>
        <v>5.0272838169029291E-2</v>
      </c>
    </row>
    <row r="214" spans="1:7" ht="15.75" customHeight="1">
      <c r="A214" s="3">
        <v>21763</v>
      </c>
      <c r="B214" s="4">
        <v>50</v>
      </c>
      <c r="C214">
        <f t="shared" si="15"/>
        <v>40.381644090520936</v>
      </c>
      <c r="D214" s="8">
        <f t="shared" si="16"/>
        <v>9.6183559094790638</v>
      </c>
      <c r="E214" s="8">
        <f t="shared" si="17"/>
        <v>9.6183559094790638</v>
      </c>
      <c r="F214" s="8">
        <f t="shared" si="18"/>
        <v>92.512770401410833</v>
      </c>
      <c r="G214" s="5">
        <f t="shared" si="19"/>
        <v>0.19236711818958127</v>
      </c>
    </row>
    <row r="215" spans="1:7" ht="15.75" customHeight="1">
      <c r="A215" s="3">
        <v>21764</v>
      </c>
      <c r="B215" s="4">
        <v>39</v>
      </c>
      <c r="C215">
        <f t="shared" si="15"/>
        <v>47.114493227156281</v>
      </c>
      <c r="D215" s="8">
        <f t="shared" si="16"/>
        <v>-8.1144932271562809</v>
      </c>
      <c r="E215" s="8">
        <f t="shared" si="17"/>
        <v>8.1144932271562809</v>
      </c>
      <c r="F215" s="8">
        <f t="shared" si="18"/>
        <v>65.845000333565153</v>
      </c>
      <c r="G215" s="5">
        <f t="shared" si="19"/>
        <v>0.2080639289014431</v>
      </c>
    </row>
    <row r="216" spans="1:7" ht="15.75" customHeight="1">
      <c r="A216" s="3">
        <v>21765</v>
      </c>
      <c r="B216" s="4">
        <v>41</v>
      </c>
      <c r="C216">
        <f t="shared" si="15"/>
        <v>41.434347968146881</v>
      </c>
      <c r="D216" s="8">
        <f t="shared" si="16"/>
        <v>-0.4343479681468807</v>
      </c>
      <c r="E216" s="8">
        <f t="shared" si="17"/>
        <v>0.4343479681468807</v>
      </c>
      <c r="F216" s="8">
        <f t="shared" si="18"/>
        <v>0.1886581574333237</v>
      </c>
      <c r="G216" s="5">
        <f t="shared" si="19"/>
        <v>1.0593852881631236E-2</v>
      </c>
    </row>
    <row r="217" spans="1:7" ht="15.75" customHeight="1">
      <c r="A217" s="3">
        <v>21766</v>
      </c>
      <c r="B217" s="4">
        <v>46</v>
      </c>
      <c r="C217">
        <f t="shared" si="15"/>
        <v>41.130304390444067</v>
      </c>
      <c r="D217" s="8">
        <f t="shared" si="16"/>
        <v>4.8696956095559329</v>
      </c>
      <c r="E217" s="8">
        <f t="shared" si="17"/>
        <v>4.8696956095559329</v>
      </c>
      <c r="F217" s="8">
        <f t="shared" si="18"/>
        <v>23.713935329728329</v>
      </c>
      <c r="G217" s="5">
        <f t="shared" si="19"/>
        <v>0.10586294803382464</v>
      </c>
    </row>
    <row r="218" spans="1:7" ht="15.75" customHeight="1">
      <c r="A218" s="3">
        <v>21767</v>
      </c>
      <c r="B218" s="4">
        <v>64</v>
      </c>
      <c r="C218">
        <f t="shared" si="15"/>
        <v>44.539091317133213</v>
      </c>
      <c r="D218" s="8">
        <f t="shared" si="16"/>
        <v>19.460908682866787</v>
      </c>
      <c r="E218" s="8">
        <f t="shared" si="17"/>
        <v>19.460908682866787</v>
      </c>
      <c r="F218" s="8">
        <f t="shared" si="18"/>
        <v>378.7269667628799</v>
      </c>
      <c r="G218" s="5">
        <f t="shared" si="19"/>
        <v>0.30407669816979355</v>
      </c>
    </row>
    <row r="219" spans="1:7" ht="15.75" customHeight="1">
      <c r="A219" s="3">
        <v>21768</v>
      </c>
      <c r="B219" s="4">
        <v>45</v>
      </c>
      <c r="C219">
        <f t="shared" si="15"/>
        <v>58.161727395139962</v>
      </c>
      <c r="D219" s="8">
        <f t="shared" si="16"/>
        <v>-13.161727395139962</v>
      </c>
      <c r="E219" s="8">
        <f t="shared" si="17"/>
        <v>13.161727395139962</v>
      </c>
      <c r="F219" s="8">
        <f t="shared" si="18"/>
        <v>173.23106802397777</v>
      </c>
      <c r="G219" s="5">
        <f t="shared" si="19"/>
        <v>0.29248283100311029</v>
      </c>
    </row>
    <row r="220" spans="1:7" ht="15.75" customHeight="1">
      <c r="A220" s="3">
        <v>21769</v>
      </c>
      <c r="B220" s="4">
        <v>34</v>
      </c>
      <c r="C220">
        <f t="shared" si="15"/>
        <v>48.948518218541984</v>
      </c>
      <c r="D220" s="8">
        <f t="shared" si="16"/>
        <v>-14.948518218541984</v>
      </c>
      <c r="E220" s="8">
        <f t="shared" si="17"/>
        <v>14.948518218541984</v>
      </c>
      <c r="F220" s="8">
        <f t="shared" si="18"/>
        <v>223.45819693008161</v>
      </c>
      <c r="G220" s="5">
        <f t="shared" si="19"/>
        <v>0.43966230054535249</v>
      </c>
    </row>
    <row r="221" spans="1:7" ht="15.75" customHeight="1">
      <c r="A221" s="3">
        <v>21770</v>
      </c>
      <c r="B221" s="4">
        <v>38</v>
      </c>
      <c r="C221">
        <f t="shared" si="15"/>
        <v>38.484555465562593</v>
      </c>
      <c r="D221" s="8">
        <f t="shared" si="16"/>
        <v>-0.48455546556259321</v>
      </c>
      <c r="E221" s="8">
        <f t="shared" si="17"/>
        <v>0.48455546556259321</v>
      </c>
      <c r="F221" s="8">
        <f t="shared" si="18"/>
        <v>0.23479399920658145</v>
      </c>
      <c r="G221" s="5">
        <f t="shared" si="19"/>
        <v>1.2751459620068243E-2</v>
      </c>
    </row>
    <row r="222" spans="1:7" ht="15.75" customHeight="1">
      <c r="A222" s="3">
        <v>21771</v>
      </c>
      <c r="B222" s="4">
        <v>44</v>
      </c>
      <c r="C222">
        <f t="shared" si="15"/>
        <v>38.145366639668779</v>
      </c>
      <c r="D222" s="8">
        <f t="shared" si="16"/>
        <v>5.8546333603312206</v>
      </c>
      <c r="E222" s="8">
        <f t="shared" si="17"/>
        <v>5.8546333603312206</v>
      </c>
      <c r="F222" s="8">
        <f t="shared" si="18"/>
        <v>34.276731783903237</v>
      </c>
      <c r="G222" s="5">
        <f t="shared" si="19"/>
        <v>0.13305984909843682</v>
      </c>
    </row>
    <row r="223" spans="1:7" ht="15.75" customHeight="1">
      <c r="A223" s="3">
        <v>21772</v>
      </c>
      <c r="B223" s="4">
        <v>48</v>
      </c>
      <c r="C223">
        <f t="shared" si="15"/>
        <v>42.243609991900627</v>
      </c>
      <c r="D223" s="8">
        <f t="shared" si="16"/>
        <v>5.7563900080993733</v>
      </c>
      <c r="E223" s="8">
        <f t="shared" si="17"/>
        <v>5.7563900080993733</v>
      </c>
      <c r="F223" s="8">
        <f t="shared" si="18"/>
        <v>33.136025925346303</v>
      </c>
      <c r="G223" s="5">
        <f t="shared" si="19"/>
        <v>0.11992479183540361</v>
      </c>
    </row>
    <row r="224" spans="1:7" ht="15.75" customHeight="1">
      <c r="A224" s="3">
        <v>21773</v>
      </c>
      <c r="B224" s="4">
        <v>46</v>
      </c>
      <c r="C224">
        <f t="shared" si="15"/>
        <v>46.273082997570185</v>
      </c>
      <c r="D224" s="8">
        <f t="shared" si="16"/>
        <v>-0.27308299757018517</v>
      </c>
      <c r="E224" s="8">
        <f t="shared" si="17"/>
        <v>0.27308299757018517</v>
      </c>
      <c r="F224" s="8">
        <f t="shared" si="18"/>
        <v>7.457432356191776E-2</v>
      </c>
      <c r="G224" s="5">
        <f t="shared" si="19"/>
        <v>5.9365869036996774E-3</v>
      </c>
    </row>
    <row r="225" spans="1:7" ht="15.75" customHeight="1">
      <c r="A225" s="3">
        <v>21774</v>
      </c>
      <c r="B225" s="4">
        <v>44</v>
      </c>
      <c r="C225">
        <f t="shared" si="15"/>
        <v>46.081924899271051</v>
      </c>
      <c r="D225" s="8">
        <f t="shared" si="16"/>
        <v>-2.0819248992710513</v>
      </c>
      <c r="E225" s="8">
        <f t="shared" si="17"/>
        <v>2.0819248992710513</v>
      </c>
      <c r="F225" s="8">
        <f t="shared" si="18"/>
        <v>4.3344112862047774</v>
      </c>
      <c r="G225" s="5">
        <f t="shared" si="19"/>
        <v>4.7316474983432985E-2</v>
      </c>
    </row>
    <row r="226" spans="1:7" ht="15.75" customHeight="1">
      <c r="A226" s="3">
        <v>21775</v>
      </c>
      <c r="B226" s="4">
        <v>37</v>
      </c>
      <c r="C226">
        <f t="shared" si="15"/>
        <v>44.624577469781315</v>
      </c>
      <c r="D226" s="8">
        <f t="shared" si="16"/>
        <v>-7.6245774697813147</v>
      </c>
      <c r="E226" s="8">
        <f t="shared" si="17"/>
        <v>7.6245774697813147</v>
      </c>
      <c r="F226" s="8">
        <f t="shared" si="18"/>
        <v>58.134181592696834</v>
      </c>
      <c r="G226" s="5">
        <f t="shared" si="19"/>
        <v>0.20606966134544094</v>
      </c>
    </row>
    <row r="227" spans="1:7" ht="15.75" customHeight="1">
      <c r="A227" s="3">
        <v>21776</v>
      </c>
      <c r="B227" s="4">
        <v>39</v>
      </c>
      <c r="C227">
        <f t="shared" si="15"/>
        <v>39.287373240934393</v>
      </c>
      <c r="D227" s="8">
        <f t="shared" si="16"/>
        <v>-0.28737324093439298</v>
      </c>
      <c r="E227" s="8">
        <f t="shared" si="17"/>
        <v>0.28737324093439298</v>
      </c>
      <c r="F227" s="8">
        <f t="shared" si="18"/>
        <v>8.2583379605136675E-2</v>
      </c>
      <c r="G227" s="5">
        <f t="shared" si="19"/>
        <v>7.3685446393434101E-3</v>
      </c>
    </row>
    <row r="228" spans="1:7" ht="15.75" customHeight="1">
      <c r="A228" s="3">
        <v>21777</v>
      </c>
      <c r="B228" s="4">
        <v>44</v>
      </c>
      <c r="C228">
        <f t="shared" si="15"/>
        <v>39.086211972280317</v>
      </c>
      <c r="D228" s="8">
        <f t="shared" si="16"/>
        <v>4.9137880277196828</v>
      </c>
      <c r="E228" s="8">
        <f t="shared" si="17"/>
        <v>4.9137880277196828</v>
      </c>
      <c r="F228" s="8">
        <f t="shared" si="18"/>
        <v>24.145312781361291</v>
      </c>
      <c r="G228" s="5">
        <f t="shared" si="19"/>
        <v>0.11167700062999279</v>
      </c>
    </row>
    <row r="229" spans="1:7" ht="15.75" customHeight="1">
      <c r="A229" s="3">
        <v>21778</v>
      </c>
      <c r="B229" s="4">
        <v>45</v>
      </c>
      <c r="C229">
        <f t="shared" si="15"/>
        <v>42.525863591684093</v>
      </c>
      <c r="D229" s="8">
        <f t="shared" si="16"/>
        <v>2.474136408315907</v>
      </c>
      <c r="E229" s="8">
        <f t="shared" si="17"/>
        <v>2.474136408315907</v>
      </c>
      <c r="F229" s="8">
        <f t="shared" si="18"/>
        <v>6.1213509669543367</v>
      </c>
      <c r="G229" s="5">
        <f t="shared" si="19"/>
        <v>5.4980809073686819E-2</v>
      </c>
    </row>
    <row r="230" spans="1:7" ht="15.75" customHeight="1">
      <c r="A230" s="3">
        <v>21779</v>
      </c>
      <c r="B230" s="4">
        <v>33</v>
      </c>
      <c r="C230">
        <f t="shared" si="15"/>
        <v>44.257759077505227</v>
      </c>
      <c r="D230" s="8">
        <f t="shared" si="16"/>
        <v>-11.257759077505227</v>
      </c>
      <c r="E230" s="8">
        <f t="shared" si="17"/>
        <v>11.257759077505227</v>
      </c>
      <c r="F230" s="8">
        <f t="shared" si="18"/>
        <v>126.73713944715135</v>
      </c>
      <c r="G230" s="5">
        <f t="shared" si="19"/>
        <v>0.34114421446985538</v>
      </c>
    </row>
    <row r="231" spans="1:7" ht="15.75" customHeight="1">
      <c r="A231" s="3">
        <v>21780</v>
      </c>
      <c r="B231" s="4">
        <v>44</v>
      </c>
      <c r="C231">
        <f t="shared" si="15"/>
        <v>36.377327723251568</v>
      </c>
      <c r="D231" s="8">
        <f t="shared" si="16"/>
        <v>7.6226722767484318</v>
      </c>
      <c r="E231" s="8">
        <f t="shared" si="17"/>
        <v>7.6226722767484318</v>
      </c>
      <c r="F231" s="8">
        <f t="shared" si="18"/>
        <v>58.105132638709122</v>
      </c>
      <c r="G231" s="5">
        <f t="shared" si="19"/>
        <v>0.17324255174428255</v>
      </c>
    </row>
    <row r="232" spans="1:7" ht="15.75" customHeight="1">
      <c r="A232" s="3">
        <v>21781</v>
      </c>
      <c r="B232" s="4">
        <v>38</v>
      </c>
      <c r="C232">
        <f t="shared" si="15"/>
        <v>41.713198316975465</v>
      </c>
      <c r="D232" s="8">
        <f t="shared" si="16"/>
        <v>-3.7131983169754648</v>
      </c>
      <c r="E232" s="8">
        <f t="shared" si="17"/>
        <v>3.7131983169754648</v>
      </c>
      <c r="F232" s="8">
        <f t="shared" si="18"/>
        <v>13.787841741189425</v>
      </c>
      <c r="G232" s="5">
        <f t="shared" si="19"/>
        <v>9.7715745183564864E-2</v>
      </c>
    </row>
    <row r="233" spans="1:7" ht="15.75" customHeight="1">
      <c r="A233" s="3">
        <v>21782</v>
      </c>
      <c r="B233" s="4">
        <v>46</v>
      </c>
      <c r="C233">
        <f t="shared" si="15"/>
        <v>39.113959495092637</v>
      </c>
      <c r="D233" s="8">
        <f t="shared" si="16"/>
        <v>6.8860405049073634</v>
      </c>
      <c r="E233" s="8">
        <f t="shared" si="17"/>
        <v>6.8860405049073634</v>
      </c>
      <c r="F233" s="8">
        <f t="shared" si="18"/>
        <v>47.417553835224858</v>
      </c>
      <c r="G233" s="5">
        <f t="shared" si="19"/>
        <v>0.14969653271537747</v>
      </c>
    </row>
    <row r="234" spans="1:7" ht="15.75" customHeight="1">
      <c r="A234" s="3">
        <v>21783</v>
      </c>
      <c r="B234" s="4">
        <v>46</v>
      </c>
      <c r="C234">
        <f t="shared" si="15"/>
        <v>43.934187848527785</v>
      </c>
      <c r="D234" s="8">
        <f t="shared" si="16"/>
        <v>2.0658121514722154</v>
      </c>
      <c r="E234" s="8">
        <f t="shared" si="17"/>
        <v>2.0658121514722154</v>
      </c>
      <c r="F234" s="8">
        <f t="shared" si="18"/>
        <v>4.2675798451702631</v>
      </c>
      <c r="G234" s="5">
        <f t="shared" si="19"/>
        <v>4.4908959814613382E-2</v>
      </c>
    </row>
    <row r="235" spans="1:7" ht="15.75" customHeight="1">
      <c r="A235" s="3">
        <v>21784</v>
      </c>
      <c r="B235" s="4">
        <v>40</v>
      </c>
      <c r="C235">
        <f t="shared" si="15"/>
        <v>45.380256354558327</v>
      </c>
      <c r="D235" s="8">
        <f t="shared" si="16"/>
        <v>-5.3802563545583268</v>
      </c>
      <c r="E235" s="8">
        <f t="shared" si="17"/>
        <v>5.3802563545583268</v>
      </c>
      <c r="F235" s="8">
        <f t="shared" si="18"/>
        <v>28.947158440765257</v>
      </c>
      <c r="G235" s="5">
        <f t="shared" si="19"/>
        <v>0.13450640886395818</v>
      </c>
    </row>
    <row r="236" spans="1:7" ht="15.75" customHeight="1">
      <c r="A236" s="3">
        <v>21785</v>
      </c>
      <c r="B236" s="4">
        <v>39</v>
      </c>
      <c r="C236">
        <f t="shared" si="15"/>
        <v>41.614076906367501</v>
      </c>
      <c r="D236" s="8">
        <f t="shared" si="16"/>
        <v>-2.6140769063675009</v>
      </c>
      <c r="E236" s="8">
        <f t="shared" si="17"/>
        <v>2.6140769063675009</v>
      </c>
      <c r="F236" s="8">
        <f t="shared" si="18"/>
        <v>6.8333980724038836</v>
      </c>
      <c r="G236" s="5">
        <f t="shared" si="19"/>
        <v>6.702761298378207E-2</v>
      </c>
    </row>
    <row r="237" spans="1:7" ht="15.75" customHeight="1">
      <c r="A237" s="3">
        <v>21786</v>
      </c>
      <c r="B237" s="4">
        <v>44</v>
      </c>
      <c r="C237">
        <f t="shared" si="15"/>
        <v>39.784223071910247</v>
      </c>
      <c r="D237" s="8">
        <f t="shared" si="16"/>
        <v>4.2157769280897526</v>
      </c>
      <c r="E237" s="8">
        <f t="shared" si="17"/>
        <v>4.2157769280897526</v>
      </c>
      <c r="F237" s="8">
        <f t="shared" si="18"/>
        <v>17.772775107413871</v>
      </c>
      <c r="G237" s="5">
        <f t="shared" si="19"/>
        <v>9.5813112002039832E-2</v>
      </c>
    </row>
    <row r="238" spans="1:7" ht="15.75" customHeight="1">
      <c r="A238" s="3">
        <v>21787</v>
      </c>
      <c r="B238" s="4">
        <v>48</v>
      </c>
      <c r="C238">
        <f t="shared" si="15"/>
        <v>42.735266921573071</v>
      </c>
      <c r="D238" s="8">
        <f t="shared" si="16"/>
        <v>5.2647330784269286</v>
      </c>
      <c r="E238" s="8">
        <f t="shared" si="17"/>
        <v>5.2647330784269286</v>
      </c>
      <c r="F238" s="8">
        <f t="shared" si="18"/>
        <v>27.717414387082684</v>
      </c>
      <c r="G238" s="5">
        <f t="shared" si="19"/>
        <v>0.10968193913389435</v>
      </c>
    </row>
    <row r="239" spans="1:7" ht="15.75" customHeight="1">
      <c r="A239" s="3">
        <v>21788</v>
      </c>
      <c r="B239" s="4">
        <v>50</v>
      </c>
      <c r="C239">
        <f t="shared" si="15"/>
        <v>46.420580076471914</v>
      </c>
      <c r="D239" s="8">
        <f t="shared" si="16"/>
        <v>3.5794199235280857</v>
      </c>
      <c r="E239" s="8">
        <f t="shared" si="17"/>
        <v>3.5794199235280857</v>
      </c>
      <c r="F239" s="8">
        <f t="shared" si="18"/>
        <v>12.812246988949807</v>
      </c>
      <c r="G239" s="5">
        <f t="shared" si="19"/>
        <v>7.1588398470561712E-2</v>
      </c>
    </row>
    <row r="240" spans="1:7" ht="15.75" customHeight="1">
      <c r="A240" s="3">
        <v>21789</v>
      </c>
      <c r="B240" s="4">
        <v>41</v>
      </c>
      <c r="C240">
        <f t="shared" si="15"/>
        <v>48.926174022941574</v>
      </c>
      <c r="D240" s="8">
        <f t="shared" si="16"/>
        <v>-7.9261740229415736</v>
      </c>
      <c r="E240" s="8">
        <f t="shared" si="17"/>
        <v>7.9261740229415736</v>
      </c>
      <c r="F240" s="8">
        <f t="shared" si="18"/>
        <v>62.824234641953808</v>
      </c>
      <c r="G240" s="5">
        <f t="shared" si="19"/>
        <v>0.19332131763272131</v>
      </c>
    </row>
    <row r="241" spans="1:7" ht="15.75" customHeight="1">
      <c r="A241" s="3">
        <v>21790</v>
      </c>
      <c r="B241" s="4">
        <v>42</v>
      </c>
      <c r="C241">
        <f t="shared" si="15"/>
        <v>43.377852206882473</v>
      </c>
      <c r="D241" s="8">
        <f t="shared" si="16"/>
        <v>-1.3778522068824728</v>
      </c>
      <c r="E241" s="8">
        <f t="shared" si="17"/>
        <v>1.3778522068824728</v>
      </c>
      <c r="F241" s="8">
        <f t="shared" si="18"/>
        <v>1.8984767040109005</v>
      </c>
      <c r="G241" s="5">
        <f t="shared" si="19"/>
        <v>3.2806004925773159E-2</v>
      </c>
    </row>
    <row r="242" spans="1:7" ht="15.75" customHeight="1">
      <c r="A242" s="3">
        <v>21791</v>
      </c>
      <c r="B242" s="4">
        <v>51</v>
      </c>
      <c r="C242">
        <f t="shared" si="15"/>
        <v>42.413355662064738</v>
      </c>
      <c r="D242" s="8">
        <f t="shared" si="16"/>
        <v>8.5866443379352617</v>
      </c>
      <c r="E242" s="8">
        <f t="shared" si="17"/>
        <v>8.5866443379352617</v>
      </c>
      <c r="F242" s="8">
        <f t="shared" si="18"/>
        <v>73.730460986195695</v>
      </c>
      <c r="G242" s="5">
        <f t="shared" si="19"/>
        <v>0.16836557525363258</v>
      </c>
    </row>
    <row r="243" spans="1:7" ht="15.75" customHeight="1">
      <c r="A243" s="3">
        <v>21792</v>
      </c>
      <c r="B243" s="4">
        <v>41</v>
      </c>
      <c r="C243">
        <f t="shared" si="15"/>
        <v>48.424006698619415</v>
      </c>
      <c r="D243" s="8">
        <f t="shared" si="16"/>
        <v>-7.4240066986194151</v>
      </c>
      <c r="E243" s="8">
        <f t="shared" si="17"/>
        <v>7.4240066986194151</v>
      </c>
      <c r="F243" s="8">
        <f t="shared" si="18"/>
        <v>55.115875461145947</v>
      </c>
      <c r="G243" s="5">
        <f t="shared" si="19"/>
        <v>0.18107333411266865</v>
      </c>
    </row>
    <row r="244" spans="1:7" ht="15.75" customHeight="1">
      <c r="A244" s="3">
        <v>21793</v>
      </c>
      <c r="B244" s="4">
        <v>44</v>
      </c>
      <c r="C244">
        <f t="shared" si="15"/>
        <v>43.227202009585824</v>
      </c>
      <c r="D244" s="8">
        <f t="shared" si="16"/>
        <v>0.77279799041417618</v>
      </c>
      <c r="E244" s="8">
        <f t="shared" si="17"/>
        <v>0.77279799041417618</v>
      </c>
      <c r="F244" s="8">
        <f t="shared" si="18"/>
        <v>0.5972167339881892</v>
      </c>
      <c r="G244" s="5">
        <f t="shared" si="19"/>
        <v>1.7563590691231278E-2</v>
      </c>
    </row>
    <row r="245" spans="1:7" ht="15.75" customHeight="1">
      <c r="A245" s="3">
        <v>21794</v>
      </c>
      <c r="B245" s="4">
        <v>38</v>
      </c>
      <c r="C245">
        <f t="shared" si="15"/>
        <v>43.768160602875746</v>
      </c>
      <c r="D245" s="8">
        <f t="shared" si="16"/>
        <v>-5.7681606028757457</v>
      </c>
      <c r="E245" s="8">
        <f t="shared" si="17"/>
        <v>5.7681606028757457</v>
      </c>
      <c r="F245" s="8">
        <f t="shared" si="18"/>
        <v>33.271676740567884</v>
      </c>
      <c r="G245" s="5">
        <f t="shared" si="19"/>
        <v>0.15179370007567752</v>
      </c>
    </row>
    <row r="246" spans="1:7" ht="15.75" customHeight="1">
      <c r="A246" s="3">
        <v>21795</v>
      </c>
      <c r="B246" s="4">
        <v>68</v>
      </c>
      <c r="C246">
        <f t="shared" si="15"/>
        <v>39.730448180862723</v>
      </c>
      <c r="D246" s="8">
        <f t="shared" si="16"/>
        <v>28.269551819137277</v>
      </c>
      <c r="E246" s="8">
        <f t="shared" si="17"/>
        <v>28.269551819137277</v>
      </c>
      <c r="F246" s="8">
        <f t="shared" si="18"/>
        <v>799.16756005488776</v>
      </c>
      <c r="G246" s="5">
        <f t="shared" si="19"/>
        <v>0.41572870322260702</v>
      </c>
    </row>
    <row r="247" spans="1:7" ht="15.75" customHeight="1">
      <c r="A247" s="3">
        <v>21796</v>
      </c>
      <c r="B247" s="4">
        <v>40</v>
      </c>
      <c r="C247">
        <f t="shared" si="15"/>
        <v>59.519134454258811</v>
      </c>
      <c r="D247" s="8">
        <f t="shared" si="16"/>
        <v>-19.519134454258811</v>
      </c>
      <c r="E247" s="8">
        <f t="shared" si="17"/>
        <v>19.519134454258811</v>
      </c>
      <c r="F247" s="8">
        <f t="shared" si="18"/>
        <v>380.99660984343342</v>
      </c>
      <c r="G247" s="5">
        <f t="shared" si="19"/>
        <v>0.48797836135647027</v>
      </c>
    </row>
    <row r="248" spans="1:7" ht="15.75" customHeight="1">
      <c r="A248" s="3">
        <v>21797</v>
      </c>
      <c r="B248" s="4">
        <v>42</v>
      </c>
      <c r="C248">
        <f t="shared" si="15"/>
        <v>45.855740336277641</v>
      </c>
      <c r="D248" s="8">
        <f t="shared" si="16"/>
        <v>-3.8557403362776412</v>
      </c>
      <c r="E248" s="8">
        <f t="shared" si="17"/>
        <v>3.8557403362776412</v>
      </c>
      <c r="F248" s="8">
        <f t="shared" si="18"/>
        <v>14.866733540798418</v>
      </c>
      <c r="G248" s="5">
        <f t="shared" si="19"/>
        <v>9.1803341339943834E-2</v>
      </c>
    </row>
    <row r="249" spans="1:7" ht="15.75" customHeight="1">
      <c r="A249" s="3">
        <v>21798</v>
      </c>
      <c r="B249" s="4">
        <v>51</v>
      </c>
      <c r="C249">
        <f t="shared" si="15"/>
        <v>43.156722100883293</v>
      </c>
      <c r="D249" s="8">
        <f t="shared" si="16"/>
        <v>7.8432778991167069</v>
      </c>
      <c r="E249" s="8">
        <f t="shared" si="17"/>
        <v>7.8432778991167069</v>
      </c>
      <c r="F249" s="8">
        <f t="shared" si="18"/>
        <v>61.517008202772587</v>
      </c>
      <c r="G249" s="5">
        <f t="shared" si="19"/>
        <v>0.15378976272777856</v>
      </c>
    </row>
    <row r="250" spans="1:7" ht="15.75" customHeight="1">
      <c r="A250" s="3">
        <v>21799</v>
      </c>
      <c r="B250" s="4">
        <v>44</v>
      </c>
      <c r="C250">
        <f t="shared" si="15"/>
        <v>48.647016630264986</v>
      </c>
      <c r="D250" s="8">
        <f t="shared" si="16"/>
        <v>-4.6470166302649858</v>
      </c>
      <c r="E250" s="8">
        <f t="shared" si="17"/>
        <v>4.6470166302649858</v>
      </c>
      <c r="F250" s="8">
        <f t="shared" si="18"/>
        <v>21.594763561959343</v>
      </c>
      <c r="G250" s="5">
        <f t="shared" si="19"/>
        <v>0.10561401432420423</v>
      </c>
    </row>
    <row r="251" spans="1:7" ht="15.75" customHeight="1">
      <c r="A251" s="3">
        <v>21800</v>
      </c>
      <c r="B251" s="4">
        <v>45</v>
      </c>
      <c r="C251">
        <f t="shared" si="15"/>
        <v>45.394104989079494</v>
      </c>
      <c r="D251" s="8">
        <f t="shared" si="16"/>
        <v>-0.39410498907949432</v>
      </c>
      <c r="E251" s="8">
        <f t="shared" si="17"/>
        <v>0.39410498907949432</v>
      </c>
      <c r="F251" s="8">
        <f t="shared" si="18"/>
        <v>0.15531874241734833</v>
      </c>
      <c r="G251" s="5">
        <f t="shared" si="19"/>
        <v>8.7578886462109842E-3</v>
      </c>
    </row>
    <row r="252" spans="1:7" ht="15.75" customHeight="1">
      <c r="A252" s="3">
        <v>21801</v>
      </c>
      <c r="B252" s="4">
        <v>36</v>
      </c>
      <c r="C252">
        <f t="shared" si="15"/>
        <v>45.118231496723844</v>
      </c>
      <c r="D252" s="8">
        <f t="shared" si="16"/>
        <v>-9.118231496723844</v>
      </c>
      <c r="E252" s="8">
        <f t="shared" si="17"/>
        <v>9.118231496723844</v>
      </c>
      <c r="F252" s="8">
        <f t="shared" si="18"/>
        <v>83.142145627846759</v>
      </c>
      <c r="G252" s="5">
        <f t="shared" si="19"/>
        <v>0.253284208242329</v>
      </c>
    </row>
    <row r="253" spans="1:7" ht="15.75" customHeight="1">
      <c r="A253" s="3">
        <v>21802</v>
      </c>
      <c r="B253" s="4">
        <v>57</v>
      </c>
      <c r="C253">
        <f t="shared" si="15"/>
        <v>38.735469449017152</v>
      </c>
      <c r="D253" s="8">
        <f t="shared" si="16"/>
        <v>18.264530550982848</v>
      </c>
      <c r="E253" s="8">
        <f t="shared" si="17"/>
        <v>18.264530550982848</v>
      </c>
      <c r="F253" s="8">
        <f t="shared" si="18"/>
        <v>333.5930762477858</v>
      </c>
      <c r="G253" s="5">
        <f t="shared" si="19"/>
        <v>0.32043036054355872</v>
      </c>
    </row>
    <row r="254" spans="1:7" ht="15.75" customHeight="1">
      <c r="A254" s="3">
        <v>21803</v>
      </c>
      <c r="B254" s="4">
        <v>44</v>
      </c>
      <c r="C254">
        <f t="shared" si="15"/>
        <v>51.520640834705148</v>
      </c>
      <c r="D254" s="8">
        <f t="shared" si="16"/>
        <v>-7.5206408347051479</v>
      </c>
      <c r="E254" s="8">
        <f t="shared" si="17"/>
        <v>7.5206408347051479</v>
      </c>
      <c r="F254" s="8">
        <f t="shared" si="18"/>
        <v>56.560038564634546</v>
      </c>
      <c r="G254" s="5">
        <f t="shared" si="19"/>
        <v>0.17092365533420792</v>
      </c>
    </row>
    <row r="255" spans="1:7" ht="15.75" customHeight="1">
      <c r="A255" s="3">
        <v>21804</v>
      </c>
      <c r="B255" s="4">
        <v>42</v>
      </c>
      <c r="C255">
        <f t="shared" si="15"/>
        <v>46.256192250411544</v>
      </c>
      <c r="D255" s="8">
        <f t="shared" si="16"/>
        <v>-4.2561922504115444</v>
      </c>
      <c r="E255" s="8">
        <f t="shared" si="17"/>
        <v>4.2561922504115444</v>
      </c>
      <c r="F255" s="8">
        <f t="shared" si="18"/>
        <v>18.115172472463286</v>
      </c>
      <c r="G255" s="5">
        <f t="shared" si="19"/>
        <v>0.10133791072408439</v>
      </c>
    </row>
    <row r="256" spans="1:7" ht="15.75" customHeight="1">
      <c r="A256" s="3">
        <v>21805</v>
      </c>
      <c r="B256" s="4">
        <v>53</v>
      </c>
      <c r="C256">
        <f t="shared" si="15"/>
        <v>43.276857675123459</v>
      </c>
      <c r="D256" s="8">
        <f t="shared" si="16"/>
        <v>9.723142324876541</v>
      </c>
      <c r="E256" s="8">
        <f t="shared" si="17"/>
        <v>9.723142324876541</v>
      </c>
      <c r="F256" s="8">
        <f t="shared" si="18"/>
        <v>94.539496669805587</v>
      </c>
      <c r="G256" s="5">
        <f t="shared" si="19"/>
        <v>0.18345551556370832</v>
      </c>
    </row>
    <row r="257" spans="1:7" ht="15.75" customHeight="1">
      <c r="A257" s="3">
        <v>21806</v>
      </c>
      <c r="B257" s="4">
        <v>42</v>
      </c>
      <c r="C257">
        <f t="shared" si="15"/>
        <v>50.083057302537028</v>
      </c>
      <c r="D257" s="8">
        <f t="shared" si="16"/>
        <v>-8.0830573025370285</v>
      </c>
      <c r="E257" s="8">
        <f t="shared" si="17"/>
        <v>8.0830573025370285</v>
      </c>
      <c r="F257" s="8">
        <f t="shared" si="18"/>
        <v>65.335815356097186</v>
      </c>
      <c r="G257" s="5">
        <f t="shared" si="19"/>
        <v>0.19245374529850068</v>
      </c>
    </row>
    <row r="258" spans="1:7" ht="15.75" customHeight="1">
      <c r="A258" s="3">
        <v>21807</v>
      </c>
      <c r="B258" s="4">
        <v>34</v>
      </c>
      <c r="C258">
        <f t="shared" si="15"/>
        <v>44.424917190761107</v>
      </c>
      <c r="D258" s="8">
        <f t="shared" si="16"/>
        <v>-10.424917190761107</v>
      </c>
      <c r="E258" s="8">
        <f t="shared" si="17"/>
        <v>10.424917190761107</v>
      </c>
      <c r="F258" s="8">
        <f t="shared" si="18"/>
        <v>108.67889843422645</v>
      </c>
      <c r="G258" s="5">
        <f t="shared" si="19"/>
        <v>0.30661521149297372</v>
      </c>
    </row>
    <row r="259" spans="1:7" ht="15.75" customHeight="1">
      <c r="A259" s="3">
        <v>21808</v>
      </c>
      <c r="B259" s="4">
        <v>40</v>
      </c>
      <c r="C259">
        <f t="shared" si="15"/>
        <v>37.127475157228332</v>
      </c>
      <c r="D259" s="8">
        <f t="shared" si="16"/>
        <v>2.8725248427716679</v>
      </c>
      <c r="E259" s="8">
        <f t="shared" si="17"/>
        <v>2.8725248427716679</v>
      </c>
      <c r="F259" s="8">
        <f t="shared" si="18"/>
        <v>8.2513989723403949</v>
      </c>
      <c r="G259" s="5">
        <f t="shared" si="19"/>
        <v>7.1813121069291691E-2</v>
      </c>
    </row>
    <row r="260" spans="1:7" ht="15.75" customHeight="1">
      <c r="A260" s="3">
        <v>21809</v>
      </c>
      <c r="B260" s="4">
        <v>56</v>
      </c>
      <c r="C260">
        <f t="shared" ref="C260:C323" si="20">0.7*B259+0.3*C259</f>
        <v>39.138242547168502</v>
      </c>
      <c r="D260" s="8">
        <f t="shared" ref="D260:D323" si="21">B260-C260</f>
        <v>16.861757452831498</v>
      </c>
      <c r="E260" s="8">
        <f t="shared" ref="E260:E323" si="22">ABS(D260)</f>
        <v>16.861757452831498</v>
      </c>
      <c r="F260" s="8">
        <f t="shared" ref="F260:F323" si="23">E260^2</f>
        <v>284.31886439811854</v>
      </c>
      <c r="G260" s="5">
        <f t="shared" ref="G260:G323" si="24">E260/B260</f>
        <v>0.3011028116577053</v>
      </c>
    </row>
    <row r="261" spans="1:7" ht="15.75" customHeight="1">
      <c r="A261" s="3">
        <v>21810</v>
      </c>
      <c r="B261" s="4">
        <v>44</v>
      </c>
      <c r="C261">
        <f t="shared" si="20"/>
        <v>50.941472764150546</v>
      </c>
      <c r="D261" s="8">
        <f t="shared" si="21"/>
        <v>-6.9414727641505465</v>
      </c>
      <c r="E261" s="8">
        <f t="shared" si="22"/>
        <v>6.9414727641505465</v>
      </c>
      <c r="F261" s="8">
        <f t="shared" si="23"/>
        <v>48.184044135443827</v>
      </c>
      <c r="G261" s="5">
        <f t="shared" si="24"/>
        <v>0.15776074463978515</v>
      </c>
    </row>
    <row r="262" spans="1:7" ht="15.75" customHeight="1">
      <c r="A262" s="3">
        <v>21811</v>
      </c>
      <c r="B262" s="4">
        <v>53</v>
      </c>
      <c r="C262">
        <f t="shared" si="20"/>
        <v>46.082441829245163</v>
      </c>
      <c r="D262" s="8">
        <f t="shared" si="21"/>
        <v>6.9175581707548375</v>
      </c>
      <c r="E262" s="8">
        <f t="shared" si="22"/>
        <v>6.9175581707548375</v>
      </c>
      <c r="F262" s="8">
        <f t="shared" si="23"/>
        <v>47.85261104577701</v>
      </c>
      <c r="G262" s="5">
        <f t="shared" si="24"/>
        <v>0.13051996548594033</v>
      </c>
    </row>
    <row r="263" spans="1:7" ht="15.75" customHeight="1">
      <c r="A263" s="3">
        <v>21812</v>
      </c>
      <c r="B263" s="4">
        <v>55</v>
      </c>
      <c r="C263">
        <f t="shared" si="20"/>
        <v>50.924732548773541</v>
      </c>
      <c r="D263" s="8">
        <f t="shared" si="21"/>
        <v>4.0752674512264591</v>
      </c>
      <c r="E263" s="8">
        <f t="shared" si="22"/>
        <v>4.0752674512264591</v>
      </c>
      <c r="F263" s="8">
        <f t="shared" si="23"/>
        <v>16.6078047990258</v>
      </c>
      <c r="G263" s="5">
        <f t="shared" si="24"/>
        <v>7.4095771840481078E-2</v>
      </c>
    </row>
    <row r="264" spans="1:7" ht="15.75" customHeight="1">
      <c r="A264" s="3">
        <v>21813</v>
      </c>
      <c r="B264" s="4">
        <v>39</v>
      </c>
      <c r="C264">
        <f t="shared" si="20"/>
        <v>53.777419764632057</v>
      </c>
      <c r="D264" s="8">
        <f t="shared" si="21"/>
        <v>-14.777419764632057</v>
      </c>
      <c r="E264" s="8">
        <f t="shared" si="22"/>
        <v>14.777419764632057</v>
      </c>
      <c r="F264" s="8">
        <f t="shared" si="23"/>
        <v>218.37213490013818</v>
      </c>
      <c r="G264" s="5">
        <f t="shared" si="24"/>
        <v>0.37890819909312967</v>
      </c>
    </row>
    <row r="265" spans="1:7" ht="15.75" customHeight="1">
      <c r="A265" s="3">
        <v>21814</v>
      </c>
      <c r="B265" s="4">
        <v>59</v>
      </c>
      <c r="C265">
        <f t="shared" si="20"/>
        <v>43.433225929389614</v>
      </c>
      <c r="D265" s="8">
        <f t="shared" si="21"/>
        <v>15.566774070610386</v>
      </c>
      <c r="E265" s="8">
        <f t="shared" si="22"/>
        <v>15.566774070610386</v>
      </c>
      <c r="F265" s="8">
        <f t="shared" si="23"/>
        <v>242.32445496542783</v>
      </c>
      <c r="G265" s="5">
        <f t="shared" si="24"/>
        <v>0.26384362831543029</v>
      </c>
    </row>
    <row r="266" spans="1:7" ht="15.75" customHeight="1">
      <c r="A266" s="3">
        <v>21815</v>
      </c>
      <c r="B266" s="4">
        <v>55</v>
      </c>
      <c r="C266">
        <f t="shared" si="20"/>
        <v>54.329967778816879</v>
      </c>
      <c r="D266" s="8">
        <f t="shared" si="21"/>
        <v>0.67003222118312067</v>
      </c>
      <c r="E266" s="8">
        <f t="shared" si="22"/>
        <v>0.67003222118312067</v>
      </c>
      <c r="F266" s="8">
        <f t="shared" si="23"/>
        <v>0.44894317742358636</v>
      </c>
      <c r="G266" s="5">
        <f t="shared" si="24"/>
        <v>1.2182404021511285E-2</v>
      </c>
    </row>
    <row r="267" spans="1:7" ht="15.75" customHeight="1">
      <c r="A267" s="3">
        <v>21816</v>
      </c>
      <c r="B267" s="4">
        <v>73</v>
      </c>
      <c r="C267">
        <f t="shared" si="20"/>
        <v>54.798990333645065</v>
      </c>
      <c r="D267" s="8">
        <f t="shared" si="21"/>
        <v>18.201009666354935</v>
      </c>
      <c r="E267" s="8">
        <f t="shared" si="22"/>
        <v>18.201009666354935</v>
      </c>
      <c r="F267" s="8">
        <f t="shared" si="23"/>
        <v>331.2767528747458</v>
      </c>
      <c r="G267" s="5">
        <f t="shared" si="24"/>
        <v>0.24932889953910869</v>
      </c>
    </row>
    <row r="268" spans="1:7" ht="15.75" customHeight="1">
      <c r="A268" s="3">
        <v>21817</v>
      </c>
      <c r="B268" s="4">
        <v>55</v>
      </c>
      <c r="C268">
        <f t="shared" si="20"/>
        <v>67.53969710009352</v>
      </c>
      <c r="D268" s="8">
        <f t="shared" si="21"/>
        <v>-12.53969710009352</v>
      </c>
      <c r="E268" s="8">
        <f t="shared" si="22"/>
        <v>12.53969710009352</v>
      </c>
      <c r="F268" s="8">
        <f t="shared" si="23"/>
        <v>157.24400336209382</v>
      </c>
      <c r="G268" s="5">
        <f t="shared" si="24"/>
        <v>0.22799449272897307</v>
      </c>
    </row>
    <row r="269" spans="1:7" ht="15.75" customHeight="1">
      <c r="A269" s="3">
        <v>21818</v>
      </c>
      <c r="B269" s="4">
        <v>44</v>
      </c>
      <c r="C269">
        <f t="shared" si="20"/>
        <v>58.761909130028059</v>
      </c>
      <c r="D269" s="8">
        <f t="shared" si="21"/>
        <v>-14.761909130028059</v>
      </c>
      <c r="E269" s="8">
        <f t="shared" si="22"/>
        <v>14.761909130028059</v>
      </c>
      <c r="F269" s="8">
        <f t="shared" si="23"/>
        <v>217.91396116320576</v>
      </c>
      <c r="G269" s="5">
        <f t="shared" si="24"/>
        <v>0.33549793477336498</v>
      </c>
    </row>
    <row r="270" spans="1:7" ht="15.75" customHeight="1">
      <c r="A270" s="3">
        <v>21819</v>
      </c>
      <c r="B270" s="4">
        <v>43</v>
      </c>
      <c r="C270">
        <f t="shared" si="20"/>
        <v>48.428572739008416</v>
      </c>
      <c r="D270" s="8">
        <f t="shared" si="21"/>
        <v>-5.4285727390084162</v>
      </c>
      <c r="E270" s="8">
        <f t="shared" si="22"/>
        <v>5.4285727390084162</v>
      </c>
      <c r="F270" s="8">
        <f t="shared" si="23"/>
        <v>29.469401982705339</v>
      </c>
      <c r="G270" s="5">
        <f t="shared" si="24"/>
        <v>0.12624587765135853</v>
      </c>
    </row>
    <row r="271" spans="1:7" ht="15.75" customHeight="1">
      <c r="A271" s="3">
        <v>21820</v>
      </c>
      <c r="B271" s="4">
        <v>40</v>
      </c>
      <c r="C271">
        <f t="shared" si="20"/>
        <v>44.628571821702522</v>
      </c>
      <c r="D271" s="8">
        <f t="shared" si="21"/>
        <v>-4.628571821702522</v>
      </c>
      <c r="E271" s="8">
        <f t="shared" si="22"/>
        <v>4.628571821702522</v>
      </c>
      <c r="F271" s="8">
        <f t="shared" si="23"/>
        <v>21.423677108658602</v>
      </c>
      <c r="G271" s="5">
        <f t="shared" si="24"/>
        <v>0.11571429554256304</v>
      </c>
    </row>
    <row r="272" spans="1:7" ht="15.75" customHeight="1">
      <c r="A272" s="3">
        <v>21821</v>
      </c>
      <c r="B272" s="4">
        <v>47</v>
      </c>
      <c r="C272">
        <f t="shared" si="20"/>
        <v>41.388571546510754</v>
      </c>
      <c r="D272" s="8">
        <f t="shared" si="21"/>
        <v>5.6114284534892462</v>
      </c>
      <c r="E272" s="8">
        <f t="shared" si="22"/>
        <v>5.6114284534892462</v>
      </c>
      <c r="F272" s="8">
        <f t="shared" si="23"/>
        <v>31.488129288628713</v>
      </c>
      <c r="G272" s="5">
        <f t="shared" si="24"/>
        <v>0.11939209475509034</v>
      </c>
    </row>
    <row r="273" spans="1:7" ht="15.75" customHeight="1">
      <c r="A273" s="3">
        <v>21822</v>
      </c>
      <c r="B273" s="4">
        <v>51</v>
      </c>
      <c r="C273">
        <f t="shared" si="20"/>
        <v>45.316571463953224</v>
      </c>
      <c r="D273" s="8">
        <f t="shared" si="21"/>
        <v>5.683428536046776</v>
      </c>
      <c r="E273" s="8">
        <f t="shared" si="22"/>
        <v>5.683428536046776</v>
      </c>
      <c r="F273" s="8">
        <f t="shared" si="23"/>
        <v>32.301359924350798</v>
      </c>
      <c r="G273" s="5">
        <f t="shared" si="24"/>
        <v>0.11143977521660345</v>
      </c>
    </row>
    <row r="274" spans="1:7" ht="15.75" customHeight="1">
      <c r="A274" s="3">
        <v>21823</v>
      </c>
      <c r="B274" s="4">
        <v>56</v>
      </c>
      <c r="C274">
        <f t="shared" si="20"/>
        <v>49.294971439185964</v>
      </c>
      <c r="D274" s="8">
        <f t="shared" si="21"/>
        <v>6.7050285608140356</v>
      </c>
      <c r="E274" s="8">
        <f t="shared" si="22"/>
        <v>6.7050285608140356</v>
      </c>
      <c r="F274" s="8">
        <f t="shared" si="23"/>
        <v>44.957408001331935</v>
      </c>
      <c r="G274" s="5">
        <f t="shared" si="24"/>
        <v>0.11973265287167921</v>
      </c>
    </row>
    <row r="275" spans="1:7" ht="15.75" customHeight="1">
      <c r="A275" s="3">
        <v>21824</v>
      </c>
      <c r="B275" s="4">
        <v>49</v>
      </c>
      <c r="C275">
        <f t="shared" si="20"/>
        <v>53.988491431755783</v>
      </c>
      <c r="D275" s="8">
        <f t="shared" si="21"/>
        <v>-4.9884914317557829</v>
      </c>
      <c r="E275" s="8">
        <f t="shared" si="22"/>
        <v>4.9884914317557829</v>
      </c>
      <c r="F275" s="8">
        <f t="shared" si="23"/>
        <v>24.88504676470086</v>
      </c>
      <c r="G275" s="5">
        <f t="shared" si="24"/>
        <v>0.10180594758685271</v>
      </c>
    </row>
    <row r="276" spans="1:7" ht="15.75" customHeight="1">
      <c r="A276" s="3">
        <v>21825</v>
      </c>
      <c r="B276" s="4">
        <v>54</v>
      </c>
      <c r="C276">
        <f t="shared" si="20"/>
        <v>50.496547429526728</v>
      </c>
      <c r="D276" s="8">
        <f t="shared" si="21"/>
        <v>3.5034525704732715</v>
      </c>
      <c r="E276" s="8">
        <f t="shared" si="22"/>
        <v>3.5034525704732715</v>
      </c>
      <c r="F276" s="8">
        <f t="shared" si="23"/>
        <v>12.274179913555773</v>
      </c>
      <c r="G276" s="5">
        <f t="shared" si="24"/>
        <v>6.4878751305060586E-2</v>
      </c>
    </row>
    <row r="277" spans="1:7" ht="15.75" customHeight="1">
      <c r="A277" s="3">
        <v>21826</v>
      </c>
      <c r="B277" s="4">
        <v>56</v>
      </c>
      <c r="C277">
        <f t="shared" si="20"/>
        <v>52.948964228858017</v>
      </c>
      <c r="D277" s="8">
        <f t="shared" si="21"/>
        <v>3.0510357711419829</v>
      </c>
      <c r="E277" s="8">
        <f t="shared" si="22"/>
        <v>3.0510357711419829</v>
      </c>
      <c r="F277" s="8">
        <f t="shared" si="23"/>
        <v>9.3088192767879541</v>
      </c>
      <c r="G277" s="5">
        <f t="shared" si="24"/>
        <v>5.4482781627535407E-2</v>
      </c>
    </row>
    <row r="278" spans="1:7" ht="15.75" customHeight="1">
      <c r="A278" s="3">
        <v>21827</v>
      </c>
      <c r="B278" s="4">
        <v>47</v>
      </c>
      <c r="C278">
        <f t="shared" si="20"/>
        <v>55.084689268657399</v>
      </c>
      <c r="D278" s="8">
        <f t="shared" si="21"/>
        <v>-8.0846892686573995</v>
      </c>
      <c r="E278" s="8">
        <f t="shared" si="22"/>
        <v>8.0846892686573995</v>
      </c>
      <c r="F278" s="8">
        <f t="shared" si="23"/>
        <v>65.362200570744122</v>
      </c>
      <c r="G278" s="5">
        <f t="shared" si="24"/>
        <v>0.17201466529058296</v>
      </c>
    </row>
    <row r="279" spans="1:7" ht="15.75" customHeight="1">
      <c r="A279" s="3">
        <v>21828</v>
      </c>
      <c r="B279" s="4">
        <v>44</v>
      </c>
      <c r="C279">
        <f t="shared" si="20"/>
        <v>49.425406780597214</v>
      </c>
      <c r="D279" s="8">
        <f t="shared" si="21"/>
        <v>-5.4254067805972142</v>
      </c>
      <c r="E279" s="8">
        <f t="shared" si="22"/>
        <v>5.4254067805972142</v>
      </c>
      <c r="F279" s="8">
        <f t="shared" si="23"/>
        <v>29.435038734950229</v>
      </c>
      <c r="G279" s="5">
        <f t="shared" si="24"/>
        <v>0.12330469955902759</v>
      </c>
    </row>
    <row r="280" spans="1:7" ht="15.75" customHeight="1">
      <c r="A280" s="3">
        <v>21829</v>
      </c>
      <c r="B280" s="4">
        <v>43</v>
      </c>
      <c r="C280">
        <f t="shared" si="20"/>
        <v>45.627622034179161</v>
      </c>
      <c r="D280" s="8">
        <f t="shared" si="21"/>
        <v>-2.6276220341791614</v>
      </c>
      <c r="E280" s="8">
        <f t="shared" si="22"/>
        <v>2.6276220341791614</v>
      </c>
      <c r="F280" s="8">
        <f t="shared" si="23"/>
        <v>6.9043975545038343</v>
      </c>
      <c r="G280" s="5">
        <f t="shared" si="24"/>
        <v>6.1107489166957241E-2</v>
      </c>
    </row>
    <row r="281" spans="1:7" ht="15.75" customHeight="1">
      <c r="A281" s="3">
        <v>21830</v>
      </c>
      <c r="B281" s="4">
        <v>42</v>
      </c>
      <c r="C281">
        <f t="shared" si="20"/>
        <v>43.788286610253749</v>
      </c>
      <c r="D281" s="8">
        <f t="shared" si="21"/>
        <v>-1.7882866102537491</v>
      </c>
      <c r="E281" s="8">
        <f t="shared" si="22"/>
        <v>1.7882866102537491</v>
      </c>
      <c r="F281" s="8">
        <f t="shared" si="23"/>
        <v>3.1979690004128445</v>
      </c>
      <c r="G281" s="5">
        <f t="shared" si="24"/>
        <v>4.2578252625089262E-2</v>
      </c>
    </row>
    <row r="282" spans="1:7" ht="15.75" customHeight="1">
      <c r="A282" s="3">
        <v>21831</v>
      </c>
      <c r="B282" s="4">
        <v>45</v>
      </c>
      <c r="C282">
        <f t="shared" si="20"/>
        <v>42.536485983076119</v>
      </c>
      <c r="D282" s="8">
        <f t="shared" si="21"/>
        <v>2.4635140169238809</v>
      </c>
      <c r="E282" s="8">
        <f t="shared" si="22"/>
        <v>2.4635140169238809</v>
      </c>
      <c r="F282" s="8">
        <f t="shared" si="23"/>
        <v>6.0689013115804356</v>
      </c>
      <c r="G282" s="5">
        <f t="shared" si="24"/>
        <v>5.4744755931641798E-2</v>
      </c>
    </row>
    <row r="283" spans="1:7" ht="15.75" customHeight="1">
      <c r="A283" s="3">
        <v>21832</v>
      </c>
      <c r="B283" s="4">
        <v>50</v>
      </c>
      <c r="C283">
        <f t="shared" si="20"/>
        <v>44.260945794922833</v>
      </c>
      <c r="D283" s="8">
        <f t="shared" si="21"/>
        <v>5.7390542050771671</v>
      </c>
      <c r="E283" s="8">
        <f t="shared" si="22"/>
        <v>5.7390542050771671</v>
      </c>
      <c r="F283" s="8">
        <f t="shared" si="23"/>
        <v>32.936743168813912</v>
      </c>
      <c r="G283" s="5">
        <f t="shared" si="24"/>
        <v>0.11478108410154335</v>
      </c>
    </row>
    <row r="284" spans="1:7" ht="15.75" customHeight="1">
      <c r="A284" s="3">
        <v>21833</v>
      </c>
      <c r="B284" s="4">
        <v>48</v>
      </c>
      <c r="C284">
        <f t="shared" si="20"/>
        <v>48.278283738476851</v>
      </c>
      <c r="D284" s="8">
        <f t="shared" si="21"/>
        <v>-0.27828373847685128</v>
      </c>
      <c r="E284" s="8">
        <f t="shared" si="22"/>
        <v>0.27828373847685128</v>
      </c>
      <c r="F284" s="8">
        <f t="shared" si="23"/>
        <v>7.7441839100652554E-2</v>
      </c>
      <c r="G284" s="5">
        <f t="shared" si="24"/>
        <v>5.7975778849344017E-3</v>
      </c>
    </row>
    <row r="285" spans="1:7" ht="15.75" customHeight="1">
      <c r="A285" s="3">
        <v>21834</v>
      </c>
      <c r="B285" s="4">
        <v>43</v>
      </c>
      <c r="C285">
        <f t="shared" si="20"/>
        <v>48.083485121543049</v>
      </c>
      <c r="D285" s="8">
        <f t="shared" si="21"/>
        <v>-5.083485121543049</v>
      </c>
      <c r="E285" s="8">
        <f t="shared" si="22"/>
        <v>5.083485121543049</v>
      </c>
      <c r="F285" s="8">
        <f t="shared" si="23"/>
        <v>25.841820980949546</v>
      </c>
      <c r="G285" s="5">
        <f t="shared" si="24"/>
        <v>0.11822058422193137</v>
      </c>
    </row>
    <row r="286" spans="1:7" ht="15.75" customHeight="1">
      <c r="A286" s="3">
        <v>21835</v>
      </c>
      <c r="B286" s="4">
        <v>40</v>
      </c>
      <c r="C286">
        <f t="shared" si="20"/>
        <v>44.525045536462912</v>
      </c>
      <c r="D286" s="8">
        <f t="shared" si="21"/>
        <v>-4.5250455364629119</v>
      </c>
      <c r="E286" s="8">
        <f t="shared" si="22"/>
        <v>4.5250455364629119</v>
      </c>
      <c r="F286" s="8">
        <f t="shared" si="23"/>
        <v>20.476037107062922</v>
      </c>
      <c r="G286" s="5">
        <f t="shared" si="24"/>
        <v>0.11312613841157279</v>
      </c>
    </row>
    <row r="287" spans="1:7" ht="15.75" customHeight="1">
      <c r="A287" s="3">
        <v>21836</v>
      </c>
      <c r="B287" s="4">
        <v>59</v>
      </c>
      <c r="C287">
        <f t="shared" si="20"/>
        <v>41.357513660938871</v>
      </c>
      <c r="D287" s="8">
        <f t="shared" si="21"/>
        <v>17.642486339061129</v>
      </c>
      <c r="E287" s="8">
        <f t="shared" si="22"/>
        <v>17.642486339061129</v>
      </c>
      <c r="F287" s="8">
        <f t="shared" si="23"/>
        <v>311.25732422395856</v>
      </c>
      <c r="G287" s="5">
        <f t="shared" si="24"/>
        <v>0.29902519218747675</v>
      </c>
    </row>
    <row r="288" spans="1:7" ht="15.75" customHeight="1">
      <c r="A288" s="3">
        <v>21837</v>
      </c>
      <c r="B288" s="4">
        <v>41</v>
      </c>
      <c r="C288">
        <f t="shared" si="20"/>
        <v>53.707254098281659</v>
      </c>
      <c r="D288" s="8">
        <f t="shared" si="21"/>
        <v>-12.707254098281659</v>
      </c>
      <c r="E288" s="8">
        <f t="shared" si="22"/>
        <v>12.707254098281659</v>
      </c>
      <c r="F288" s="8">
        <f t="shared" si="23"/>
        <v>161.47430671829602</v>
      </c>
      <c r="G288" s="5">
        <f t="shared" si="24"/>
        <v>0.30993302678735751</v>
      </c>
    </row>
    <row r="289" spans="1:7" ht="15.75" customHeight="1">
      <c r="A289" s="3">
        <v>21838</v>
      </c>
      <c r="B289" s="4">
        <v>42</v>
      </c>
      <c r="C289">
        <f t="shared" si="20"/>
        <v>44.812176229484493</v>
      </c>
      <c r="D289" s="8">
        <f t="shared" si="21"/>
        <v>-2.8121762294844928</v>
      </c>
      <c r="E289" s="8">
        <f t="shared" si="22"/>
        <v>2.8121762294844928</v>
      </c>
      <c r="F289" s="8">
        <f t="shared" si="23"/>
        <v>7.9083351456776185</v>
      </c>
      <c r="G289" s="5">
        <f t="shared" si="24"/>
        <v>6.6956576892487921E-2</v>
      </c>
    </row>
    <row r="290" spans="1:7" ht="15.75" customHeight="1">
      <c r="A290" s="3">
        <v>21839</v>
      </c>
      <c r="B290" s="4">
        <v>51</v>
      </c>
      <c r="C290">
        <f t="shared" si="20"/>
        <v>42.843652868845346</v>
      </c>
      <c r="D290" s="8">
        <f t="shared" si="21"/>
        <v>8.1563471311546536</v>
      </c>
      <c r="E290" s="8">
        <f t="shared" si="22"/>
        <v>8.1563471311546536</v>
      </c>
      <c r="F290" s="8">
        <f t="shared" si="23"/>
        <v>66.525998523894742</v>
      </c>
      <c r="G290" s="5">
        <f t="shared" si="24"/>
        <v>0.15992837512067948</v>
      </c>
    </row>
    <row r="291" spans="1:7" ht="15.75" customHeight="1">
      <c r="A291" s="3">
        <v>21840</v>
      </c>
      <c r="B291" s="4">
        <v>49</v>
      </c>
      <c r="C291">
        <f t="shared" si="20"/>
        <v>48.553095860653599</v>
      </c>
      <c r="D291" s="8">
        <f t="shared" si="21"/>
        <v>0.44690413934640105</v>
      </c>
      <c r="E291" s="8">
        <f t="shared" si="22"/>
        <v>0.44690413934640105</v>
      </c>
      <c r="F291" s="8">
        <f t="shared" si="23"/>
        <v>0.19972330976494745</v>
      </c>
      <c r="G291" s="5">
        <f t="shared" si="24"/>
        <v>9.1204926397224703E-3</v>
      </c>
    </row>
    <row r="292" spans="1:7" ht="15.75" customHeight="1">
      <c r="A292" s="3">
        <v>21841</v>
      </c>
      <c r="B292" s="4">
        <v>45</v>
      </c>
      <c r="C292">
        <f t="shared" si="20"/>
        <v>48.865928758196077</v>
      </c>
      <c r="D292" s="8">
        <f t="shared" si="21"/>
        <v>-3.8659287581960768</v>
      </c>
      <c r="E292" s="8">
        <f t="shared" si="22"/>
        <v>3.8659287581960768</v>
      </c>
      <c r="F292" s="8">
        <f t="shared" si="23"/>
        <v>14.945405163447461</v>
      </c>
      <c r="G292" s="5">
        <f t="shared" si="24"/>
        <v>8.5909527959912815E-2</v>
      </c>
    </row>
    <row r="293" spans="1:7" ht="15.75" customHeight="1">
      <c r="A293" s="3">
        <v>21842</v>
      </c>
      <c r="B293" s="4">
        <v>43</v>
      </c>
      <c r="C293">
        <f t="shared" si="20"/>
        <v>46.15977862745882</v>
      </c>
      <c r="D293" s="8">
        <f t="shared" si="21"/>
        <v>-3.1597786274588202</v>
      </c>
      <c r="E293" s="8">
        <f t="shared" si="22"/>
        <v>3.1597786274588202</v>
      </c>
      <c r="F293" s="8">
        <f t="shared" si="23"/>
        <v>9.984200974545546</v>
      </c>
      <c r="G293" s="5">
        <f t="shared" si="24"/>
        <v>7.3483223894391173E-2</v>
      </c>
    </row>
    <row r="294" spans="1:7" ht="15.75" customHeight="1">
      <c r="A294" s="3">
        <v>21843</v>
      </c>
      <c r="B294" s="4">
        <v>42</v>
      </c>
      <c r="C294">
        <f t="shared" si="20"/>
        <v>43.947933588237646</v>
      </c>
      <c r="D294" s="8">
        <f t="shared" si="21"/>
        <v>-1.9479335882376461</v>
      </c>
      <c r="E294" s="8">
        <f t="shared" si="22"/>
        <v>1.9479335882376461</v>
      </c>
      <c r="F294" s="8">
        <f t="shared" si="23"/>
        <v>3.7944452641843913</v>
      </c>
      <c r="G294" s="5">
        <f t="shared" si="24"/>
        <v>4.6379371148515383E-2</v>
      </c>
    </row>
    <row r="295" spans="1:7" ht="15.75" customHeight="1">
      <c r="A295" s="3">
        <v>21844</v>
      </c>
      <c r="B295" s="4">
        <v>38</v>
      </c>
      <c r="C295">
        <f t="shared" si="20"/>
        <v>42.584380076471291</v>
      </c>
      <c r="D295" s="8">
        <f t="shared" si="21"/>
        <v>-4.584380076471291</v>
      </c>
      <c r="E295" s="8">
        <f t="shared" si="22"/>
        <v>4.584380076471291</v>
      </c>
      <c r="F295" s="8">
        <f t="shared" si="23"/>
        <v>21.016540685546921</v>
      </c>
      <c r="G295" s="5">
        <f t="shared" si="24"/>
        <v>0.12064158095977082</v>
      </c>
    </row>
    <row r="296" spans="1:7" ht="15.75" customHeight="1">
      <c r="A296" s="3">
        <v>21845</v>
      </c>
      <c r="B296" s="4">
        <v>47</v>
      </c>
      <c r="C296">
        <f t="shared" si="20"/>
        <v>39.375314022941382</v>
      </c>
      <c r="D296" s="8">
        <f t="shared" si="21"/>
        <v>7.6246859770586184</v>
      </c>
      <c r="E296" s="8">
        <f t="shared" si="22"/>
        <v>7.6246859770586184</v>
      </c>
      <c r="F296" s="8">
        <f t="shared" si="23"/>
        <v>58.135836248754337</v>
      </c>
      <c r="G296" s="5">
        <f t="shared" si="24"/>
        <v>0.16222736121401315</v>
      </c>
    </row>
    <row r="297" spans="1:7" ht="15.75" customHeight="1">
      <c r="A297" s="3">
        <v>21846</v>
      </c>
      <c r="B297" s="4">
        <v>38</v>
      </c>
      <c r="C297">
        <f t="shared" si="20"/>
        <v>44.712594206882414</v>
      </c>
      <c r="D297" s="8">
        <f t="shared" si="21"/>
        <v>-6.7125942068824145</v>
      </c>
      <c r="E297" s="8">
        <f t="shared" si="22"/>
        <v>6.7125942068824145</v>
      </c>
      <c r="F297" s="8">
        <f t="shared" si="23"/>
        <v>45.058920986271353</v>
      </c>
      <c r="G297" s="5">
        <f t="shared" si="24"/>
        <v>0.17664721597058985</v>
      </c>
    </row>
    <row r="298" spans="1:7" ht="15.75" customHeight="1">
      <c r="A298" s="3">
        <v>21847</v>
      </c>
      <c r="B298" s="4">
        <v>36</v>
      </c>
      <c r="C298">
        <f t="shared" si="20"/>
        <v>40.013778262064719</v>
      </c>
      <c r="D298" s="8">
        <f t="shared" si="21"/>
        <v>-4.0137782620647187</v>
      </c>
      <c r="E298" s="8">
        <f t="shared" si="22"/>
        <v>4.0137782620647187</v>
      </c>
      <c r="F298" s="8">
        <f t="shared" si="23"/>
        <v>16.110415937023273</v>
      </c>
      <c r="G298" s="5">
        <f t="shared" si="24"/>
        <v>0.11149384061290885</v>
      </c>
    </row>
    <row r="299" spans="1:7" ht="15.75" customHeight="1">
      <c r="A299" s="3">
        <v>21848</v>
      </c>
      <c r="B299" s="4">
        <v>42</v>
      </c>
      <c r="C299">
        <f t="shared" si="20"/>
        <v>37.204133478619411</v>
      </c>
      <c r="D299" s="8">
        <f t="shared" si="21"/>
        <v>4.7958665213805887</v>
      </c>
      <c r="E299" s="8">
        <f t="shared" si="22"/>
        <v>4.7958665213805887</v>
      </c>
      <c r="F299" s="8">
        <f t="shared" si="23"/>
        <v>23.000335690899149</v>
      </c>
      <c r="G299" s="5">
        <f t="shared" si="24"/>
        <v>0.11418729812810925</v>
      </c>
    </row>
    <row r="300" spans="1:7" ht="15.75" customHeight="1">
      <c r="A300" s="3">
        <v>21849</v>
      </c>
      <c r="B300" s="4">
        <v>35</v>
      </c>
      <c r="C300">
        <f t="shared" si="20"/>
        <v>40.561240043585819</v>
      </c>
      <c r="D300" s="8">
        <f t="shared" si="21"/>
        <v>-5.5612400435858191</v>
      </c>
      <c r="E300" s="8">
        <f t="shared" si="22"/>
        <v>5.5612400435858191</v>
      </c>
      <c r="F300" s="8">
        <f t="shared" si="23"/>
        <v>30.927390822382403</v>
      </c>
      <c r="G300" s="5">
        <f t="shared" si="24"/>
        <v>0.15889257267388054</v>
      </c>
    </row>
    <row r="301" spans="1:7" ht="15.75" customHeight="1">
      <c r="A301" s="3">
        <v>21850</v>
      </c>
      <c r="B301" s="4">
        <v>28</v>
      </c>
      <c r="C301">
        <f t="shared" si="20"/>
        <v>36.668372013075746</v>
      </c>
      <c r="D301" s="8">
        <f t="shared" si="21"/>
        <v>-8.6683720130757465</v>
      </c>
      <c r="E301" s="8">
        <f t="shared" si="22"/>
        <v>8.6683720130757465</v>
      </c>
      <c r="F301" s="8">
        <f t="shared" si="23"/>
        <v>75.140673357074874</v>
      </c>
      <c r="G301" s="5">
        <f t="shared" si="24"/>
        <v>0.30958471475270521</v>
      </c>
    </row>
    <row r="302" spans="1:7" ht="15.75" customHeight="1">
      <c r="A302" s="3">
        <v>21851</v>
      </c>
      <c r="B302" s="4">
        <v>44</v>
      </c>
      <c r="C302">
        <f t="shared" si="20"/>
        <v>30.600511603922719</v>
      </c>
      <c r="D302" s="8">
        <f t="shared" si="21"/>
        <v>13.399488396077281</v>
      </c>
      <c r="E302" s="8">
        <f t="shared" si="22"/>
        <v>13.399488396077281</v>
      </c>
      <c r="F302" s="8">
        <f t="shared" si="23"/>
        <v>179.54628927660971</v>
      </c>
      <c r="G302" s="5">
        <f t="shared" si="24"/>
        <v>0.30453382718357458</v>
      </c>
    </row>
    <row r="303" spans="1:7" ht="15.75" customHeight="1">
      <c r="A303" s="3">
        <v>21852</v>
      </c>
      <c r="B303" s="4">
        <v>36</v>
      </c>
      <c r="C303">
        <f t="shared" si="20"/>
        <v>39.980153481176814</v>
      </c>
      <c r="D303" s="8">
        <f t="shared" si="21"/>
        <v>-3.9801534811768136</v>
      </c>
      <c r="E303" s="8">
        <f t="shared" si="22"/>
        <v>3.9801534811768136</v>
      </c>
      <c r="F303" s="8">
        <f t="shared" si="23"/>
        <v>15.841621733723908</v>
      </c>
      <c r="G303" s="5">
        <f t="shared" si="24"/>
        <v>0.11055981892157815</v>
      </c>
    </row>
    <row r="304" spans="1:7" ht="15.75" customHeight="1">
      <c r="A304" s="3">
        <v>21853</v>
      </c>
      <c r="B304" s="4">
        <v>45</v>
      </c>
      <c r="C304">
        <f t="shared" si="20"/>
        <v>37.194046044353044</v>
      </c>
      <c r="D304" s="8">
        <f t="shared" si="21"/>
        <v>7.8059539556469559</v>
      </c>
      <c r="E304" s="8">
        <f t="shared" si="22"/>
        <v>7.8059539556469559</v>
      </c>
      <c r="F304" s="8">
        <f t="shared" si="23"/>
        <v>60.932917157680357</v>
      </c>
      <c r="G304" s="5">
        <f t="shared" si="24"/>
        <v>0.17346564345882123</v>
      </c>
    </row>
    <row r="305" spans="1:7" ht="15.75" customHeight="1">
      <c r="A305" s="3">
        <v>21854</v>
      </c>
      <c r="B305" s="4">
        <v>46</v>
      </c>
      <c r="C305">
        <f t="shared" si="20"/>
        <v>42.658213813305906</v>
      </c>
      <c r="D305" s="8">
        <f t="shared" si="21"/>
        <v>3.3417861866940939</v>
      </c>
      <c r="E305" s="8">
        <f t="shared" si="22"/>
        <v>3.3417861866940939</v>
      </c>
      <c r="F305" s="8">
        <f t="shared" si="23"/>
        <v>11.167534917579454</v>
      </c>
      <c r="G305" s="5">
        <f t="shared" si="24"/>
        <v>7.264752579769769E-2</v>
      </c>
    </row>
    <row r="306" spans="1:7" ht="15.75" customHeight="1">
      <c r="A306" s="3">
        <v>21855</v>
      </c>
      <c r="B306" s="4">
        <v>48</v>
      </c>
      <c r="C306">
        <f t="shared" si="20"/>
        <v>44.997464143991763</v>
      </c>
      <c r="D306" s="8">
        <f t="shared" si="21"/>
        <v>3.0025358560082367</v>
      </c>
      <c r="E306" s="8">
        <f t="shared" si="22"/>
        <v>3.0025358560082367</v>
      </c>
      <c r="F306" s="8">
        <f t="shared" si="23"/>
        <v>9.0152215666151143</v>
      </c>
      <c r="G306" s="5">
        <f t="shared" si="24"/>
        <v>6.2552830333504936E-2</v>
      </c>
    </row>
    <row r="307" spans="1:7" ht="15.75" customHeight="1">
      <c r="A307" s="3">
        <v>21856</v>
      </c>
      <c r="B307" s="4">
        <v>49</v>
      </c>
      <c r="C307">
        <f t="shared" si="20"/>
        <v>47.099239243197523</v>
      </c>
      <c r="D307" s="8">
        <f t="shared" si="21"/>
        <v>1.9007607568024767</v>
      </c>
      <c r="E307" s="8">
        <f t="shared" si="22"/>
        <v>1.9007607568024767</v>
      </c>
      <c r="F307" s="8">
        <f t="shared" si="23"/>
        <v>3.6128914546003239</v>
      </c>
      <c r="G307" s="5">
        <f t="shared" si="24"/>
        <v>3.879103585311177E-2</v>
      </c>
    </row>
    <row r="308" spans="1:7" ht="15.75" customHeight="1">
      <c r="A308" s="3">
        <v>21857</v>
      </c>
      <c r="B308" s="4">
        <v>43</v>
      </c>
      <c r="C308">
        <f t="shared" si="20"/>
        <v>48.429771772959256</v>
      </c>
      <c r="D308" s="8">
        <f t="shared" si="21"/>
        <v>-5.4297717729592563</v>
      </c>
      <c r="E308" s="8">
        <f t="shared" si="22"/>
        <v>5.4297717729592563</v>
      </c>
      <c r="F308" s="8">
        <f t="shared" si="23"/>
        <v>29.482421506425105</v>
      </c>
      <c r="G308" s="5">
        <f t="shared" si="24"/>
        <v>0.12627376216184316</v>
      </c>
    </row>
    <row r="309" spans="1:7" ht="15.75" customHeight="1">
      <c r="A309" s="3">
        <v>21858</v>
      </c>
      <c r="B309" s="4">
        <v>42</v>
      </c>
      <c r="C309">
        <f t="shared" si="20"/>
        <v>44.628931531887773</v>
      </c>
      <c r="D309" s="8">
        <f t="shared" si="21"/>
        <v>-2.6289315318877726</v>
      </c>
      <c r="E309" s="8">
        <f t="shared" si="22"/>
        <v>2.6289315318877726</v>
      </c>
      <c r="F309" s="8">
        <f t="shared" si="23"/>
        <v>6.9112809993537905</v>
      </c>
      <c r="G309" s="5">
        <f t="shared" si="24"/>
        <v>6.2593607902089829E-2</v>
      </c>
    </row>
    <row r="310" spans="1:7" ht="15.75" customHeight="1">
      <c r="A310" s="3">
        <v>21859</v>
      </c>
      <c r="B310" s="4">
        <v>59</v>
      </c>
      <c r="C310">
        <f t="shared" si="20"/>
        <v>42.788679459566332</v>
      </c>
      <c r="D310" s="8">
        <f t="shared" si="21"/>
        <v>16.211320540433668</v>
      </c>
      <c r="E310" s="8">
        <f t="shared" si="22"/>
        <v>16.211320540433668</v>
      </c>
      <c r="F310" s="8">
        <f t="shared" si="23"/>
        <v>262.80691366468653</v>
      </c>
      <c r="G310" s="5">
        <f t="shared" si="24"/>
        <v>0.27476814475311301</v>
      </c>
    </row>
    <row r="311" spans="1:7" ht="15.75" customHeight="1">
      <c r="A311" s="3">
        <v>21860</v>
      </c>
      <c r="B311" s="4">
        <v>45</v>
      </c>
      <c r="C311">
        <f t="shared" si="20"/>
        <v>54.136603837869899</v>
      </c>
      <c r="D311" s="8">
        <f t="shared" si="21"/>
        <v>-9.1366038378698988</v>
      </c>
      <c r="E311" s="8">
        <f t="shared" si="22"/>
        <v>9.1366038378698988</v>
      </c>
      <c r="F311" s="8">
        <f t="shared" si="23"/>
        <v>83.477529690178969</v>
      </c>
      <c r="G311" s="5">
        <f t="shared" si="24"/>
        <v>0.20303564084155332</v>
      </c>
    </row>
    <row r="312" spans="1:7" ht="15.75" customHeight="1">
      <c r="A312" s="3">
        <v>21861</v>
      </c>
      <c r="B312" s="4">
        <v>52</v>
      </c>
      <c r="C312">
        <f t="shared" si="20"/>
        <v>47.74098115136097</v>
      </c>
      <c r="D312" s="8">
        <f t="shared" si="21"/>
        <v>4.2590188486390304</v>
      </c>
      <c r="E312" s="8">
        <f t="shared" si="22"/>
        <v>4.2590188486390304</v>
      </c>
      <c r="F312" s="8">
        <f t="shared" si="23"/>
        <v>18.139241553062533</v>
      </c>
      <c r="G312" s="5">
        <f t="shared" si="24"/>
        <v>8.1904208627673655E-2</v>
      </c>
    </row>
    <row r="313" spans="1:7" ht="15.75" customHeight="1">
      <c r="A313" s="3">
        <v>21862</v>
      </c>
      <c r="B313" s="4">
        <v>46</v>
      </c>
      <c r="C313">
        <f t="shared" si="20"/>
        <v>50.722294345408287</v>
      </c>
      <c r="D313" s="8">
        <f t="shared" si="21"/>
        <v>-4.7222943454082866</v>
      </c>
      <c r="E313" s="8">
        <f t="shared" si="22"/>
        <v>4.7222943454082866</v>
      </c>
      <c r="F313" s="8">
        <f t="shared" si="23"/>
        <v>22.30006388467508</v>
      </c>
      <c r="G313" s="5">
        <f t="shared" si="24"/>
        <v>0.10265857272626711</v>
      </c>
    </row>
    <row r="314" spans="1:7" ht="15.75" customHeight="1">
      <c r="A314" s="3">
        <v>21863</v>
      </c>
      <c r="B314" s="4">
        <v>42</v>
      </c>
      <c r="C314">
        <f t="shared" si="20"/>
        <v>47.416688303622479</v>
      </c>
      <c r="D314" s="8">
        <f t="shared" si="21"/>
        <v>-5.4166883036224789</v>
      </c>
      <c r="E314" s="8">
        <f t="shared" si="22"/>
        <v>5.4166883036224789</v>
      </c>
      <c r="F314" s="8">
        <f t="shared" si="23"/>
        <v>29.340512178600569</v>
      </c>
      <c r="G314" s="5">
        <f t="shared" si="24"/>
        <v>0.12896876913386854</v>
      </c>
    </row>
    <row r="315" spans="1:7" ht="15.75" customHeight="1">
      <c r="A315" s="3">
        <v>21864</v>
      </c>
      <c r="B315" s="4">
        <v>40</v>
      </c>
      <c r="C315">
        <f t="shared" si="20"/>
        <v>43.625006491086744</v>
      </c>
      <c r="D315" s="8">
        <f t="shared" si="21"/>
        <v>-3.6250064910867437</v>
      </c>
      <c r="E315" s="8">
        <f t="shared" si="22"/>
        <v>3.6250064910867437</v>
      </c>
      <c r="F315" s="8">
        <f t="shared" si="23"/>
        <v>13.140672060421025</v>
      </c>
      <c r="G315" s="5">
        <f t="shared" si="24"/>
        <v>9.0625162277168589E-2</v>
      </c>
    </row>
    <row r="316" spans="1:7" ht="15.75" customHeight="1">
      <c r="A316" s="3">
        <v>21865</v>
      </c>
      <c r="B316" s="4">
        <v>40</v>
      </c>
      <c r="C316">
        <f t="shared" si="20"/>
        <v>41.087501947326025</v>
      </c>
      <c r="D316" s="8">
        <f t="shared" si="21"/>
        <v>-1.0875019473260252</v>
      </c>
      <c r="E316" s="8">
        <f t="shared" si="22"/>
        <v>1.0875019473260252</v>
      </c>
      <c r="F316" s="8">
        <f t="shared" si="23"/>
        <v>1.182660485437897</v>
      </c>
      <c r="G316" s="5">
        <f t="shared" si="24"/>
        <v>2.7187548683150632E-2</v>
      </c>
    </row>
    <row r="317" spans="1:7" ht="15.75" customHeight="1">
      <c r="A317" s="3">
        <v>21866</v>
      </c>
      <c r="B317" s="4">
        <v>45</v>
      </c>
      <c r="C317">
        <f t="shared" si="20"/>
        <v>40.326250584197808</v>
      </c>
      <c r="D317" s="8">
        <f t="shared" si="21"/>
        <v>4.6737494158021917</v>
      </c>
      <c r="E317" s="8">
        <f t="shared" si="22"/>
        <v>4.6737494158021917</v>
      </c>
      <c r="F317" s="8">
        <f t="shared" si="23"/>
        <v>21.843933601711328</v>
      </c>
      <c r="G317" s="5">
        <f t="shared" si="24"/>
        <v>0.1038610981289376</v>
      </c>
    </row>
    <row r="318" spans="1:7" ht="15.75" customHeight="1">
      <c r="A318" s="3">
        <v>21867</v>
      </c>
      <c r="B318" s="4">
        <v>35</v>
      </c>
      <c r="C318">
        <f t="shared" si="20"/>
        <v>43.59787517525934</v>
      </c>
      <c r="D318" s="8">
        <f t="shared" si="21"/>
        <v>-8.5978751752593396</v>
      </c>
      <c r="E318" s="8">
        <f t="shared" si="22"/>
        <v>8.5978751752593396</v>
      </c>
      <c r="F318" s="8">
        <f t="shared" si="23"/>
        <v>73.923457529340823</v>
      </c>
      <c r="G318" s="5">
        <f t="shared" si="24"/>
        <v>0.24565357643598112</v>
      </c>
    </row>
    <row r="319" spans="1:7" ht="15.75" customHeight="1">
      <c r="A319" s="3">
        <v>21868</v>
      </c>
      <c r="B319" s="4">
        <v>35</v>
      </c>
      <c r="C319">
        <f t="shared" si="20"/>
        <v>37.579362552577805</v>
      </c>
      <c r="D319" s="8">
        <f t="shared" si="21"/>
        <v>-2.5793625525778054</v>
      </c>
      <c r="E319" s="8">
        <f t="shared" si="22"/>
        <v>2.5793625525778054</v>
      </c>
      <c r="F319" s="8">
        <f t="shared" si="23"/>
        <v>6.6531111776406924</v>
      </c>
      <c r="G319" s="5">
        <f t="shared" si="24"/>
        <v>7.3696072930794443E-2</v>
      </c>
    </row>
    <row r="320" spans="1:7" ht="15.75" customHeight="1">
      <c r="A320" s="3">
        <v>21869</v>
      </c>
      <c r="B320" s="4">
        <v>40</v>
      </c>
      <c r="C320">
        <f t="shared" si="20"/>
        <v>35.773808765773339</v>
      </c>
      <c r="D320" s="8">
        <f t="shared" si="21"/>
        <v>4.2261912342266612</v>
      </c>
      <c r="E320" s="8">
        <f t="shared" si="22"/>
        <v>4.2261912342266612</v>
      </c>
      <c r="F320" s="8">
        <f t="shared" si="23"/>
        <v>17.860692348254268</v>
      </c>
      <c r="G320" s="5">
        <f t="shared" si="24"/>
        <v>0.10565478085566653</v>
      </c>
    </row>
    <row r="321" spans="1:7" ht="15.75" customHeight="1">
      <c r="A321" s="3">
        <v>21870</v>
      </c>
      <c r="B321" s="4">
        <v>39</v>
      </c>
      <c r="C321">
        <f t="shared" si="20"/>
        <v>38.732142629732003</v>
      </c>
      <c r="D321" s="8">
        <f t="shared" si="21"/>
        <v>0.26785737026799694</v>
      </c>
      <c r="E321" s="8">
        <f t="shared" si="22"/>
        <v>0.26785737026799694</v>
      </c>
      <c r="F321" s="8">
        <f t="shared" si="23"/>
        <v>7.1747570806886818E-2</v>
      </c>
      <c r="G321" s="5">
        <f t="shared" si="24"/>
        <v>6.8681376991794087E-3</v>
      </c>
    </row>
    <row r="322" spans="1:7" ht="15.75" customHeight="1">
      <c r="A322" s="3">
        <v>21871</v>
      </c>
      <c r="B322" s="4">
        <v>33</v>
      </c>
      <c r="C322">
        <f t="shared" si="20"/>
        <v>38.919642788919596</v>
      </c>
      <c r="D322" s="8">
        <f t="shared" si="21"/>
        <v>-5.9196427889195959</v>
      </c>
      <c r="E322" s="8">
        <f t="shared" si="22"/>
        <v>5.9196427889195959</v>
      </c>
      <c r="F322" s="8">
        <f t="shared" si="23"/>
        <v>35.04217074840777</v>
      </c>
      <c r="G322" s="5">
        <f t="shared" si="24"/>
        <v>0.17938311481574534</v>
      </c>
    </row>
    <row r="323" spans="1:7" ht="15.75" customHeight="1">
      <c r="A323" s="3">
        <v>21872</v>
      </c>
      <c r="B323" s="4">
        <v>42</v>
      </c>
      <c r="C323">
        <f t="shared" si="20"/>
        <v>34.775892836675879</v>
      </c>
      <c r="D323" s="8">
        <f t="shared" si="21"/>
        <v>7.2241071633241205</v>
      </c>
      <c r="E323" s="8">
        <f t="shared" si="22"/>
        <v>7.2241071633241205</v>
      </c>
      <c r="F323" s="8">
        <f t="shared" si="23"/>
        <v>52.187724307190869</v>
      </c>
      <c r="G323" s="5">
        <f t="shared" si="24"/>
        <v>0.17200255150771715</v>
      </c>
    </row>
    <row r="324" spans="1:7" ht="15.75" customHeight="1">
      <c r="A324" s="3">
        <v>21873</v>
      </c>
      <c r="B324" s="4">
        <v>47</v>
      </c>
      <c r="C324">
        <f t="shared" ref="C324:C366" si="25">0.7*B323+0.3*C323</f>
        <v>39.832767851002764</v>
      </c>
      <c r="D324" s="8">
        <f t="shared" ref="D324:D366" si="26">B324-C324</f>
        <v>7.1672321489972362</v>
      </c>
      <c r="E324" s="8">
        <f t="shared" ref="E324:E366" si="27">ABS(D324)</f>
        <v>7.1672321489972362</v>
      </c>
      <c r="F324" s="8">
        <f t="shared" ref="F324:F366" si="28">E324^2</f>
        <v>51.369216677619541</v>
      </c>
      <c r="G324" s="5">
        <f t="shared" ref="G324:G366" si="29">E324/B324</f>
        <v>0.1524943010424944</v>
      </c>
    </row>
    <row r="325" spans="1:7" ht="15.75" customHeight="1">
      <c r="A325" s="3">
        <v>21874</v>
      </c>
      <c r="B325" s="4">
        <v>51</v>
      </c>
      <c r="C325">
        <f t="shared" si="25"/>
        <v>44.849830355300824</v>
      </c>
      <c r="D325" s="8">
        <f t="shared" si="26"/>
        <v>6.1501696446991758</v>
      </c>
      <c r="E325" s="8">
        <f t="shared" si="27"/>
        <v>6.1501696446991758</v>
      </c>
      <c r="F325" s="8">
        <f t="shared" si="28"/>
        <v>37.824586658579186</v>
      </c>
      <c r="G325" s="5">
        <f t="shared" si="29"/>
        <v>0.12059156166076815</v>
      </c>
    </row>
    <row r="326" spans="1:7" ht="15.75" customHeight="1">
      <c r="A326" s="3">
        <v>21875</v>
      </c>
      <c r="B326" s="4">
        <v>44</v>
      </c>
      <c r="C326">
        <f t="shared" si="25"/>
        <v>49.154949106590244</v>
      </c>
      <c r="D326" s="8">
        <f t="shared" si="26"/>
        <v>-5.1549491065902444</v>
      </c>
      <c r="E326" s="8">
        <f t="shared" si="27"/>
        <v>5.1549491065902444</v>
      </c>
      <c r="F326" s="8">
        <f t="shared" si="28"/>
        <v>26.573500291535559</v>
      </c>
      <c r="G326" s="5">
        <f t="shared" si="29"/>
        <v>0.11715793424068738</v>
      </c>
    </row>
    <row r="327" spans="1:7" ht="15.75" customHeight="1">
      <c r="A327" s="3">
        <v>21876</v>
      </c>
      <c r="B327" s="4">
        <v>40</v>
      </c>
      <c r="C327">
        <f t="shared" si="25"/>
        <v>45.546484731977074</v>
      </c>
      <c r="D327" s="8">
        <f t="shared" si="26"/>
        <v>-5.546484731977074</v>
      </c>
      <c r="E327" s="8">
        <f t="shared" si="27"/>
        <v>5.546484731977074</v>
      </c>
      <c r="F327" s="8">
        <f t="shared" si="28"/>
        <v>30.763492882054795</v>
      </c>
      <c r="G327" s="5">
        <f t="shared" si="29"/>
        <v>0.13866211829942685</v>
      </c>
    </row>
    <row r="328" spans="1:7" ht="15.75" customHeight="1">
      <c r="A328" s="3">
        <v>21877</v>
      </c>
      <c r="B328" s="4">
        <v>57</v>
      </c>
      <c r="C328">
        <f t="shared" si="25"/>
        <v>41.663945419593119</v>
      </c>
      <c r="D328" s="8">
        <f t="shared" si="26"/>
        <v>15.336054580406881</v>
      </c>
      <c r="E328" s="8">
        <f t="shared" si="27"/>
        <v>15.336054580406881</v>
      </c>
      <c r="F328" s="8">
        <f t="shared" si="28"/>
        <v>235.19457009321886</v>
      </c>
      <c r="G328" s="5">
        <f t="shared" si="29"/>
        <v>0.26905358912994526</v>
      </c>
    </row>
    <row r="329" spans="1:7" ht="15.75" customHeight="1">
      <c r="A329" s="3">
        <v>21878</v>
      </c>
      <c r="B329" s="4">
        <v>49</v>
      </c>
      <c r="C329">
        <f t="shared" si="25"/>
        <v>52.399183625877932</v>
      </c>
      <c r="D329" s="8">
        <f t="shared" si="26"/>
        <v>-3.3991836258779315</v>
      </c>
      <c r="E329" s="8">
        <f t="shared" si="27"/>
        <v>3.3991836258779315</v>
      </c>
      <c r="F329" s="8">
        <f t="shared" si="28"/>
        <v>11.554449322436641</v>
      </c>
      <c r="G329" s="5">
        <f t="shared" si="29"/>
        <v>6.9371094405672074E-2</v>
      </c>
    </row>
    <row r="330" spans="1:7" ht="15.75" customHeight="1">
      <c r="A330" s="3">
        <v>21879</v>
      </c>
      <c r="B330" s="4">
        <v>45</v>
      </c>
      <c r="C330">
        <f t="shared" si="25"/>
        <v>50.019755087763372</v>
      </c>
      <c r="D330" s="8">
        <f t="shared" si="26"/>
        <v>-5.0197550877633716</v>
      </c>
      <c r="E330" s="8">
        <f t="shared" si="27"/>
        <v>5.0197550877633716</v>
      </c>
      <c r="F330" s="8">
        <f t="shared" si="28"/>
        <v>25.197941141126254</v>
      </c>
      <c r="G330" s="5">
        <f t="shared" si="29"/>
        <v>0.11155011306140826</v>
      </c>
    </row>
    <row r="331" spans="1:7" ht="15.75" customHeight="1">
      <c r="A331" s="3">
        <v>21880</v>
      </c>
      <c r="B331" s="4">
        <v>49</v>
      </c>
      <c r="C331">
        <f t="shared" si="25"/>
        <v>46.505926526329006</v>
      </c>
      <c r="D331" s="8">
        <f t="shared" si="26"/>
        <v>2.4940734736709942</v>
      </c>
      <c r="E331" s="8">
        <f t="shared" si="27"/>
        <v>2.4940734736709942</v>
      </c>
      <c r="F331" s="8">
        <f t="shared" si="28"/>
        <v>6.2204024920692991</v>
      </c>
      <c r="G331" s="5">
        <f t="shared" si="29"/>
        <v>5.0899458646346818E-2</v>
      </c>
    </row>
    <row r="332" spans="1:7" ht="15.75" customHeight="1">
      <c r="A332" s="3">
        <v>21881</v>
      </c>
      <c r="B332" s="4">
        <v>51</v>
      </c>
      <c r="C332">
        <f t="shared" si="25"/>
        <v>48.251777957898696</v>
      </c>
      <c r="D332" s="8">
        <f t="shared" si="26"/>
        <v>2.7482220421013039</v>
      </c>
      <c r="E332" s="8">
        <f t="shared" si="27"/>
        <v>2.7482220421013039</v>
      </c>
      <c r="F332" s="8">
        <f t="shared" si="28"/>
        <v>7.5527243926914611</v>
      </c>
      <c r="G332" s="5">
        <f t="shared" si="29"/>
        <v>5.3886706707868708E-2</v>
      </c>
    </row>
    <row r="333" spans="1:7" ht="15.75" customHeight="1">
      <c r="A333" s="3">
        <v>21882</v>
      </c>
      <c r="B333" s="4">
        <v>46</v>
      </c>
      <c r="C333">
        <f t="shared" si="25"/>
        <v>50.175533387369605</v>
      </c>
      <c r="D333" s="8">
        <f t="shared" si="26"/>
        <v>-4.1755333873696046</v>
      </c>
      <c r="E333" s="8">
        <f t="shared" si="27"/>
        <v>4.1755333873696046</v>
      </c>
      <c r="F333" s="8">
        <f t="shared" si="28"/>
        <v>17.435079069038284</v>
      </c>
      <c r="G333" s="5">
        <f t="shared" si="29"/>
        <v>9.0772464942817488E-2</v>
      </c>
    </row>
    <row r="334" spans="1:7" ht="15.75" customHeight="1">
      <c r="A334" s="3">
        <v>21883</v>
      </c>
      <c r="B334" s="4">
        <v>44</v>
      </c>
      <c r="C334">
        <f t="shared" si="25"/>
        <v>47.252660016210875</v>
      </c>
      <c r="D334" s="8">
        <f t="shared" si="26"/>
        <v>-3.252660016210875</v>
      </c>
      <c r="E334" s="8">
        <f t="shared" si="27"/>
        <v>3.252660016210875</v>
      </c>
      <c r="F334" s="8">
        <f t="shared" si="28"/>
        <v>10.579797181056929</v>
      </c>
      <c r="G334" s="5">
        <f t="shared" si="29"/>
        <v>7.3924091277519879E-2</v>
      </c>
    </row>
    <row r="335" spans="1:7" ht="15.75" customHeight="1">
      <c r="A335" s="3">
        <v>21884</v>
      </c>
      <c r="B335" s="4">
        <v>52</v>
      </c>
      <c r="C335">
        <f t="shared" si="25"/>
        <v>44.975798004863258</v>
      </c>
      <c r="D335" s="8">
        <f t="shared" si="26"/>
        <v>7.0242019951367425</v>
      </c>
      <c r="E335" s="8">
        <f t="shared" si="27"/>
        <v>7.0242019951367425</v>
      </c>
      <c r="F335" s="8">
        <f t="shared" si="28"/>
        <v>49.33941366848299</v>
      </c>
      <c r="G335" s="5">
        <f t="shared" si="29"/>
        <v>0.13508080759878352</v>
      </c>
    </row>
    <row r="336" spans="1:7" ht="15.75" customHeight="1">
      <c r="A336" s="3">
        <v>21885</v>
      </c>
      <c r="B336" s="4">
        <v>45</v>
      </c>
      <c r="C336">
        <f t="shared" si="25"/>
        <v>49.892739401458975</v>
      </c>
      <c r="D336" s="8">
        <f t="shared" si="26"/>
        <v>-4.8927394014589751</v>
      </c>
      <c r="E336" s="8">
        <f t="shared" si="27"/>
        <v>4.8927394014589751</v>
      </c>
      <c r="F336" s="8">
        <f t="shared" si="28"/>
        <v>23.93889885058913</v>
      </c>
      <c r="G336" s="5">
        <f t="shared" si="29"/>
        <v>0.10872754225464389</v>
      </c>
    </row>
    <row r="337" spans="1:7" ht="15.75" customHeight="1">
      <c r="A337" s="3">
        <v>21886</v>
      </c>
      <c r="B337" s="4">
        <v>32</v>
      </c>
      <c r="C337">
        <f t="shared" si="25"/>
        <v>46.467821820437692</v>
      </c>
      <c r="D337" s="8">
        <f t="shared" si="26"/>
        <v>-14.467821820437692</v>
      </c>
      <c r="E337" s="8">
        <f t="shared" si="27"/>
        <v>14.467821820437692</v>
      </c>
      <c r="F337" s="8">
        <f t="shared" si="28"/>
        <v>209.31786822793302</v>
      </c>
      <c r="G337" s="5">
        <f t="shared" si="29"/>
        <v>0.45211943188867787</v>
      </c>
    </row>
    <row r="338" spans="1:7" ht="15.75" customHeight="1">
      <c r="A338" s="3">
        <v>21887</v>
      </c>
      <c r="B338" s="4">
        <v>46</v>
      </c>
      <c r="C338">
        <f t="shared" si="25"/>
        <v>36.340346546131308</v>
      </c>
      <c r="D338" s="8">
        <f t="shared" si="26"/>
        <v>9.6596534538686925</v>
      </c>
      <c r="E338" s="8">
        <f t="shared" si="27"/>
        <v>9.6596534538686925</v>
      </c>
      <c r="F338" s="8">
        <f t="shared" si="28"/>
        <v>93.308904848837358</v>
      </c>
      <c r="G338" s="5">
        <f t="shared" si="29"/>
        <v>0.20999246638844984</v>
      </c>
    </row>
    <row r="339" spans="1:7" ht="15.75" customHeight="1">
      <c r="A339" s="3">
        <v>21888</v>
      </c>
      <c r="B339" s="4">
        <v>41</v>
      </c>
      <c r="C339">
        <f t="shared" si="25"/>
        <v>43.10210396383939</v>
      </c>
      <c r="D339" s="8">
        <f t="shared" si="26"/>
        <v>-2.1021039638393901</v>
      </c>
      <c r="E339" s="8">
        <f t="shared" si="27"/>
        <v>2.1021039638393901</v>
      </c>
      <c r="F339" s="8">
        <f t="shared" si="28"/>
        <v>4.4188410747892757</v>
      </c>
      <c r="G339" s="5">
        <f t="shared" si="29"/>
        <v>5.1270828386326586E-2</v>
      </c>
    </row>
    <row r="340" spans="1:7" ht="15.75" customHeight="1">
      <c r="A340" s="3">
        <v>21889</v>
      </c>
      <c r="B340" s="4">
        <v>34</v>
      </c>
      <c r="C340">
        <f t="shared" si="25"/>
        <v>41.630631189151813</v>
      </c>
      <c r="D340" s="8">
        <f t="shared" si="26"/>
        <v>-7.6306311891518135</v>
      </c>
      <c r="E340" s="8">
        <f t="shared" si="27"/>
        <v>7.6306311891518135</v>
      </c>
      <c r="F340" s="8">
        <f t="shared" si="28"/>
        <v>58.226532344856416</v>
      </c>
      <c r="G340" s="5">
        <f t="shared" si="29"/>
        <v>0.22443032909270039</v>
      </c>
    </row>
    <row r="341" spans="1:7" ht="15.75" customHeight="1">
      <c r="A341" s="3">
        <v>21890</v>
      </c>
      <c r="B341" s="4">
        <v>33</v>
      </c>
      <c r="C341">
        <f t="shared" si="25"/>
        <v>36.289189356745538</v>
      </c>
      <c r="D341" s="8">
        <f t="shared" si="26"/>
        <v>-3.2891893567455384</v>
      </c>
      <c r="E341" s="8">
        <f t="shared" si="27"/>
        <v>3.2891893567455384</v>
      </c>
      <c r="F341" s="8">
        <f t="shared" si="28"/>
        <v>10.818766624528129</v>
      </c>
      <c r="G341" s="5">
        <f t="shared" si="29"/>
        <v>9.9672404749864801E-2</v>
      </c>
    </row>
    <row r="342" spans="1:7" ht="15.75" customHeight="1">
      <c r="A342" s="3">
        <v>21891</v>
      </c>
      <c r="B342" s="4">
        <v>36</v>
      </c>
      <c r="C342">
        <f t="shared" si="25"/>
        <v>33.98675680702366</v>
      </c>
      <c r="D342" s="8">
        <f t="shared" si="26"/>
        <v>2.0132431929763399</v>
      </c>
      <c r="E342" s="8">
        <f t="shared" si="27"/>
        <v>2.0132431929763399</v>
      </c>
      <c r="F342" s="8">
        <f t="shared" si="28"/>
        <v>4.0531481540655685</v>
      </c>
      <c r="G342" s="5">
        <f t="shared" si="29"/>
        <v>5.5923422027120556E-2</v>
      </c>
    </row>
    <row r="343" spans="1:7" ht="15.75" customHeight="1">
      <c r="A343" s="3">
        <v>21892</v>
      </c>
      <c r="B343" s="4">
        <v>49</v>
      </c>
      <c r="C343">
        <f t="shared" si="25"/>
        <v>35.396027042107093</v>
      </c>
      <c r="D343" s="8">
        <f t="shared" si="26"/>
        <v>13.603972957892907</v>
      </c>
      <c r="E343" s="8">
        <f t="shared" si="27"/>
        <v>13.603972957892907</v>
      </c>
      <c r="F343" s="8">
        <f t="shared" si="28"/>
        <v>185.0680802390815</v>
      </c>
      <c r="G343" s="5">
        <f t="shared" si="29"/>
        <v>0.2776321011814879</v>
      </c>
    </row>
    <row r="344" spans="1:7" ht="15.75" customHeight="1">
      <c r="A344" s="3">
        <v>21893</v>
      </c>
      <c r="B344" s="4">
        <v>43</v>
      </c>
      <c r="C344">
        <f t="shared" si="25"/>
        <v>44.918808112632121</v>
      </c>
      <c r="D344" s="8">
        <f t="shared" si="26"/>
        <v>-1.9188081126321208</v>
      </c>
      <c r="E344" s="8">
        <f t="shared" si="27"/>
        <v>1.9188081126321208</v>
      </c>
      <c r="F344" s="8">
        <f t="shared" si="28"/>
        <v>3.6818245731028418</v>
      </c>
      <c r="G344" s="5">
        <f t="shared" si="29"/>
        <v>4.4623444479816761E-2</v>
      </c>
    </row>
    <row r="345" spans="1:7" ht="15.75" customHeight="1">
      <c r="A345" s="3">
        <v>21894</v>
      </c>
      <c r="B345" s="4">
        <v>43</v>
      </c>
      <c r="C345">
        <f t="shared" si="25"/>
        <v>43.575642433789632</v>
      </c>
      <c r="D345" s="8">
        <f t="shared" si="26"/>
        <v>-0.57564243378963198</v>
      </c>
      <c r="E345" s="8">
        <f t="shared" si="27"/>
        <v>0.57564243378963198</v>
      </c>
      <c r="F345" s="8">
        <f t="shared" si="28"/>
        <v>0.33136421157925083</v>
      </c>
      <c r="G345" s="5">
        <f t="shared" si="29"/>
        <v>1.3387033343944929E-2</v>
      </c>
    </row>
    <row r="346" spans="1:7" ht="15.75" customHeight="1">
      <c r="A346" s="3">
        <v>21895</v>
      </c>
      <c r="B346" s="4">
        <v>34</v>
      </c>
      <c r="C346">
        <f t="shared" si="25"/>
        <v>43.172692730136887</v>
      </c>
      <c r="D346" s="8">
        <f t="shared" si="26"/>
        <v>-9.1726927301368875</v>
      </c>
      <c r="E346" s="8">
        <f t="shared" si="27"/>
        <v>9.1726927301368875</v>
      </c>
      <c r="F346" s="8">
        <f t="shared" si="28"/>
        <v>84.138291921506109</v>
      </c>
      <c r="G346" s="5">
        <f t="shared" si="29"/>
        <v>0.26978508029814374</v>
      </c>
    </row>
    <row r="347" spans="1:7" ht="15.75" customHeight="1">
      <c r="A347" s="3">
        <v>21896</v>
      </c>
      <c r="B347" s="4">
        <v>39</v>
      </c>
      <c r="C347">
        <f t="shared" si="25"/>
        <v>36.751807819041062</v>
      </c>
      <c r="D347" s="8">
        <f t="shared" si="26"/>
        <v>2.248192180958938</v>
      </c>
      <c r="E347" s="8">
        <f t="shared" si="27"/>
        <v>2.248192180958938</v>
      </c>
      <c r="F347" s="8">
        <f t="shared" si="28"/>
        <v>5.0543680825249062</v>
      </c>
      <c r="G347" s="5">
        <f t="shared" si="29"/>
        <v>5.7645953357921491E-2</v>
      </c>
    </row>
    <row r="348" spans="1:7" ht="15.75" customHeight="1">
      <c r="A348" s="3">
        <v>21897</v>
      </c>
      <c r="B348" s="4">
        <v>35</v>
      </c>
      <c r="C348">
        <f t="shared" si="25"/>
        <v>38.325542345712314</v>
      </c>
      <c r="D348" s="8">
        <f t="shared" si="26"/>
        <v>-3.3255423457123143</v>
      </c>
      <c r="E348" s="8">
        <f t="shared" si="27"/>
        <v>3.3255423457123143</v>
      </c>
      <c r="F348" s="8">
        <f t="shared" si="28"/>
        <v>11.059231893125762</v>
      </c>
      <c r="G348" s="5">
        <f t="shared" si="29"/>
        <v>9.5015495591780408E-2</v>
      </c>
    </row>
    <row r="349" spans="1:7" ht="15.75" customHeight="1">
      <c r="A349" s="3">
        <v>21898</v>
      </c>
      <c r="B349" s="4">
        <v>52</v>
      </c>
      <c r="C349">
        <f t="shared" si="25"/>
        <v>35.997662703713694</v>
      </c>
      <c r="D349" s="8">
        <f t="shared" si="26"/>
        <v>16.002337296286306</v>
      </c>
      <c r="E349" s="8">
        <f t="shared" si="27"/>
        <v>16.002337296286306</v>
      </c>
      <c r="F349" s="8">
        <f t="shared" si="28"/>
        <v>256.07479894411574</v>
      </c>
      <c r="G349" s="5">
        <f t="shared" si="29"/>
        <v>0.30773725569781357</v>
      </c>
    </row>
    <row r="350" spans="1:7" ht="15.75" customHeight="1">
      <c r="A350" s="3">
        <v>21899</v>
      </c>
      <c r="B350" s="4">
        <v>47</v>
      </c>
      <c r="C350">
        <f t="shared" si="25"/>
        <v>47.199298811114105</v>
      </c>
      <c r="D350" s="8">
        <f t="shared" si="26"/>
        <v>-0.19929881111410452</v>
      </c>
      <c r="E350" s="8">
        <f t="shared" si="27"/>
        <v>0.19929881111410452</v>
      </c>
      <c r="F350" s="8">
        <f t="shared" si="28"/>
        <v>3.9720016111495511E-2</v>
      </c>
      <c r="G350" s="5">
        <f t="shared" si="29"/>
        <v>4.2404002364703087E-3</v>
      </c>
    </row>
    <row r="351" spans="1:7" ht="15.75" customHeight="1">
      <c r="A351" s="3">
        <v>21900</v>
      </c>
      <c r="B351" s="4">
        <v>52</v>
      </c>
      <c r="C351">
        <f t="shared" si="25"/>
        <v>47.059789643334227</v>
      </c>
      <c r="D351" s="8">
        <f t="shared" si="26"/>
        <v>4.9402103566657729</v>
      </c>
      <c r="E351" s="8">
        <f t="shared" si="27"/>
        <v>4.9402103566657729</v>
      </c>
      <c r="F351" s="8">
        <f t="shared" si="28"/>
        <v>24.405678368107765</v>
      </c>
      <c r="G351" s="5">
        <f t="shared" si="29"/>
        <v>9.5004045320495639E-2</v>
      </c>
    </row>
    <row r="352" spans="1:7" ht="15.75" customHeight="1">
      <c r="A352" s="3">
        <v>21901</v>
      </c>
      <c r="B352" s="4">
        <v>39</v>
      </c>
      <c r="C352">
        <f t="shared" si="25"/>
        <v>50.517936893000268</v>
      </c>
      <c r="D352" s="8">
        <f t="shared" si="26"/>
        <v>-11.517936893000268</v>
      </c>
      <c r="E352" s="8">
        <f t="shared" si="27"/>
        <v>11.517936893000268</v>
      </c>
      <c r="F352" s="8">
        <f t="shared" si="28"/>
        <v>132.66287027113668</v>
      </c>
      <c r="G352" s="5">
        <f t="shared" si="29"/>
        <v>0.29533171520513507</v>
      </c>
    </row>
    <row r="353" spans="1:7" ht="15.75" customHeight="1">
      <c r="A353" s="3">
        <v>21902</v>
      </c>
      <c r="B353" s="4">
        <v>40</v>
      </c>
      <c r="C353">
        <f t="shared" si="25"/>
        <v>42.455381067900078</v>
      </c>
      <c r="D353" s="8">
        <f t="shared" si="26"/>
        <v>-2.4553810679000776</v>
      </c>
      <c r="E353" s="8">
        <f t="shared" si="27"/>
        <v>2.4553810679000776</v>
      </c>
      <c r="F353" s="8">
        <f t="shared" si="28"/>
        <v>6.0288961886021255</v>
      </c>
      <c r="G353" s="5">
        <f t="shared" si="29"/>
        <v>6.138452669750194E-2</v>
      </c>
    </row>
    <row r="354" spans="1:7" ht="15.75" customHeight="1">
      <c r="A354" s="3">
        <v>21903</v>
      </c>
      <c r="B354" s="4">
        <v>42</v>
      </c>
      <c r="C354">
        <f t="shared" si="25"/>
        <v>40.736614320370023</v>
      </c>
      <c r="D354" s="8">
        <f t="shared" si="26"/>
        <v>1.2633856796299767</v>
      </c>
      <c r="E354" s="8">
        <f t="shared" si="27"/>
        <v>1.2633856796299767</v>
      </c>
      <c r="F354" s="8">
        <f t="shared" si="28"/>
        <v>1.5961433754940981</v>
      </c>
      <c r="G354" s="5">
        <f t="shared" si="29"/>
        <v>3.0080611419761351E-2</v>
      </c>
    </row>
    <row r="355" spans="1:7" ht="15.75" customHeight="1">
      <c r="A355" s="3">
        <v>21904</v>
      </c>
      <c r="B355" s="4">
        <v>42</v>
      </c>
      <c r="C355">
        <f t="shared" si="25"/>
        <v>41.620984296111004</v>
      </c>
      <c r="D355" s="8">
        <f t="shared" si="26"/>
        <v>0.37901570388899586</v>
      </c>
      <c r="E355" s="8">
        <f t="shared" si="27"/>
        <v>0.37901570388899586</v>
      </c>
      <c r="F355" s="8">
        <f t="shared" si="28"/>
        <v>0.14365290379447099</v>
      </c>
      <c r="G355" s="5">
        <f t="shared" si="29"/>
        <v>9.0241834259284729E-3</v>
      </c>
    </row>
    <row r="356" spans="1:7" ht="15.75" customHeight="1">
      <c r="A356" s="3">
        <v>21905</v>
      </c>
      <c r="B356" s="4">
        <v>53</v>
      </c>
      <c r="C356">
        <f t="shared" si="25"/>
        <v>41.886295288833296</v>
      </c>
      <c r="D356" s="8">
        <f t="shared" si="26"/>
        <v>11.113704711166704</v>
      </c>
      <c r="E356" s="8">
        <f t="shared" si="27"/>
        <v>11.113704711166704</v>
      </c>
      <c r="F356" s="8">
        <f t="shared" si="28"/>
        <v>123.514432407009</v>
      </c>
      <c r="G356" s="5">
        <f t="shared" si="29"/>
        <v>0.2096925417201265</v>
      </c>
    </row>
    <row r="357" spans="1:7" ht="15.75" customHeight="1">
      <c r="A357" s="3">
        <v>21906</v>
      </c>
      <c r="B357" s="4">
        <v>39</v>
      </c>
      <c r="C357">
        <f t="shared" si="25"/>
        <v>49.665888586649984</v>
      </c>
      <c r="D357" s="8">
        <f t="shared" si="26"/>
        <v>-10.665888586649984</v>
      </c>
      <c r="E357" s="8">
        <f t="shared" si="27"/>
        <v>10.665888586649984</v>
      </c>
      <c r="F357" s="8">
        <f t="shared" si="28"/>
        <v>113.7611793428304</v>
      </c>
      <c r="G357" s="5">
        <f t="shared" si="29"/>
        <v>0.27348432273461498</v>
      </c>
    </row>
    <row r="358" spans="1:7" ht="15.75" customHeight="1">
      <c r="A358" s="3">
        <v>21907</v>
      </c>
      <c r="B358" s="4">
        <v>40</v>
      </c>
      <c r="C358">
        <f t="shared" si="25"/>
        <v>42.199766575994992</v>
      </c>
      <c r="D358" s="8">
        <f t="shared" si="26"/>
        <v>-2.1997665759949925</v>
      </c>
      <c r="E358" s="8">
        <f t="shared" si="27"/>
        <v>2.1997665759949925</v>
      </c>
      <c r="F358" s="8">
        <f t="shared" si="28"/>
        <v>4.8389729888647333</v>
      </c>
      <c r="G358" s="5">
        <f t="shared" si="29"/>
        <v>5.4994164399874812E-2</v>
      </c>
    </row>
    <row r="359" spans="1:7" ht="15.75" customHeight="1">
      <c r="A359" s="3">
        <v>21908</v>
      </c>
      <c r="B359" s="4">
        <v>38</v>
      </c>
      <c r="C359">
        <f t="shared" si="25"/>
        <v>40.659929972798494</v>
      </c>
      <c r="D359" s="8">
        <f t="shared" si="26"/>
        <v>-2.6599299727984942</v>
      </c>
      <c r="E359" s="8">
        <f t="shared" si="27"/>
        <v>2.6599299727984942</v>
      </c>
      <c r="F359" s="8">
        <f t="shared" si="28"/>
        <v>7.0752274601917984</v>
      </c>
      <c r="G359" s="5">
        <f t="shared" si="29"/>
        <v>6.9998157178907741E-2</v>
      </c>
    </row>
    <row r="360" spans="1:7" ht="15.75" customHeight="1">
      <c r="A360" s="3">
        <v>21909</v>
      </c>
      <c r="B360" s="4">
        <v>44</v>
      </c>
      <c r="C360">
        <f t="shared" si="25"/>
        <v>38.797978991839543</v>
      </c>
      <c r="D360" s="8">
        <f t="shared" si="26"/>
        <v>5.2020210081604574</v>
      </c>
      <c r="E360" s="8">
        <f t="shared" si="27"/>
        <v>5.2020210081604574</v>
      </c>
      <c r="F360" s="8">
        <f t="shared" si="28"/>
        <v>27.061022569342743</v>
      </c>
      <c r="G360" s="5">
        <f t="shared" si="29"/>
        <v>0.11822775018546494</v>
      </c>
    </row>
    <row r="361" spans="1:7" ht="15.75" customHeight="1">
      <c r="A361" s="3">
        <v>21910</v>
      </c>
      <c r="B361" s="4">
        <v>34</v>
      </c>
      <c r="C361">
        <f t="shared" si="25"/>
        <v>42.439393697551857</v>
      </c>
      <c r="D361" s="8">
        <f t="shared" si="26"/>
        <v>-8.4393936975518571</v>
      </c>
      <c r="E361" s="8">
        <f t="shared" si="27"/>
        <v>8.4393936975518571</v>
      </c>
      <c r="F361" s="8">
        <f t="shared" si="28"/>
        <v>71.223365982278011</v>
      </c>
      <c r="G361" s="5">
        <f t="shared" si="29"/>
        <v>0.24821746169270167</v>
      </c>
    </row>
    <row r="362" spans="1:7" ht="15.75" customHeight="1">
      <c r="A362" s="3">
        <v>21911</v>
      </c>
      <c r="B362" s="4">
        <v>37</v>
      </c>
      <c r="C362">
        <f t="shared" si="25"/>
        <v>36.531818109265558</v>
      </c>
      <c r="D362" s="8">
        <f t="shared" si="26"/>
        <v>0.46818189073444216</v>
      </c>
      <c r="E362" s="8">
        <f t="shared" si="27"/>
        <v>0.46818189073444216</v>
      </c>
      <c r="F362" s="8">
        <f t="shared" si="28"/>
        <v>0.21919428281167713</v>
      </c>
      <c r="G362" s="5">
        <f t="shared" si="29"/>
        <v>1.2653564614444383E-2</v>
      </c>
    </row>
    <row r="363" spans="1:7" ht="15.75" customHeight="1">
      <c r="A363" s="3">
        <v>21912</v>
      </c>
      <c r="B363" s="4">
        <v>52</v>
      </c>
      <c r="C363">
        <f t="shared" si="25"/>
        <v>36.859545432779669</v>
      </c>
      <c r="D363" s="8">
        <f t="shared" si="26"/>
        <v>15.140454567220331</v>
      </c>
      <c r="E363" s="8">
        <f t="shared" si="27"/>
        <v>15.140454567220331</v>
      </c>
      <c r="F363" s="8">
        <f t="shared" si="28"/>
        <v>229.23336450206298</v>
      </c>
      <c r="G363" s="5">
        <f t="shared" si="29"/>
        <v>0.29116258783116022</v>
      </c>
    </row>
    <row r="364" spans="1:7" ht="15.75" customHeight="1">
      <c r="A364" s="3">
        <v>21913</v>
      </c>
      <c r="B364" s="4">
        <v>48</v>
      </c>
      <c r="C364">
        <f t="shared" si="25"/>
        <v>47.457863629833895</v>
      </c>
      <c r="D364" s="8">
        <f t="shared" si="26"/>
        <v>0.54213637016610505</v>
      </c>
      <c r="E364" s="8">
        <f t="shared" si="27"/>
        <v>0.54213637016610505</v>
      </c>
      <c r="F364" s="8">
        <f t="shared" si="28"/>
        <v>0.29391184385688007</v>
      </c>
      <c r="G364" s="5">
        <f t="shared" si="29"/>
        <v>1.1294507711793855E-2</v>
      </c>
    </row>
    <row r="365" spans="1:7" ht="15.75" customHeight="1">
      <c r="A365" s="3">
        <v>21914</v>
      </c>
      <c r="B365" s="4">
        <v>55</v>
      </c>
      <c r="C365">
        <f t="shared" si="25"/>
        <v>47.837359088950166</v>
      </c>
      <c r="D365" s="8">
        <f t="shared" si="26"/>
        <v>7.1626409110498344</v>
      </c>
      <c r="E365" s="8">
        <f t="shared" si="27"/>
        <v>7.1626409110498344</v>
      </c>
      <c r="F365" s="8">
        <f t="shared" si="28"/>
        <v>51.3034248206448</v>
      </c>
      <c r="G365" s="5">
        <f t="shared" si="29"/>
        <v>0.13022983474636063</v>
      </c>
    </row>
    <row r="366" spans="1:7" ht="15.75" customHeight="1">
      <c r="A366" s="3">
        <v>21915</v>
      </c>
      <c r="B366" s="4">
        <v>50</v>
      </c>
      <c r="C366">
        <f t="shared" si="25"/>
        <v>52.851207726685047</v>
      </c>
      <c r="D366" s="8">
        <f t="shared" si="26"/>
        <v>-2.8512077266850469</v>
      </c>
      <c r="E366" s="8">
        <f t="shared" si="27"/>
        <v>2.8512077266850469</v>
      </c>
      <c r="F366" s="8">
        <f t="shared" si="28"/>
        <v>8.1293855007085121</v>
      </c>
      <c r="G366" s="5">
        <f t="shared" si="29"/>
        <v>5.7024154533700938E-2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F7E1-1B96-4A72-9B50-3DC6C36A06EA}">
  <dimension ref="A1:K1000"/>
  <sheetViews>
    <sheetView workbookViewId="0">
      <selection activeCell="K8" sqref="K8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8.699218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13.69921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0.8*B3+0.2*C3</f>
        <v>32.6</v>
      </c>
      <c r="D4" s="8">
        <f t="shared" ref="D4:D67" si="1">B4-C4</f>
        <v>-2.6000000000000014</v>
      </c>
      <c r="E4" s="8">
        <f t="shared" ref="E4:E67" si="2">ABS(D4)</f>
        <v>2.6000000000000014</v>
      </c>
      <c r="F4" s="8">
        <f t="shared" ref="F4:F67" si="3">E4^2</f>
        <v>6.7600000000000078</v>
      </c>
      <c r="G4" s="5">
        <f t="shared" ref="G4:G67" si="4">E4/B4</f>
        <v>8.6666666666666711E-2</v>
      </c>
    </row>
    <row r="5" spans="1:11" ht="15.75" customHeight="1">
      <c r="A5" s="3">
        <v>21554</v>
      </c>
      <c r="B5" s="4">
        <v>31</v>
      </c>
      <c r="C5">
        <f t="shared" si="0"/>
        <v>30.52</v>
      </c>
      <c r="D5" s="8">
        <f t="shared" si="1"/>
        <v>0.48000000000000043</v>
      </c>
      <c r="E5" s="8">
        <f t="shared" si="2"/>
        <v>0.48000000000000043</v>
      </c>
      <c r="F5" s="8">
        <f t="shared" si="3"/>
        <v>0.23040000000000041</v>
      </c>
      <c r="G5" s="5">
        <f t="shared" si="4"/>
        <v>1.5483870967741949E-2</v>
      </c>
    </row>
    <row r="6" spans="1:11" ht="15.75" customHeight="1">
      <c r="A6" s="3">
        <v>21555</v>
      </c>
      <c r="B6" s="4">
        <v>44</v>
      </c>
      <c r="C6">
        <f t="shared" si="0"/>
        <v>30.904</v>
      </c>
      <c r="D6" s="8">
        <f t="shared" si="1"/>
        <v>13.096</v>
      </c>
      <c r="E6" s="8">
        <f t="shared" si="2"/>
        <v>13.096</v>
      </c>
      <c r="F6" s="8">
        <f t="shared" si="3"/>
        <v>171.50521599999999</v>
      </c>
      <c r="G6" s="5">
        <f t="shared" si="4"/>
        <v>0.29763636363636364</v>
      </c>
    </row>
    <row r="7" spans="1:11" ht="15.75" customHeight="1">
      <c r="A7" s="3">
        <v>21556</v>
      </c>
      <c r="B7" s="4">
        <v>29</v>
      </c>
      <c r="C7">
        <f t="shared" si="0"/>
        <v>41.380800000000001</v>
      </c>
      <c r="D7" s="8">
        <f t="shared" si="1"/>
        <v>-12.380800000000001</v>
      </c>
      <c r="E7" s="8">
        <f t="shared" si="2"/>
        <v>12.380800000000001</v>
      </c>
      <c r="F7" s="8">
        <f t="shared" si="3"/>
        <v>153.28420864000003</v>
      </c>
      <c r="G7" s="5">
        <f t="shared" si="4"/>
        <v>0.42692413793103451</v>
      </c>
    </row>
    <row r="8" spans="1:11" ht="15.75" customHeight="1">
      <c r="A8" s="3">
        <v>21557</v>
      </c>
      <c r="B8" s="4">
        <v>45</v>
      </c>
      <c r="C8">
        <f t="shared" si="0"/>
        <v>31.476160000000004</v>
      </c>
      <c r="D8" s="8">
        <f t="shared" si="1"/>
        <v>13.523839999999996</v>
      </c>
      <c r="E8" s="8">
        <f t="shared" si="2"/>
        <v>13.523839999999996</v>
      </c>
      <c r="F8" s="8">
        <f t="shared" si="3"/>
        <v>182.89424834559989</v>
      </c>
      <c r="G8" s="5">
        <f t="shared" si="4"/>
        <v>0.30052977777777767</v>
      </c>
      <c r="J8" s="2" t="s">
        <v>7</v>
      </c>
      <c r="K8" s="8">
        <f>AVERAGE(E3:E366)</f>
        <v>6.7057751618144712</v>
      </c>
    </row>
    <row r="9" spans="1:11" ht="15.75" customHeight="1">
      <c r="A9" s="3">
        <v>21558</v>
      </c>
      <c r="B9" s="4">
        <v>43</v>
      </c>
      <c r="C9">
        <f t="shared" si="0"/>
        <v>42.295231999999999</v>
      </c>
      <c r="D9" s="8">
        <f t="shared" si="1"/>
        <v>0.70476800000000139</v>
      </c>
      <c r="E9" s="8">
        <f t="shared" si="2"/>
        <v>0.70476800000000139</v>
      </c>
      <c r="F9" s="8">
        <f t="shared" si="3"/>
        <v>0.49669793382400196</v>
      </c>
      <c r="G9" s="5">
        <f t="shared" si="4"/>
        <v>1.6389953488372126E-2</v>
      </c>
      <c r="J9" s="2" t="s">
        <v>8</v>
      </c>
      <c r="K9" s="8">
        <f>AVERAGE(F3:F366)</f>
        <v>71.390421794067294</v>
      </c>
    </row>
    <row r="10" spans="1:11" ht="15.75" customHeight="1" thickBot="1">
      <c r="A10" s="3">
        <v>21559</v>
      </c>
      <c r="B10" s="4">
        <v>38</v>
      </c>
      <c r="C10">
        <f t="shared" si="0"/>
        <v>42.859046399999997</v>
      </c>
      <c r="D10" s="8">
        <f t="shared" si="1"/>
        <v>-4.8590463999999969</v>
      </c>
      <c r="E10" s="8">
        <f t="shared" si="2"/>
        <v>4.8590463999999969</v>
      </c>
      <c r="F10" s="8">
        <f t="shared" si="3"/>
        <v>23.61033191735293</v>
      </c>
      <c r="G10" s="5">
        <f t="shared" si="4"/>
        <v>0.12786964210526308</v>
      </c>
      <c r="J10" s="9" t="s">
        <v>9</v>
      </c>
      <c r="K10" s="10">
        <f>AVERAGE(G3:G366)</f>
        <v>0.16213799477196475</v>
      </c>
    </row>
    <row r="11" spans="1:11" ht="15.75" customHeight="1" thickTop="1">
      <c r="A11" s="3">
        <v>21560</v>
      </c>
      <c r="B11" s="4">
        <v>27</v>
      </c>
      <c r="C11">
        <f t="shared" si="0"/>
        <v>38.971809280000002</v>
      </c>
      <c r="D11" s="8">
        <f t="shared" si="1"/>
        <v>-11.971809280000002</v>
      </c>
      <c r="E11" s="8">
        <f t="shared" si="2"/>
        <v>11.971809280000002</v>
      </c>
      <c r="F11" s="8">
        <f t="shared" si="3"/>
        <v>143.32421743669417</v>
      </c>
      <c r="G11" s="5">
        <f t="shared" si="4"/>
        <v>0.44340034370370379</v>
      </c>
      <c r="J11" s="2" t="s">
        <v>10</v>
      </c>
      <c r="K11" s="5">
        <f>100%-K10</f>
        <v>0.83786200522803522</v>
      </c>
    </row>
    <row r="12" spans="1:11" ht="15.75" customHeight="1">
      <c r="A12" s="3">
        <v>21561</v>
      </c>
      <c r="B12" s="4">
        <v>38</v>
      </c>
      <c r="C12">
        <f t="shared" si="0"/>
        <v>29.394361856000003</v>
      </c>
      <c r="D12" s="8">
        <f t="shared" si="1"/>
        <v>8.6056381439999967</v>
      </c>
      <c r="E12" s="8">
        <f t="shared" si="2"/>
        <v>8.6056381439999967</v>
      </c>
      <c r="F12" s="8">
        <f t="shared" si="3"/>
        <v>74.05700786546771</v>
      </c>
      <c r="G12" s="5">
        <f t="shared" si="4"/>
        <v>0.22646416168421044</v>
      </c>
    </row>
    <row r="13" spans="1:11" ht="15.75" customHeight="1">
      <c r="A13" s="3">
        <v>21562</v>
      </c>
      <c r="B13" s="4">
        <v>33</v>
      </c>
      <c r="C13">
        <f t="shared" si="0"/>
        <v>36.278872371200002</v>
      </c>
      <c r="D13" s="8">
        <f t="shared" si="1"/>
        <v>-3.2788723712000021</v>
      </c>
      <c r="E13" s="8">
        <f t="shared" si="2"/>
        <v>3.2788723712000021</v>
      </c>
      <c r="F13" s="8">
        <f t="shared" si="3"/>
        <v>10.751004026618725</v>
      </c>
      <c r="G13" s="5">
        <f t="shared" si="4"/>
        <v>9.9359768824242481E-2</v>
      </c>
    </row>
    <row r="14" spans="1:11" ht="15.75" customHeight="1">
      <c r="A14" s="3">
        <v>21563</v>
      </c>
      <c r="B14" s="4">
        <v>55</v>
      </c>
      <c r="C14">
        <f t="shared" si="0"/>
        <v>33.655774474240005</v>
      </c>
      <c r="D14" s="8">
        <f t="shared" si="1"/>
        <v>21.344225525759995</v>
      </c>
      <c r="E14" s="8">
        <f t="shared" si="2"/>
        <v>21.344225525759995</v>
      </c>
      <c r="F14" s="8">
        <f t="shared" si="3"/>
        <v>455.57596329450456</v>
      </c>
      <c r="G14" s="5">
        <f t="shared" si="4"/>
        <v>0.38807682774109081</v>
      </c>
    </row>
    <row r="15" spans="1:11" ht="15.75" customHeight="1">
      <c r="A15" s="3">
        <v>21564</v>
      </c>
      <c r="B15" s="4">
        <v>47</v>
      </c>
      <c r="C15">
        <f t="shared" si="0"/>
        <v>50.731154894848004</v>
      </c>
      <c r="D15" s="8">
        <f t="shared" si="1"/>
        <v>-3.7311548948480038</v>
      </c>
      <c r="E15" s="8">
        <f t="shared" si="2"/>
        <v>3.7311548948480038</v>
      </c>
      <c r="F15" s="8">
        <f t="shared" si="3"/>
        <v>13.921516849348219</v>
      </c>
      <c r="G15" s="5">
        <f t="shared" si="4"/>
        <v>7.9386274358468165E-2</v>
      </c>
    </row>
    <row r="16" spans="1:11" ht="15.75" customHeight="1">
      <c r="A16" s="3">
        <v>21565</v>
      </c>
      <c r="B16" s="4">
        <v>45</v>
      </c>
      <c r="C16">
        <f t="shared" si="0"/>
        <v>47.746230978969606</v>
      </c>
      <c r="D16" s="8">
        <f t="shared" si="1"/>
        <v>-2.7462309789696064</v>
      </c>
      <c r="E16" s="8">
        <f t="shared" si="2"/>
        <v>2.7462309789696064</v>
      </c>
      <c r="F16" s="8">
        <f t="shared" si="3"/>
        <v>7.5417845898523632</v>
      </c>
      <c r="G16" s="5">
        <f t="shared" si="4"/>
        <v>6.1027355088213477E-2</v>
      </c>
    </row>
    <row r="17" spans="1:7" ht="15.75" customHeight="1">
      <c r="A17" s="3">
        <v>21566</v>
      </c>
      <c r="B17" s="4">
        <v>37</v>
      </c>
      <c r="C17">
        <f t="shared" si="0"/>
        <v>45.54924619579392</v>
      </c>
      <c r="D17" s="8">
        <f t="shared" si="1"/>
        <v>-8.5492461957939199</v>
      </c>
      <c r="E17" s="8">
        <f t="shared" si="2"/>
        <v>8.5492461957939199</v>
      </c>
      <c r="F17" s="8">
        <f t="shared" si="3"/>
        <v>73.089610516296815</v>
      </c>
      <c r="G17" s="5">
        <f t="shared" si="4"/>
        <v>0.23106070799443026</v>
      </c>
    </row>
    <row r="18" spans="1:7" ht="15.75" customHeight="1">
      <c r="A18" s="3">
        <v>21567</v>
      </c>
      <c r="B18" s="4">
        <v>50</v>
      </c>
      <c r="C18">
        <f t="shared" si="0"/>
        <v>38.709849239158785</v>
      </c>
      <c r="D18" s="8">
        <f t="shared" si="1"/>
        <v>11.290150760841215</v>
      </c>
      <c r="E18" s="8">
        <f t="shared" si="2"/>
        <v>11.290150760841215</v>
      </c>
      <c r="F18" s="8">
        <f t="shared" si="3"/>
        <v>127.46750420252346</v>
      </c>
      <c r="G18" s="5">
        <f t="shared" si="4"/>
        <v>0.2258030152168243</v>
      </c>
    </row>
    <row r="19" spans="1:7" ht="15.75" customHeight="1">
      <c r="A19" s="3">
        <v>21568</v>
      </c>
      <c r="B19" s="4">
        <v>43</v>
      </c>
      <c r="C19">
        <f t="shared" si="0"/>
        <v>47.741969847831754</v>
      </c>
      <c r="D19" s="8">
        <f t="shared" si="1"/>
        <v>-4.7419698478317542</v>
      </c>
      <c r="E19" s="8">
        <f t="shared" si="2"/>
        <v>4.7419698478317542</v>
      </c>
      <c r="F19" s="8">
        <f t="shared" si="3"/>
        <v>22.48627803774551</v>
      </c>
      <c r="G19" s="5">
        <f t="shared" si="4"/>
        <v>0.11027836855422685</v>
      </c>
    </row>
    <row r="20" spans="1:7" ht="15.75" customHeight="1">
      <c r="A20" s="3">
        <v>21569</v>
      </c>
      <c r="B20" s="4">
        <v>41</v>
      </c>
      <c r="C20">
        <f t="shared" si="0"/>
        <v>43.948393969566354</v>
      </c>
      <c r="D20" s="8">
        <f t="shared" si="1"/>
        <v>-2.9483939695663537</v>
      </c>
      <c r="E20" s="8">
        <f t="shared" si="2"/>
        <v>2.9483939695663537</v>
      </c>
      <c r="F20" s="8">
        <f t="shared" si="3"/>
        <v>8.6930269997752401</v>
      </c>
      <c r="G20" s="5">
        <f t="shared" si="4"/>
        <v>7.1912048038203752E-2</v>
      </c>
    </row>
    <row r="21" spans="1:7" ht="15.75" customHeight="1">
      <c r="A21" s="3">
        <v>21570</v>
      </c>
      <c r="B21" s="4">
        <v>52</v>
      </c>
      <c r="C21">
        <f t="shared" si="0"/>
        <v>41.589678793913279</v>
      </c>
      <c r="D21" s="8">
        <f t="shared" si="1"/>
        <v>10.410321206086721</v>
      </c>
      <c r="E21" s="8">
        <f t="shared" si="2"/>
        <v>10.410321206086721</v>
      </c>
      <c r="F21" s="8">
        <f t="shared" si="3"/>
        <v>108.37478761389887</v>
      </c>
      <c r="G21" s="5">
        <f t="shared" si="4"/>
        <v>0.20019848473243693</v>
      </c>
    </row>
    <row r="22" spans="1:7" ht="15.75" customHeight="1">
      <c r="A22" s="3">
        <v>21571</v>
      </c>
      <c r="B22" s="4">
        <v>34</v>
      </c>
      <c r="C22">
        <f t="shared" si="0"/>
        <v>49.917935758782662</v>
      </c>
      <c r="D22" s="8">
        <f t="shared" si="1"/>
        <v>-15.917935758782662</v>
      </c>
      <c r="E22" s="8">
        <f t="shared" si="2"/>
        <v>15.917935758782662</v>
      </c>
      <c r="F22" s="8">
        <f t="shared" si="3"/>
        <v>253.38067882073176</v>
      </c>
      <c r="G22" s="5">
        <f t="shared" si="4"/>
        <v>0.46817458114066651</v>
      </c>
    </row>
    <row r="23" spans="1:7" ht="15.75" customHeight="1">
      <c r="A23" s="3">
        <v>21572</v>
      </c>
      <c r="B23" s="4">
        <v>53</v>
      </c>
      <c r="C23">
        <f t="shared" si="0"/>
        <v>37.183587151756534</v>
      </c>
      <c r="D23" s="8">
        <f t="shared" si="1"/>
        <v>15.816412848243466</v>
      </c>
      <c r="E23" s="8">
        <f t="shared" si="2"/>
        <v>15.816412848243466</v>
      </c>
      <c r="F23" s="8">
        <f t="shared" si="3"/>
        <v>250.15891538608099</v>
      </c>
      <c r="G23" s="5">
        <f t="shared" si="4"/>
        <v>0.29842288392912203</v>
      </c>
    </row>
    <row r="24" spans="1:7" ht="15.75" customHeight="1">
      <c r="A24" s="3">
        <v>21573</v>
      </c>
      <c r="B24" s="4">
        <v>39</v>
      </c>
      <c r="C24">
        <f t="shared" si="0"/>
        <v>49.836717430351314</v>
      </c>
      <c r="D24" s="8">
        <f t="shared" si="1"/>
        <v>-10.836717430351314</v>
      </c>
      <c r="E24" s="8">
        <f t="shared" si="2"/>
        <v>10.836717430351314</v>
      </c>
      <c r="F24" s="8">
        <f t="shared" si="3"/>
        <v>117.43444466527998</v>
      </c>
      <c r="G24" s="5">
        <f t="shared" si="4"/>
        <v>0.27786454949618755</v>
      </c>
    </row>
    <row r="25" spans="1:7" ht="15.75" customHeight="1">
      <c r="A25" s="3">
        <v>21574</v>
      </c>
      <c r="B25" s="4">
        <v>32</v>
      </c>
      <c r="C25">
        <f t="shared" si="0"/>
        <v>41.167343486070266</v>
      </c>
      <c r="D25" s="8">
        <f t="shared" si="1"/>
        <v>-9.1673434860702656</v>
      </c>
      <c r="E25" s="8">
        <f t="shared" si="2"/>
        <v>9.1673434860702656</v>
      </c>
      <c r="F25" s="8">
        <f t="shared" si="3"/>
        <v>84.040186591594932</v>
      </c>
      <c r="G25" s="5">
        <f t="shared" si="4"/>
        <v>0.2864794839396958</v>
      </c>
    </row>
    <row r="26" spans="1:7" ht="15.75" customHeight="1">
      <c r="A26" s="3">
        <v>21575</v>
      </c>
      <c r="B26" s="4">
        <v>37</v>
      </c>
      <c r="C26">
        <f t="shared" si="0"/>
        <v>33.833468697214059</v>
      </c>
      <c r="D26" s="8">
        <f t="shared" si="1"/>
        <v>3.1665313027859412</v>
      </c>
      <c r="E26" s="8">
        <f t="shared" si="2"/>
        <v>3.1665313027859412</v>
      </c>
      <c r="F26" s="8">
        <f t="shared" si="3"/>
        <v>10.02692049152323</v>
      </c>
      <c r="G26" s="5">
        <f t="shared" si="4"/>
        <v>8.5581927102322736E-2</v>
      </c>
    </row>
    <row r="27" spans="1:7" ht="15.75" customHeight="1">
      <c r="A27" s="3">
        <v>21576</v>
      </c>
      <c r="B27" s="4">
        <v>43</v>
      </c>
      <c r="C27">
        <f t="shared" si="0"/>
        <v>36.366693739442816</v>
      </c>
      <c r="D27" s="8">
        <f t="shared" si="1"/>
        <v>6.633306260557184</v>
      </c>
      <c r="E27" s="8">
        <f t="shared" si="2"/>
        <v>6.633306260557184</v>
      </c>
      <c r="F27" s="8">
        <f t="shared" si="3"/>
        <v>44.00075194634713</v>
      </c>
      <c r="G27" s="5">
        <f t="shared" si="4"/>
        <v>0.15426293629202753</v>
      </c>
    </row>
    <row r="28" spans="1:7" ht="15.75" customHeight="1">
      <c r="A28" s="3">
        <v>21577</v>
      </c>
      <c r="B28" s="4">
        <v>39</v>
      </c>
      <c r="C28">
        <f t="shared" si="0"/>
        <v>41.673338747888565</v>
      </c>
      <c r="D28" s="8">
        <f t="shared" si="1"/>
        <v>-2.6733387478885646</v>
      </c>
      <c r="E28" s="8">
        <f t="shared" si="2"/>
        <v>2.6733387478885646</v>
      </c>
      <c r="F28" s="8">
        <f t="shared" si="3"/>
        <v>7.1467400609623981</v>
      </c>
      <c r="G28" s="5">
        <f t="shared" si="4"/>
        <v>6.8547147381758072E-2</v>
      </c>
    </row>
    <row r="29" spans="1:7" ht="15.75" customHeight="1">
      <c r="A29" s="3">
        <v>21578</v>
      </c>
      <c r="B29" s="4">
        <v>35</v>
      </c>
      <c r="C29">
        <f t="shared" si="0"/>
        <v>39.534667749577714</v>
      </c>
      <c r="D29" s="8">
        <f t="shared" si="1"/>
        <v>-4.5346677495777143</v>
      </c>
      <c r="E29" s="8">
        <f t="shared" si="2"/>
        <v>4.5346677495777143</v>
      </c>
      <c r="F29" s="8">
        <f t="shared" si="3"/>
        <v>20.563211599060214</v>
      </c>
      <c r="G29" s="5">
        <f t="shared" si="4"/>
        <v>0.12956193570222041</v>
      </c>
    </row>
    <row r="30" spans="1:7" ht="15.75" customHeight="1">
      <c r="A30" s="3">
        <v>21579</v>
      </c>
      <c r="B30" s="4">
        <v>44</v>
      </c>
      <c r="C30">
        <f t="shared" si="0"/>
        <v>35.906933549915543</v>
      </c>
      <c r="D30" s="8">
        <f t="shared" si="1"/>
        <v>8.0930664500844571</v>
      </c>
      <c r="E30" s="8">
        <f t="shared" si="2"/>
        <v>8.0930664500844571</v>
      </c>
      <c r="F30" s="8">
        <f t="shared" si="3"/>
        <v>65.497724565482642</v>
      </c>
      <c r="G30" s="5">
        <f t="shared" si="4"/>
        <v>0.1839333284110104</v>
      </c>
    </row>
    <row r="31" spans="1:7" ht="15.75" customHeight="1">
      <c r="A31" s="3">
        <v>21580</v>
      </c>
      <c r="B31" s="4">
        <v>38</v>
      </c>
      <c r="C31">
        <f t="shared" si="0"/>
        <v>42.381386709983111</v>
      </c>
      <c r="D31" s="8">
        <f t="shared" si="1"/>
        <v>-4.3813867099831114</v>
      </c>
      <c r="E31" s="8">
        <f t="shared" si="2"/>
        <v>4.3813867099831114</v>
      </c>
      <c r="F31" s="8">
        <f t="shared" si="3"/>
        <v>19.196549502416634</v>
      </c>
      <c r="G31" s="5">
        <f t="shared" si="4"/>
        <v>0.11529965026271345</v>
      </c>
    </row>
    <row r="32" spans="1:7" ht="15.75" customHeight="1">
      <c r="A32" s="3">
        <v>21581</v>
      </c>
      <c r="B32" s="4">
        <v>24</v>
      </c>
      <c r="C32">
        <f t="shared" si="0"/>
        <v>38.876277341996627</v>
      </c>
      <c r="D32" s="8">
        <f t="shared" si="1"/>
        <v>-14.876277341996627</v>
      </c>
      <c r="E32" s="8">
        <f t="shared" si="2"/>
        <v>14.876277341996627</v>
      </c>
      <c r="F32" s="8">
        <f t="shared" si="3"/>
        <v>221.30362755600223</v>
      </c>
      <c r="G32" s="5">
        <f t="shared" si="4"/>
        <v>0.61984488924985948</v>
      </c>
    </row>
    <row r="33" spans="1:7" ht="15.75" customHeight="1">
      <c r="A33" s="3">
        <v>21582</v>
      </c>
      <c r="B33" s="4">
        <v>23</v>
      </c>
      <c r="C33">
        <f t="shared" si="0"/>
        <v>26.975255468399329</v>
      </c>
      <c r="D33" s="8">
        <f t="shared" si="1"/>
        <v>-3.9752554683993289</v>
      </c>
      <c r="E33" s="8">
        <f t="shared" si="2"/>
        <v>3.9752554683993289</v>
      </c>
      <c r="F33" s="8">
        <f t="shared" si="3"/>
        <v>15.802656039038768</v>
      </c>
      <c r="G33" s="5">
        <f t="shared" si="4"/>
        <v>0.17283719427823169</v>
      </c>
    </row>
    <row r="34" spans="1:7" ht="15.75" customHeight="1">
      <c r="A34" s="3">
        <v>21583</v>
      </c>
      <c r="B34" s="4">
        <v>31</v>
      </c>
      <c r="C34">
        <f t="shared" si="0"/>
        <v>23.795051093679866</v>
      </c>
      <c r="D34" s="8">
        <f t="shared" si="1"/>
        <v>7.2049489063201335</v>
      </c>
      <c r="E34" s="8">
        <f t="shared" si="2"/>
        <v>7.2049489063201335</v>
      </c>
      <c r="F34" s="8">
        <f t="shared" si="3"/>
        <v>51.911288742683688</v>
      </c>
      <c r="G34" s="5">
        <f t="shared" si="4"/>
        <v>0.23241770665548817</v>
      </c>
    </row>
    <row r="35" spans="1:7" ht="15.75" customHeight="1">
      <c r="A35" s="3">
        <v>21584</v>
      </c>
      <c r="B35" s="4">
        <v>44</v>
      </c>
      <c r="C35">
        <f t="shared" si="0"/>
        <v>29.559010218735974</v>
      </c>
      <c r="D35" s="8">
        <f t="shared" si="1"/>
        <v>14.440989781264026</v>
      </c>
      <c r="E35" s="8">
        <f t="shared" si="2"/>
        <v>14.440989781264026</v>
      </c>
      <c r="F35" s="8">
        <f t="shared" si="3"/>
        <v>208.54218586257201</v>
      </c>
      <c r="G35" s="5">
        <f t="shared" si="4"/>
        <v>0.32820431321054605</v>
      </c>
    </row>
    <row r="36" spans="1:7" ht="15.75" customHeight="1">
      <c r="A36" s="3">
        <v>21585</v>
      </c>
      <c r="B36" s="4">
        <v>38</v>
      </c>
      <c r="C36">
        <f t="shared" si="0"/>
        <v>41.111802043747197</v>
      </c>
      <c r="D36" s="8">
        <f t="shared" si="1"/>
        <v>-3.1118020437471969</v>
      </c>
      <c r="E36" s="8">
        <f t="shared" si="2"/>
        <v>3.1118020437471969</v>
      </c>
      <c r="F36" s="8">
        <f t="shared" si="3"/>
        <v>9.683311959469231</v>
      </c>
      <c r="G36" s="5">
        <f t="shared" si="4"/>
        <v>8.18895274670315E-2</v>
      </c>
    </row>
    <row r="37" spans="1:7" ht="15.75" customHeight="1">
      <c r="A37" s="3">
        <v>21586</v>
      </c>
      <c r="B37" s="4">
        <v>50</v>
      </c>
      <c r="C37">
        <f t="shared" si="0"/>
        <v>38.622360408749444</v>
      </c>
      <c r="D37" s="8">
        <f t="shared" si="1"/>
        <v>11.377639591250556</v>
      </c>
      <c r="E37" s="8">
        <f t="shared" si="2"/>
        <v>11.377639591250556</v>
      </c>
      <c r="F37" s="8">
        <f t="shared" si="3"/>
        <v>129.45068266839212</v>
      </c>
      <c r="G37" s="5">
        <f t="shared" si="4"/>
        <v>0.22755279182501112</v>
      </c>
    </row>
    <row r="38" spans="1:7" ht="15.75" customHeight="1">
      <c r="A38" s="3">
        <v>21587</v>
      </c>
      <c r="B38" s="4">
        <v>38</v>
      </c>
      <c r="C38">
        <f t="shared" si="0"/>
        <v>47.724472081749887</v>
      </c>
      <c r="D38" s="8">
        <f t="shared" si="1"/>
        <v>-9.7244720817498873</v>
      </c>
      <c r="E38" s="8">
        <f t="shared" si="2"/>
        <v>9.7244720817498873</v>
      </c>
      <c r="F38" s="8">
        <f t="shared" si="3"/>
        <v>94.565357268732981</v>
      </c>
      <c r="G38" s="5">
        <f t="shared" si="4"/>
        <v>0.25590716004604969</v>
      </c>
    </row>
    <row r="39" spans="1:7" ht="15.75" customHeight="1">
      <c r="A39" s="3">
        <v>21588</v>
      </c>
      <c r="B39" s="4">
        <v>51</v>
      </c>
      <c r="C39">
        <f t="shared" si="0"/>
        <v>39.944894416349982</v>
      </c>
      <c r="D39" s="8">
        <f t="shared" si="1"/>
        <v>11.055105583650018</v>
      </c>
      <c r="E39" s="8">
        <f t="shared" si="2"/>
        <v>11.055105583650018</v>
      </c>
      <c r="F39" s="8">
        <f t="shared" si="3"/>
        <v>122.21535946564981</v>
      </c>
      <c r="G39" s="5">
        <f t="shared" si="4"/>
        <v>0.21676677615000037</v>
      </c>
    </row>
    <row r="40" spans="1:7" ht="15.75" customHeight="1">
      <c r="A40" s="3">
        <v>21589</v>
      </c>
      <c r="B40" s="4">
        <v>31</v>
      </c>
      <c r="C40">
        <f t="shared" si="0"/>
        <v>48.788978883270005</v>
      </c>
      <c r="D40" s="8">
        <f t="shared" si="1"/>
        <v>-17.788978883270005</v>
      </c>
      <c r="E40" s="8">
        <f t="shared" si="2"/>
        <v>17.788978883270005</v>
      </c>
      <c r="F40" s="8">
        <f t="shared" si="3"/>
        <v>316.44776970942615</v>
      </c>
      <c r="G40" s="5">
        <f t="shared" si="4"/>
        <v>0.57383802849258081</v>
      </c>
    </row>
    <row r="41" spans="1:7" ht="15.75" customHeight="1">
      <c r="A41" s="3">
        <v>21590</v>
      </c>
      <c r="B41" s="4">
        <v>31</v>
      </c>
      <c r="C41">
        <f t="shared" si="0"/>
        <v>34.557795776654004</v>
      </c>
      <c r="D41" s="8">
        <f t="shared" si="1"/>
        <v>-3.5577957766540038</v>
      </c>
      <c r="E41" s="8">
        <f t="shared" si="2"/>
        <v>3.5577957766540038</v>
      </c>
      <c r="F41" s="8">
        <f t="shared" si="3"/>
        <v>12.657910788377066</v>
      </c>
      <c r="G41" s="5">
        <f t="shared" si="4"/>
        <v>0.11476760569851625</v>
      </c>
    </row>
    <row r="42" spans="1:7" ht="15.75" customHeight="1">
      <c r="A42" s="3">
        <v>21591</v>
      </c>
      <c r="B42" s="4">
        <v>51</v>
      </c>
      <c r="C42">
        <f t="shared" si="0"/>
        <v>31.711559155330804</v>
      </c>
      <c r="D42" s="8">
        <f t="shared" si="1"/>
        <v>19.288440844669196</v>
      </c>
      <c r="E42" s="8">
        <f t="shared" si="2"/>
        <v>19.288440844669196</v>
      </c>
      <c r="F42" s="8">
        <f t="shared" si="3"/>
        <v>372.04395021830294</v>
      </c>
      <c r="G42" s="5">
        <f t="shared" si="4"/>
        <v>0.37820472244449405</v>
      </c>
    </row>
    <row r="43" spans="1:7" ht="15.75" customHeight="1">
      <c r="A43" s="3">
        <v>21592</v>
      </c>
      <c r="B43" s="4">
        <v>36</v>
      </c>
      <c r="C43">
        <f t="shared" si="0"/>
        <v>47.142311831066166</v>
      </c>
      <c r="D43" s="8">
        <f t="shared" si="1"/>
        <v>-11.142311831066166</v>
      </c>
      <c r="E43" s="8">
        <f t="shared" si="2"/>
        <v>11.142311831066166</v>
      </c>
      <c r="F43" s="8">
        <f t="shared" si="3"/>
        <v>124.15111294071707</v>
      </c>
      <c r="G43" s="5">
        <f t="shared" si="4"/>
        <v>0.30950866197406018</v>
      </c>
    </row>
    <row r="44" spans="1:7" ht="15.75" customHeight="1">
      <c r="A44" s="3">
        <v>21593</v>
      </c>
      <c r="B44" s="4">
        <v>45</v>
      </c>
      <c r="C44">
        <f t="shared" si="0"/>
        <v>38.228462366213236</v>
      </c>
      <c r="D44" s="8">
        <f t="shared" si="1"/>
        <v>6.7715376337867639</v>
      </c>
      <c r="E44" s="8">
        <f t="shared" si="2"/>
        <v>6.7715376337867639</v>
      </c>
      <c r="F44" s="8">
        <f t="shared" si="3"/>
        <v>45.853721925790445</v>
      </c>
      <c r="G44" s="5">
        <f t="shared" si="4"/>
        <v>0.15047861408415031</v>
      </c>
    </row>
    <row r="45" spans="1:7" ht="15.75" customHeight="1">
      <c r="A45" s="3">
        <v>21594</v>
      </c>
      <c r="B45" s="4">
        <v>51</v>
      </c>
      <c r="C45">
        <f t="shared" si="0"/>
        <v>43.645692473242647</v>
      </c>
      <c r="D45" s="8">
        <f t="shared" si="1"/>
        <v>7.3543075267573528</v>
      </c>
      <c r="E45" s="8">
        <f t="shared" si="2"/>
        <v>7.3543075267573528</v>
      </c>
      <c r="F45" s="8">
        <f t="shared" si="3"/>
        <v>54.085839198119849</v>
      </c>
      <c r="G45" s="5">
        <f t="shared" si="4"/>
        <v>0.14420210836779124</v>
      </c>
    </row>
    <row r="46" spans="1:7" ht="15.75" customHeight="1">
      <c r="A46" s="3">
        <v>21595</v>
      </c>
      <c r="B46" s="4">
        <v>34</v>
      </c>
      <c r="C46">
        <f t="shared" si="0"/>
        <v>49.529138494648535</v>
      </c>
      <c r="D46" s="8">
        <f t="shared" si="1"/>
        <v>-15.529138494648535</v>
      </c>
      <c r="E46" s="8">
        <f t="shared" si="2"/>
        <v>15.529138494648535</v>
      </c>
      <c r="F46" s="8">
        <f t="shared" si="3"/>
        <v>241.15414238597498</v>
      </c>
      <c r="G46" s="5">
        <f t="shared" si="4"/>
        <v>0.45673936748966282</v>
      </c>
    </row>
    <row r="47" spans="1:7" ht="15.75" customHeight="1">
      <c r="A47" s="3">
        <v>21596</v>
      </c>
      <c r="B47" s="4">
        <v>52</v>
      </c>
      <c r="C47">
        <f t="shared" si="0"/>
        <v>37.105827698929708</v>
      </c>
      <c r="D47" s="8">
        <f t="shared" si="1"/>
        <v>14.894172301070292</v>
      </c>
      <c r="E47" s="8">
        <f t="shared" si="2"/>
        <v>14.894172301070292</v>
      </c>
      <c r="F47" s="8">
        <f t="shared" si="3"/>
        <v>221.83636853396951</v>
      </c>
      <c r="G47" s="5">
        <f t="shared" si="4"/>
        <v>0.28642639040519791</v>
      </c>
    </row>
    <row r="48" spans="1:7" ht="15.75" customHeight="1">
      <c r="A48" s="3">
        <v>21597</v>
      </c>
      <c r="B48" s="4">
        <v>47</v>
      </c>
      <c r="C48">
        <f t="shared" si="0"/>
        <v>49.02116553978594</v>
      </c>
      <c r="D48" s="8">
        <f t="shared" si="1"/>
        <v>-2.0211655397859403</v>
      </c>
      <c r="E48" s="8">
        <f t="shared" si="2"/>
        <v>2.0211655397859403</v>
      </c>
      <c r="F48" s="8">
        <f t="shared" si="3"/>
        <v>4.085110139218191</v>
      </c>
      <c r="G48" s="5">
        <f t="shared" si="4"/>
        <v>4.3003522123105112E-2</v>
      </c>
    </row>
    <row r="49" spans="1:7" ht="15.75" customHeight="1">
      <c r="A49" s="3">
        <v>21598</v>
      </c>
      <c r="B49" s="4">
        <v>45</v>
      </c>
      <c r="C49">
        <f t="shared" si="0"/>
        <v>47.404233107957189</v>
      </c>
      <c r="D49" s="8">
        <f t="shared" si="1"/>
        <v>-2.4042331079571895</v>
      </c>
      <c r="E49" s="8">
        <f t="shared" si="2"/>
        <v>2.4042331079571895</v>
      </c>
      <c r="F49" s="8">
        <f t="shared" si="3"/>
        <v>5.7803368373974866</v>
      </c>
      <c r="G49" s="5">
        <f t="shared" si="4"/>
        <v>5.3427402399048654E-2</v>
      </c>
    </row>
    <row r="50" spans="1:7" ht="15.75" customHeight="1">
      <c r="A50" s="3">
        <v>21599</v>
      </c>
      <c r="B50" s="4">
        <v>46</v>
      </c>
      <c r="C50">
        <f t="shared" si="0"/>
        <v>45.480846621591439</v>
      </c>
      <c r="D50" s="8">
        <f t="shared" si="1"/>
        <v>0.51915337840856068</v>
      </c>
      <c r="E50" s="8">
        <f t="shared" si="2"/>
        <v>0.51915337840856068</v>
      </c>
      <c r="F50" s="8">
        <f t="shared" si="3"/>
        <v>0.26952023031302219</v>
      </c>
      <c r="G50" s="5">
        <f t="shared" si="4"/>
        <v>1.1285943008881754E-2</v>
      </c>
    </row>
    <row r="51" spans="1:7" ht="15.75" customHeight="1">
      <c r="A51" s="3">
        <v>21600</v>
      </c>
      <c r="B51" s="4">
        <v>39</v>
      </c>
      <c r="C51">
        <f t="shared" si="0"/>
        <v>45.896169324318294</v>
      </c>
      <c r="D51" s="8">
        <f t="shared" si="1"/>
        <v>-6.8961693243182935</v>
      </c>
      <c r="E51" s="8">
        <f t="shared" si="2"/>
        <v>6.8961693243182935</v>
      </c>
      <c r="F51" s="8">
        <f t="shared" si="3"/>
        <v>47.557151349668629</v>
      </c>
      <c r="G51" s="5">
        <f t="shared" si="4"/>
        <v>0.17682485446969984</v>
      </c>
    </row>
    <row r="52" spans="1:7" ht="15.75" customHeight="1">
      <c r="A52" s="3">
        <v>21601</v>
      </c>
      <c r="B52" s="4">
        <v>48</v>
      </c>
      <c r="C52">
        <f t="shared" si="0"/>
        <v>40.379233864863664</v>
      </c>
      <c r="D52" s="8">
        <f t="shared" si="1"/>
        <v>7.6207661351363356</v>
      </c>
      <c r="E52" s="8">
        <f t="shared" si="2"/>
        <v>7.6207661351363356</v>
      </c>
      <c r="F52" s="8">
        <f t="shared" si="3"/>
        <v>58.076076486440805</v>
      </c>
      <c r="G52" s="5">
        <f t="shared" si="4"/>
        <v>0.15876596114867367</v>
      </c>
    </row>
    <row r="53" spans="1:7" ht="15.75" customHeight="1">
      <c r="A53" s="3">
        <v>21602</v>
      </c>
      <c r="B53" s="4">
        <v>37</v>
      </c>
      <c r="C53">
        <f t="shared" si="0"/>
        <v>46.475846772972737</v>
      </c>
      <c r="D53" s="8">
        <f t="shared" si="1"/>
        <v>-9.4758467729727371</v>
      </c>
      <c r="E53" s="8">
        <f t="shared" si="2"/>
        <v>9.4758467729727371</v>
      </c>
      <c r="F53" s="8">
        <f t="shared" si="3"/>
        <v>89.791672064857835</v>
      </c>
      <c r="G53" s="5">
        <f t="shared" si="4"/>
        <v>0.25610396683710102</v>
      </c>
    </row>
    <row r="54" spans="1:7" ht="15.75" customHeight="1">
      <c r="A54" s="3">
        <v>21603</v>
      </c>
      <c r="B54" s="4">
        <v>35</v>
      </c>
      <c r="C54">
        <f t="shared" si="0"/>
        <v>38.89516935459455</v>
      </c>
      <c r="D54" s="8">
        <f t="shared" si="1"/>
        <v>-3.8951693545945503</v>
      </c>
      <c r="E54" s="8">
        <f t="shared" si="2"/>
        <v>3.8951693545945503</v>
      </c>
      <c r="F54" s="8">
        <f t="shared" si="3"/>
        <v>15.172344300972526</v>
      </c>
      <c r="G54" s="5">
        <f t="shared" si="4"/>
        <v>0.11129055298841573</v>
      </c>
    </row>
    <row r="55" spans="1:7" ht="15.75" customHeight="1">
      <c r="A55" s="3">
        <v>21604</v>
      </c>
      <c r="B55" s="4">
        <v>52</v>
      </c>
      <c r="C55">
        <f t="shared" si="0"/>
        <v>35.779033870918909</v>
      </c>
      <c r="D55" s="8">
        <f t="shared" si="1"/>
        <v>16.220966129081091</v>
      </c>
      <c r="E55" s="8">
        <f t="shared" si="2"/>
        <v>16.220966129081091</v>
      </c>
      <c r="F55" s="8">
        <f t="shared" si="3"/>
        <v>263.11974216079602</v>
      </c>
      <c r="G55" s="5">
        <f t="shared" si="4"/>
        <v>0.31194165632848253</v>
      </c>
    </row>
    <row r="56" spans="1:7" ht="15.75" customHeight="1">
      <c r="A56" s="3">
        <v>21605</v>
      </c>
      <c r="B56" s="4">
        <v>42</v>
      </c>
      <c r="C56">
        <f t="shared" si="0"/>
        <v>48.755806774183782</v>
      </c>
      <c r="D56" s="8">
        <f t="shared" si="1"/>
        <v>-6.7558067741837817</v>
      </c>
      <c r="E56" s="8">
        <f t="shared" si="2"/>
        <v>6.7558067741837817</v>
      </c>
      <c r="F56" s="8">
        <f t="shared" si="3"/>
        <v>45.640925170107472</v>
      </c>
      <c r="G56" s="5">
        <f t="shared" si="4"/>
        <v>0.160852542242471</v>
      </c>
    </row>
    <row r="57" spans="1:7" ht="15.75" customHeight="1">
      <c r="A57" s="3">
        <v>21606</v>
      </c>
      <c r="B57" s="4">
        <v>45</v>
      </c>
      <c r="C57">
        <f t="shared" si="0"/>
        <v>43.351161354836762</v>
      </c>
      <c r="D57" s="8">
        <f t="shared" si="1"/>
        <v>1.648838645163238</v>
      </c>
      <c r="E57" s="8">
        <f t="shared" si="2"/>
        <v>1.648838645163238</v>
      </c>
      <c r="F57" s="8">
        <f t="shared" si="3"/>
        <v>2.7186688777837422</v>
      </c>
      <c r="G57" s="5">
        <f t="shared" si="4"/>
        <v>3.6640858781405286E-2</v>
      </c>
    </row>
    <row r="58" spans="1:7" ht="15.75" customHeight="1">
      <c r="A58" s="3">
        <v>21607</v>
      </c>
      <c r="B58" s="4">
        <v>39</v>
      </c>
      <c r="C58">
        <f t="shared" si="0"/>
        <v>44.670232270967354</v>
      </c>
      <c r="D58" s="8">
        <f t="shared" si="1"/>
        <v>-5.6702322709673538</v>
      </c>
      <c r="E58" s="8">
        <f t="shared" si="2"/>
        <v>5.6702322709673538</v>
      </c>
      <c r="F58" s="8">
        <f t="shared" si="3"/>
        <v>32.151534006719594</v>
      </c>
      <c r="G58" s="5">
        <f t="shared" si="4"/>
        <v>0.14539057105044498</v>
      </c>
    </row>
    <row r="59" spans="1:7" ht="15.75" customHeight="1">
      <c r="A59" s="3">
        <v>21608</v>
      </c>
      <c r="B59" s="4">
        <v>37</v>
      </c>
      <c r="C59">
        <f t="shared" si="0"/>
        <v>40.134046454193474</v>
      </c>
      <c r="D59" s="8">
        <f t="shared" si="1"/>
        <v>-3.1340464541934736</v>
      </c>
      <c r="E59" s="8">
        <f t="shared" si="2"/>
        <v>3.1340464541934736</v>
      </c>
      <c r="F59" s="8">
        <f t="shared" si="3"/>
        <v>9.8222471770426854</v>
      </c>
      <c r="G59" s="5">
        <f t="shared" si="4"/>
        <v>8.4703958221445233E-2</v>
      </c>
    </row>
    <row r="60" spans="1:7" ht="15.75" customHeight="1">
      <c r="A60" s="3">
        <v>21609</v>
      </c>
      <c r="B60" s="4">
        <v>30</v>
      </c>
      <c r="C60">
        <f t="shared" si="0"/>
        <v>37.626809290838693</v>
      </c>
      <c r="D60" s="8">
        <f t="shared" si="1"/>
        <v>-7.6268092908386933</v>
      </c>
      <c r="E60" s="8">
        <f t="shared" si="2"/>
        <v>7.6268092908386933</v>
      </c>
      <c r="F60" s="8">
        <f t="shared" si="3"/>
        <v>58.168219958823414</v>
      </c>
      <c r="G60" s="5">
        <f t="shared" si="4"/>
        <v>0.25422697636128977</v>
      </c>
    </row>
    <row r="61" spans="1:7" ht="15.75" customHeight="1">
      <c r="A61" s="3">
        <v>21610</v>
      </c>
      <c r="B61" s="4">
        <v>35</v>
      </c>
      <c r="C61">
        <f t="shared" si="0"/>
        <v>31.525361858167738</v>
      </c>
      <c r="D61" s="8">
        <f t="shared" si="1"/>
        <v>3.4746381418322621</v>
      </c>
      <c r="E61" s="8">
        <f t="shared" si="2"/>
        <v>3.4746381418322621</v>
      </c>
      <c r="F61" s="8">
        <f t="shared" si="3"/>
        <v>12.073110216675556</v>
      </c>
      <c r="G61" s="5">
        <f t="shared" si="4"/>
        <v>9.9275375480921774E-2</v>
      </c>
    </row>
    <row r="62" spans="1:7" ht="15.75" customHeight="1">
      <c r="A62" s="3">
        <v>21611</v>
      </c>
      <c r="B62" s="4">
        <v>28</v>
      </c>
      <c r="C62">
        <f t="shared" si="0"/>
        <v>34.30507237163355</v>
      </c>
      <c r="D62" s="8">
        <f t="shared" si="1"/>
        <v>-6.3050723716335497</v>
      </c>
      <c r="E62" s="8">
        <f t="shared" si="2"/>
        <v>6.3050723716335497</v>
      </c>
      <c r="F62" s="8">
        <f t="shared" si="3"/>
        <v>39.753937611536713</v>
      </c>
      <c r="G62" s="5">
        <f t="shared" si="4"/>
        <v>0.22518115612976963</v>
      </c>
    </row>
    <row r="63" spans="1:7" ht="15.75" customHeight="1">
      <c r="A63" s="3">
        <v>21612</v>
      </c>
      <c r="B63" s="4">
        <v>45</v>
      </c>
      <c r="C63">
        <f t="shared" si="0"/>
        <v>29.261014474326714</v>
      </c>
      <c r="D63" s="8">
        <f t="shared" si="1"/>
        <v>15.738985525673286</v>
      </c>
      <c r="E63" s="8">
        <f t="shared" si="2"/>
        <v>15.738985525673286</v>
      </c>
      <c r="F63" s="8">
        <f t="shared" si="3"/>
        <v>247.71566537735319</v>
      </c>
      <c r="G63" s="5">
        <f t="shared" si="4"/>
        <v>0.34975523390385077</v>
      </c>
    </row>
    <row r="64" spans="1:7" ht="15.75" customHeight="1">
      <c r="A64" s="3">
        <v>21613</v>
      </c>
      <c r="B64" s="4">
        <v>34</v>
      </c>
      <c r="C64">
        <f t="shared" si="0"/>
        <v>41.852202894865343</v>
      </c>
      <c r="D64" s="8">
        <f t="shared" si="1"/>
        <v>-7.8522028948653428</v>
      </c>
      <c r="E64" s="8">
        <f t="shared" si="2"/>
        <v>7.8522028948653428</v>
      </c>
      <c r="F64" s="8">
        <f t="shared" si="3"/>
        <v>61.657090302131671</v>
      </c>
      <c r="G64" s="5">
        <f t="shared" si="4"/>
        <v>0.23094714396662774</v>
      </c>
    </row>
    <row r="65" spans="1:7" ht="15.75" customHeight="1">
      <c r="A65" s="3">
        <v>21614</v>
      </c>
      <c r="B65" s="4">
        <v>36</v>
      </c>
      <c r="C65">
        <f t="shared" si="0"/>
        <v>35.57044057897307</v>
      </c>
      <c r="D65" s="8">
        <f t="shared" si="1"/>
        <v>0.42955942102693001</v>
      </c>
      <c r="E65" s="8">
        <f t="shared" si="2"/>
        <v>0.42955942102693001</v>
      </c>
      <c r="F65" s="8">
        <f t="shared" si="3"/>
        <v>0.18452129619299132</v>
      </c>
      <c r="G65" s="5">
        <f t="shared" si="4"/>
        <v>1.1932206139636945E-2</v>
      </c>
    </row>
    <row r="66" spans="1:7" ht="15.75" customHeight="1">
      <c r="A66" s="3">
        <v>21615</v>
      </c>
      <c r="B66" s="4">
        <v>50</v>
      </c>
      <c r="C66">
        <f t="shared" si="0"/>
        <v>35.914088115794613</v>
      </c>
      <c r="D66" s="8">
        <f t="shared" si="1"/>
        <v>14.085911884205387</v>
      </c>
      <c r="E66" s="8">
        <f t="shared" si="2"/>
        <v>14.085911884205387</v>
      </c>
      <c r="F66" s="8">
        <f t="shared" si="3"/>
        <v>198.41291360959858</v>
      </c>
      <c r="G66" s="5">
        <f t="shared" si="4"/>
        <v>0.28171823768410775</v>
      </c>
    </row>
    <row r="67" spans="1:7" ht="15.75" customHeight="1">
      <c r="A67" s="3">
        <v>21616</v>
      </c>
      <c r="B67" s="4">
        <v>44</v>
      </c>
      <c r="C67">
        <f t="shared" si="0"/>
        <v>47.182817623158925</v>
      </c>
      <c r="D67" s="8">
        <f t="shared" si="1"/>
        <v>-3.1828176231589254</v>
      </c>
      <c r="E67" s="8">
        <f t="shared" si="2"/>
        <v>3.1828176231589254</v>
      </c>
      <c r="F67" s="8">
        <f t="shared" si="3"/>
        <v>10.130328022291032</v>
      </c>
      <c r="G67" s="5">
        <f t="shared" si="4"/>
        <v>7.2336764162702849E-2</v>
      </c>
    </row>
    <row r="68" spans="1:7" ht="15.75" customHeight="1">
      <c r="A68" s="3">
        <v>21617</v>
      </c>
      <c r="B68" s="4">
        <v>39</v>
      </c>
      <c r="C68">
        <f t="shared" ref="C68:C131" si="5">0.8*B67+0.2*C67</f>
        <v>44.636563524631789</v>
      </c>
      <c r="D68" s="8">
        <f t="shared" ref="D68:D131" si="6">B68-C68</f>
        <v>-5.6365635246317893</v>
      </c>
      <c r="E68" s="8">
        <f t="shared" ref="E68:E131" si="7">ABS(D68)</f>
        <v>5.6365635246317893</v>
      </c>
      <c r="F68" s="8">
        <f t="shared" ref="F68:F131" si="8">E68^2</f>
        <v>31.770848367209538</v>
      </c>
      <c r="G68" s="5">
        <f t="shared" ref="G68:G131" si="9">E68/B68</f>
        <v>0.14452726986235356</v>
      </c>
    </row>
    <row r="69" spans="1:7" ht="15.75" customHeight="1">
      <c r="A69" s="3">
        <v>21618</v>
      </c>
      <c r="B69" s="4">
        <v>32</v>
      </c>
      <c r="C69">
        <f t="shared" si="5"/>
        <v>40.127312704926361</v>
      </c>
      <c r="D69" s="8">
        <f t="shared" si="6"/>
        <v>-8.1273127049263607</v>
      </c>
      <c r="E69" s="8">
        <f t="shared" si="7"/>
        <v>8.1273127049263607</v>
      </c>
      <c r="F69" s="8">
        <f t="shared" si="8"/>
        <v>66.053211803657433</v>
      </c>
      <c r="G69" s="5">
        <f t="shared" si="9"/>
        <v>0.25397852202894877</v>
      </c>
    </row>
    <row r="70" spans="1:7" ht="15.75" customHeight="1">
      <c r="A70" s="3">
        <v>21619</v>
      </c>
      <c r="B70" s="4">
        <v>39</v>
      </c>
      <c r="C70">
        <f t="shared" si="5"/>
        <v>33.625462540985275</v>
      </c>
      <c r="D70" s="8">
        <f t="shared" si="6"/>
        <v>5.374537459014725</v>
      </c>
      <c r="E70" s="8">
        <f t="shared" si="7"/>
        <v>5.374537459014725</v>
      </c>
      <c r="F70" s="8">
        <f t="shared" si="8"/>
        <v>28.885652898352458</v>
      </c>
      <c r="G70" s="5">
        <f t="shared" si="9"/>
        <v>0.13780865279524937</v>
      </c>
    </row>
    <row r="71" spans="1:7" ht="15.75" customHeight="1">
      <c r="A71" s="3">
        <v>21620</v>
      </c>
      <c r="B71" s="4">
        <v>45</v>
      </c>
      <c r="C71">
        <f t="shared" si="5"/>
        <v>37.925092508197061</v>
      </c>
      <c r="D71" s="8">
        <f t="shared" si="6"/>
        <v>7.0749074918029393</v>
      </c>
      <c r="E71" s="8">
        <f t="shared" si="7"/>
        <v>7.0749074918029393</v>
      </c>
      <c r="F71" s="8">
        <f t="shared" si="8"/>
        <v>50.054316017569356</v>
      </c>
      <c r="G71" s="5">
        <f t="shared" si="9"/>
        <v>0.15722016648450976</v>
      </c>
    </row>
    <row r="72" spans="1:7" ht="15.75" customHeight="1">
      <c r="A72" s="3">
        <v>21621</v>
      </c>
      <c r="B72" s="4">
        <v>43</v>
      </c>
      <c r="C72">
        <f t="shared" si="5"/>
        <v>43.585018501639411</v>
      </c>
      <c r="D72" s="8">
        <f t="shared" si="6"/>
        <v>-0.58501850163941072</v>
      </c>
      <c r="E72" s="8">
        <f t="shared" si="7"/>
        <v>0.58501850163941072</v>
      </c>
      <c r="F72" s="8">
        <f t="shared" si="8"/>
        <v>0.3422466472604212</v>
      </c>
      <c r="G72" s="5">
        <f t="shared" si="9"/>
        <v>1.3605081433474667E-2</v>
      </c>
    </row>
    <row r="73" spans="1:7" ht="15.75" customHeight="1">
      <c r="A73" s="3">
        <v>21622</v>
      </c>
      <c r="B73" s="4">
        <v>39</v>
      </c>
      <c r="C73">
        <f t="shared" si="5"/>
        <v>43.117003700327885</v>
      </c>
      <c r="D73" s="8">
        <f t="shared" si="6"/>
        <v>-4.117003700327885</v>
      </c>
      <c r="E73" s="8">
        <f t="shared" si="7"/>
        <v>4.117003700327885</v>
      </c>
      <c r="F73" s="8">
        <f t="shared" si="8"/>
        <v>16.949719468513496</v>
      </c>
      <c r="G73" s="5">
        <f t="shared" si="9"/>
        <v>0.10556419744430474</v>
      </c>
    </row>
    <row r="74" spans="1:7" ht="15.75" customHeight="1">
      <c r="A74" s="3">
        <v>21623</v>
      </c>
      <c r="B74" s="4">
        <v>31</v>
      </c>
      <c r="C74">
        <f t="shared" si="5"/>
        <v>39.82340074006558</v>
      </c>
      <c r="D74" s="8">
        <f t="shared" si="6"/>
        <v>-8.8234007400655798</v>
      </c>
      <c r="E74" s="8">
        <f t="shared" si="7"/>
        <v>8.8234007400655798</v>
      </c>
      <c r="F74" s="8">
        <f t="shared" si="8"/>
        <v>77.852400619789819</v>
      </c>
      <c r="G74" s="5">
        <f t="shared" si="9"/>
        <v>0.28462583032469613</v>
      </c>
    </row>
    <row r="75" spans="1:7" ht="15.75" customHeight="1">
      <c r="A75" s="3">
        <v>21624</v>
      </c>
      <c r="B75" s="4">
        <v>27</v>
      </c>
      <c r="C75">
        <f t="shared" si="5"/>
        <v>32.764680148013113</v>
      </c>
      <c r="D75" s="8">
        <f t="shared" si="6"/>
        <v>-5.7646801480131131</v>
      </c>
      <c r="E75" s="8">
        <f t="shared" si="7"/>
        <v>5.7646801480131131</v>
      </c>
      <c r="F75" s="8">
        <f t="shared" si="8"/>
        <v>33.231537208896491</v>
      </c>
      <c r="G75" s="5">
        <f t="shared" si="9"/>
        <v>0.21350667214863381</v>
      </c>
    </row>
    <row r="76" spans="1:7" ht="15.75" customHeight="1">
      <c r="A76" s="3">
        <v>21625</v>
      </c>
      <c r="B76" s="4">
        <v>30</v>
      </c>
      <c r="C76">
        <f t="shared" si="5"/>
        <v>28.152936029602625</v>
      </c>
      <c r="D76" s="8">
        <f t="shared" si="6"/>
        <v>1.8470639703973752</v>
      </c>
      <c r="E76" s="8">
        <f t="shared" si="7"/>
        <v>1.8470639703973752</v>
      </c>
      <c r="F76" s="8">
        <f t="shared" si="8"/>
        <v>3.4116453107401159</v>
      </c>
      <c r="G76" s="5">
        <f t="shared" si="9"/>
        <v>6.1568799013245842E-2</v>
      </c>
    </row>
    <row r="77" spans="1:7" ht="15.75" customHeight="1">
      <c r="A77" s="3">
        <v>21626</v>
      </c>
      <c r="B77" s="4">
        <v>42</v>
      </c>
      <c r="C77">
        <f t="shared" si="5"/>
        <v>29.630587205920527</v>
      </c>
      <c r="D77" s="8">
        <f t="shared" si="6"/>
        <v>12.369412794079473</v>
      </c>
      <c r="E77" s="8">
        <f t="shared" si="7"/>
        <v>12.369412794079473</v>
      </c>
      <c r="F77" s="8">
        <f t="shared" si="8"/>
        <v>153.00237287033696</v>
      </c>
      <c r="G77" s="5">
        <f t="shared" si="9"/>
        <v>0.29450982843046364</v>
      </c>
    </row>
    <row r="78" spans="1:7" ht="15.75" customHeight="1">
      <c r="A78" s="3">
        <v>21627</v>
      </c>
      <c r="B78" s="4">
        <v>46</v>
      </c>
      <c r="C78">
        <f t="shared" si="5"/>
        <v>39.526117441184105</v>
      </c>
      <c r="D78" s="8">
        <f t="shared" si="6"/>
        <v>6.4738825588158946</v>
      </c>
      <c r="E78" s="8">
        <f t="shared" si="7"/>
        <v>6.4738825588158946</v>
      </c>
      <c r="F78" s="8">
        <f t="shared" si="8"/>
        <v>41.911155385340635</v>
      </c>
      <c r="G78" s="5">
        <f t="shared" si="9"/>
        <v>0.14073657736556291</v>
      </c>
    </row>
    <row r="79" spans="1:7" ht="15.75" customHeight="1">
      <c r="A79" s="3">
        <v>21628</v>
      </c>
      <c r="B79" s="4">
        <v>41</v>
      </c>
      <c r="C79">
        <f t="shared" si="5"/>
        <v>44.705223488236825</v>
      </c>
      <c r="D79" s="8">
        <f t="shared" si="6"/>
        <v>-3.7052234882368253</v>
      </c>
      <c r="E79" s="8">
        <f t="shared" si="7"/>
        <v>3.7052234882368253</v>
      </c>
      <c r="F79" s="8">
        <f t="shared" si="8"/>
        <v>13.728681097781868</v>
      </c>
      <c r="G79" s="5">
        <f t="shared" si="9"/>
        <v>9.0371304591142079E-2</v>
      </c>
    </row>
    <row r="80" spans="1:7" ht="15.75" customHeight="1">
      <c r="A80" s="3">
        <v>21629</v>
      </c>
      <c r="B80" s="4">
        <v>36</v>
      </c>
      <c r="C80">
        <f t="shared" si="5"/>
        <v>41.741044697647368</v>
      </c>
      <c r="D80" s="8">
        <f t="shared" si="6"/>
        <v>-5.7410446976473679</v>
      </c>
      <c r="E80" s="8">
        <f t="shared" si="7"/>
        <v>5.7410446976473679</v>
      </c>
      <c r="F80" s="8">
        <f t="shared" si="8"/>
        <v>32.959594220384957</v>
      </c>
      <c r="G80" s="5">
        <f t="shared" si="9"/>
        <v>0.159473463823538</v>
      </c>
    </row>
    <row r="81" spans="1:7" ht="15.75" customHeight="1">
      <c r="A81" s="3">
        <v>21630</v>
      </c>
      <c r="B81" s="4">
        <v>45</v>
      </c>
      <c r="C81">
        <f t="shared" si="5"/>
        <v>37.148208939529475</v>
      </c>
      <c r="D81" s="8">
        <f t="shared" si="6"/>
        <v>7.851791060470525</v>
      </c>
      <c r="E81" s="8">
        <f t="shared" si="7"/>
        <v>7.851791060470525</v>
      </c>
      <c r="F81" s="8">
        <f t="shared" si="8"/>
        <v>61.650622857284851</v>
      </c>
      <c r="G81" s="5">
        <f t="shared" si="9"/>
        <v>0.17448424578823388</v>
      </c>
    </row>
    <row r="82" spans="1:7" ht="15.75" customHeight="1">
      <c r="A82" s="3">
        <v>21631</v>
      </c>
      <c r="B82" s="4">
        <v>46</v>
      </c>
      <c r="C82">
        <f t="shared" si="5"/>
        <v>43.429641787905894</v>
      </c>
      <c r="D82" s="8">
        <f t="shared" si="6"/>
        <v>2.5703582120941064</v>
      </c>
      <c r="E82" s="8">
        <f t="shared" si="7"/>
        <v>2.5703582120941064</v>
      </c>
      <c r="F82" s="8">
        <f t="shared" si="8"/>
        <v>6.606741338479611</v>
      </c>
      <c r="G82" s="5">
        <f t="shared" si="9"/>
        <v>5.5877352436828398E-2</v>
      </c>
    </row>
    <row r="83" spans="1:7" ht="15.75" customHeight="1">
      <c r="A83" s="3">
        <v>21632</v>
      </c>
      <c r="B83" s="4">
        <v>43</v>
      </c>
      <c r="C83">
        <f t="shared" si="5"/>
        <v>45.485928357581187</v>
      </c>
      <c r="D83" s="8">
        <f t="shared" si="6"/>
        <v>-2.4859283575811872</v>
      </c>
      <c r="E83" s="8">
        <f t="shared" si="7"/>
        <v>2.4859283575811872</v>
      </c>
      <c r="F83" s="8">
        <f t="shared" si="8"/>
        <v>6.1798397990262988</v>
      </c>
      <c r="G83" s="5">
        <f t="shared" si="9"/>
        <v>5.7812287385609007E-2</v>
      </c>
    </row>
    <row r="84" spans="1:7" ht="15.75" customHeight="1">
      <c r="A84" s="3">
        <v>21633</v>
      </c>
      <c r="B84" s="4">
        <v>38</v>
      </c>
      <c r="C84">
        <f t="shared" si="5"/>
        <v>43.497185671516235</v>
      </c>
      <c r="D84" s="8">
        <f t="shared" si="6"/>
        <v>-5.4971856715162346</v>
      </c>
      <c r="E84" s="8">
        <f t="shared" si="7"/>
        <v>5.4971856715162346</v>
      </c>
      <c r="F84" s="8">
        <f t="shared" si="8"/>
        <v>30.219050307123396</v>
      </c>
      <c r="G84" s="5">
        <f t="shared" si="9"/>
        <v>0.14466278082937459</v>
      </c>
    </row>
    <row r="85" spans="1:7" ht="15.75" customHeight="1">
      <c r="A85" s="3">
        <v>21634</v>
      </c>
      <c r="B85" s="4">
        <v>34</v>
      </c>
      <c r="C85">
        <f t="shared" si="5"/>
        <v>39.099437134303251</v>
      </c>
      <c r="D85" s="8">
        <f t="shared" si="6"/>
        <v>-5.0994371343032512</v>
      </c>
      <c r="E85" s="8">
        <f t="shared" si="7"/>
        <v>5.0994371343032512</v>
      </c>
      <c r="F85" s="8">
        <f t="shared" si="8"/>
        <v>26.004259086710956</v>
      </c>
      <c r="G85" s="5">
        <f t="shared" si="9"/>
        <v>0.14998344512656622</v>
      </c>
    </row>
    <row r="86" spans="1:7" ht="15.75" customHeight="1">
      <c r="A86" s="3">
        <v>21635</v>
      </c>
      <c r="B86" s="4">
        <v>35</v>
      </c>
      <c r="C86">
        <f t="shared" si="5"/>
        <v>35.019887426860656</v>
      </c>
      <c r="D86" s="8">
        <f t="shared" si="6"/>
        <v>-1.9887426860655921E-2</v>
      </c>
      <c r="E86" s="8">
        <f t="shared" si="7"/>
        <v>1.9887426860655921E-2</v>
      </c>
      <c r="F86" s="8">
        <f t="shared" si="8"/>
        <v>3.9550974713793865E-4</v>
      </c>
      <c r="G86" s="5">
        <f t="shared" si="9"/>
        <v>5.6821219601874064E-4</v>
      </c>
    </row>
    <row r="87" spans="1:7" ht="15.75" customHeight="1">
      <c r="A87" s="3">
        <v>21636</v>
      </c>
      <c r="B87" s="4">
        <v>56</v>
      </c>
      <c r="C87">
        <f t="shared" si="5"/>
        <v>35.003977485372133</v>
      </c>
      <c r="D87" s="8">
        <f t="shared" si="6"/>
        <v>20.996022514627867</v>
      </c>
      <c r="E87" s="8">
        <f t="shared" si="7"/>
        <v>20.996022514627867</v>
      </c>
      <c r="F87" s="8">
        <f t="shared" si="8"/>
        <v>440.83296143476031</v>
      </c>
      <c r="G87" s="5">
        <f t="shared" si="9"/>
        <v>0.37492897347549764</v>
      </c>
    </row>
    <row r="88" spans="1:7" ht="15.75" customHeight="1">
      <c r="A88" s="3">
        <v>21637</v>
      </c>
      <c r="B88" s="4">
        <v>36</v>
      </c>
      <c r="C88">
        <f t="shared" si="5"/>
        <v>51.800795497074432</v>
      </c>
      <c r="D88" s="8">
        <f t="shared" si="6"/>
        <v>-15.800795497074432</v>
      </c>
      <c r="E88" s="8">
        <f t="shared" si="7"/>
        <v>15.800795497074432</v>
      </c>
      <c r="F88" s="8">
        <f t="shared" si="8"/>
        <v>249.66513834036766</v>
      </c>
      <c r="G88" s="5">
        <f t="shared" si="9"/>
        <v>0.43891098602984535</v>
      </c>
    </row>
    <row r="89" spans="1:7" ht="15.75" customHeight="1">
      <c r="A89" s="3">
        <v>21638</v>
      </c>
      <c r="B89" s="4">
        <v>32</v>
      </c>
      <c r="C89">
        <f t="shared" si="5"/>
        <v>39.160159099414884</v>
      </c>
      <c r="D89" s="8">
        <f t="shared" si="6"/>
        <v>-7.1601590994148836</v>
      </c>
      <c r="E89" s="8">
        <f t="shared" si="7"/>
        <v>7.1601590994148836</v>
      </c>
      <c r="F89" s="8">
        <f t="shared" si="8"/>
        <v>51.267878328933755</v>
      </c>
      <c r="G89" s="5">
        <f t="shared" si="9"/>
        <v>0.22375497185671511</v>
      </c>
    </row>
    <row r="90" spans="1:7" ht="15.75" customHeight="1">
      <c r="A90" s="3">
        <v>21639</v>
      </c>
      <c r="B90" s="4">
        <v>50</v>
      </c>
      <c r="C90">
        <f t="shared" si="5"/>
        <v>33.43203181988298</v>
      </c>
      <c r="D90" s="8">
        <f t="shared" si="6"/>
        <v>16.56796818011702</v>
      </c>
      <c r="E90" s="8">
        <f t="shared" si="7"/>
        <v>16.56796818011702</v>
      </c>
      <c r="F90" s="8">
        <f t="shared" si="8"/>
        <v>274.49756961737012</v>
      </c>
      <c r="G90" s="5">
        <f t="shared" si="9"/>
        <v>0.33135936360234042</v>
      </c>
    </row>
    <row r="91" spans="1:7" ht="15.75" customHeight="1">
      <c r="A91" s="3">
        <v>21640</v>
      </c>
      <c r="B91" s="4">
        <v>41</v>
      </c>
      <c r="C91">
        <f t="shared" si="5"/>
        <v>46.686406363976594</v>
      </c>
      <c r="D91" s="8">
        <f t="shared" si="6"/>
        <v>-5.6864063639765945</v>
      </c>
      <c r="E91" s="8">
        <f t="shared" si="7"/>
        <v>5.6864063639765945</v>
      </c>
      <c r="F91" s="8">
        <f t="shared" si="8"/>
        <v>32.335217336273516</v>
      </c>
      <c r="G91" s="5">
        <f t="shared" si="9"/>
        <v>0.1386928381457706</v>
      </c>
    </row>
    <row r="92" spans="1:7" ht="15.75" customHeight="1">
      <c r="A92" s="3">
        <v>21641</v>
      </c>
      <c r="B92" s="4">
        <v>39</v>
      </c>
      <c r="C92">
        <f t="shared" si="5"/>
        <v>42.13728127279532</v>
      </c>
      <c r="D92" s="8">
        <f t="shared" si="6"/>
        <v>-3.1372812727953203</v>
      </c>
      <c r="E92" s="8">
        <f t="shared" si="7"/>
        <v>3.1372812727953203</v>
      </c>
      <c r="F92" s="8">
        <f t="shared" si="8"/>
        <v>9.8425337846322254</v>
      </c>
      <c r="G92" s="5">
        <f t="shared" si="9"/>
        <v>8.0443109558854364E-2</v>
      </c>
    </row>
    <row r="93" spans="1:7" ht="15.75" customHeight="1">
      <c r="A93" s="3">
        <v>21642</v>
      </c>
      <c r="B93" s="4">
        <v>41</v>
      </c>
      <c r="C93">
        <f t="shared" si="5"/>
        <v>39.627456254559064</v>
      </c>
      <c r="D93" s="8">
        <f t="shared" si="6"/>
        <v>1.3725437454409359</v>
      </c>
      <c r="E93" s="8">
        <f t="shared" si="7"/>
        <v>1.3725437454409359</v>
      </c>
      <c r="F93" s="8">
        <f t="shared" si="8"/>
        <v>1.8838763331490327</v>
      </c>
      <c r="G93" s="5">
        <f t="shared" si="9"/>
        <v>3.3476676718071606E-2</v>
      </c>
    </row>
    <row r="94" spans="1:7" ht="15.75" customHeight="1">
      <c r="A94" s="3">
        <v>21643</v>
      </c>
      <c r="B94" s="4">
        <v>47</v>
      </c>
      <c r="C94">
        <f t="shared" si="5"/>
        <v>40.725491250911816</v>
      </c>
      <c r="D94" s="8">
        <f t="shared" si="6"/>
        <v>6.2745087490881843</v>
      </c>
      <c r="E94" s="8">
        <f t="shared" si="7"/>
        <v>6.2745087490881843</v>
      </c>
      <c r="F94" s="8">
        <f t="shared" si="8"/>
        <v>39.369460042384169</v>
      </c>
      <c r="G94" s="5">
        <f t="shared" si="9"/>
        <v>0.13350018615081244</v>
      </c>
    </row>
    <row r="95" spans="1:7" ht="15.75" customHeight="1">
      <c r="A95" s="3">
        <v>21644</v>
      </c>
      <c r="B95" s="4">
        <v>34</v>
      </c>
      <c r="C95">
        <f t="shared" si="5"/>
        <v>45.745098250182366</v>
      </c>
      <c r="D95" s="8">
        <f t="shared" si="6"/>
        <v>-11.745098250182366</v>
      </c>
      <c r="E95" s="8">
        <f t="shared" si="7"/>
        <v>11.745098250182366</v>
      </c>
      <c r="F95" s="8">
        <f t="shared" si="8"/>
        <v>137.94733290643688</v>
      </c>
      <c r="G95" s="5">
        <f t="shared" si="9"/>
        <v>0.34544406618183432</v>
      </c>
    </row>
    <row r="96" spans="1:7" ht="15.75" customHeight="1">
      <c r="A96" s="3">
        <v>21645</v>
      </c>
      <c r="B96" s="4">
        <v>36</v>
      </c>
      <c r="C96">
        <f t="shared" si="5"/>
        <v>36.349019650036475</v>
      </c>
      <c r="D96" s="8">
        <f t="shared" si="6"/>
        <v>-0.34901965003647462</v>
      </c>
      <c r="E96" s="8">
        <f t="shared" si="7"/>
        <v>0.34901965003647462</v>
      </c>
      <c r="F96" s="8">
        <f t="shared" si="8"/>
        <v>0.12181471611158322</v>
      </c>
      <c r="G96" s="5">
        <f t="shared" si="9"/>
        <v>9.6949902787909614E-3</v>
      </c>
    </row>
    <row r="97" spans="1:7" ht="15.75" customHeight="1">
      <c r="A97" s="3">
        <v>21646</v>
      </c>
      <c r="B97" s="4">
        <v>33</v>
      </c>
      <c r="C97">
        <f t="shared" si="5"/>
        <v>36.069803930007296</v>
      </c>
      <c r="D97" s="8">
        <f t="shared" si="6"/>
        <v>-3.0698039300072963</v>
      </c>
      <c r="E97" s="8">
        <f t="shared" si="7"/>
        <v>3.0698039300072963</v>
      </c>
      <c r="F97" s="8">
        <f t="shared" si="8"/>
        <v>9.4236961686882417</v>
      </c>
      <c r="G97" s="5">
        <f t="shared" si="9"/>
        <v>9.3024361515372619E-2</v>
      </c>
    </row>
    <row r="98" spans="1:7" ht="15.75" customHeight="1">
      <c r="A98" s="3">
        <v>21647</v>
      </c>
      <c r="B98" s="4">
        <v>35</v>
      </c>
      <c r="C98">
        <f t="shared" si="5"/>
        <v>33.613960786001464</v>
      </c>
      <c r="D98" s="8">
        <f t="shared" si="6"/>
        <v>1.3860392139985365</v>
      </c>
      <c r="E98" s="8">
        <f t="shared" si="7"/>
        <v>1.3860392139985365</v>
      </c>
      <c r="F98" s="8">
        <f t="shared" si="8"/>
        <v>1.9211047027416808</v>
      </c>
      <c r="G98" s="5">
        <f t="shared" si="9"/>
        <v>3.9601120399958188E-2</v>
      </c>
    </row>
    <row r="99" spans="1:7" ht="15.75" customHeight="1">
      <c r="A99" s="3">
        <v>21648</v>
      </c>
      <c r="B99" s="4">
        <v>38</v>
      </c>
      <c r="C99">
        <f t="shared" si="5"/>
        <v>34.722792157200296</v>
      </c>
      <c r="D99" s="8">
        <f t="shared" si="6"/>
        <v>3.2772078427997045</v>
      </c>
      <c r="E99" s="8">
        <f t="shared" si="7"/>
        <v>3.2772078427997045</v>
      </c>
      <c r="F99" s="8">
        <f t="shared" si="8"/>
        <v>10.740091244907893</v>
      </c>
      <c r="G99" s="5">
        <f t="shared" si="9"/>
        <v>8.6242311652623804E-2</v>
      </c>
    </row>
    <row r="100" spans="1:7" ht="15.75" customHeight="1">
      <c r="A100" s="3">
        <v>21649</v>
      </c>
      <c r="B100" s="4">
        <v>38</v>
      </c>
      <c r="C100">
        <f t="shared" si="5"/>
        <v>37.344558431440063</v>
      </c>
      <c r="D100" s="8">
        <f t="shared" si="6"/>
        <v>0.65544156855993663</v>
      </c>
      <c r="E100" s="8">
        <f t="shared" si="7"/>
        <v>0.65544156855993663</v>
      </c>
      <c r="F100" s="8">
        <f t="shared" si="8"/>
        <v>0.42960364979631011</v>
      </c>
      <c r="G100" s="5">
        <f t="shared" si="9"/>
        <v>1.7248462330524648E-2</v>
      </c>
    </row>
    <row r="101" spans="1:7" ht="15.75" customHeight="1">
      <c r="A101" s="3">
        <v>21650</v>
      </c>
      <c r="B101" s="4">
        <v>34</v>
      </c>
      <c r="C101">
        <f t="shared" si="5"/>
        <v>37.868911686288016</v>
      </c>
      <c r="D101" s="8">
        <f t="shared" si="6"/>
        <v>-3.8689116862880155</v>
      </c>
      <c r="E101" s="8">
        <f t="shared" si="7"/>
        <v>3.8689116862880155</v>
      </c>
      <c r="F101" s="8">
        <f t="shared" si="8"/>
        <v>14.968477636295976</v>
      </c>
      <c r="G101" s="5">
        <f t="shared" si="9"/>
        <v>0.11379152018494164</v>
      </c>
    </row>
    <row r="102" spans="1:7" ht="15.75" customHeight="1">
      <c r="A102" s="3">
        <v>21651</v>
      </c>
      <c r="B102" s="4">
        <v>53</v>
      </c>
      <c r="C102">
        <f t="shared" si="5"/>
        <v>34.773782337257607</v>
      </c>
      <c r="D102" s="8">
        <f t="shared" si="6"/>
        <v>18.226217662742393</v>
      </c>
      <c r="E102" s="8">
        <f t="shared" si="7"/>
        <v>18.226217662742393</v>
      </c>
      <c r="F102" s="8">
        <f t="shared" si="8"/>
        <v>332.19501028966278</v>
      </c>
      <c r="G102" s="5">
        <f t="shared" si="9"/>
        <v>0.34389089929702626</v>
      </c>
    </row>
    <row r="103" spans="1:7" ht="15.75" customHeight="1">
      <c r="A103" s="3">
        <v>21652</v>
      </c>
      <c r="B103" s="4">
        <v>34</v>
      </c>
      <c r="C103">
        <f t="shared" si="5"/>
        <v>49.35475646745153</v>
      </c>
      <c r="D103" s="8">
        <f t="shared" si="6"/>
        <v>-15.35475646745153</v>
      </c>
      <c r="E103" s="8">
        <f t="shared" si="7"/>
        <v>15.35475646745153</v>
      </c>
      <c r="F103" s="8">
        <f t="shared" si="8"/>
        <v>235.76854617474459</v>
      </c>
      <c r="G103" s="5">
        <f t="shared" si="9"/>
        <v>0.45161048433680973</v>
      </c>
    </row>
    <row r="104" spans="1:7" ht="15.75" customHeight="1">
      <c r="A104" s="3">
        <v>21653</v>
      </c>
      <c r="B104" s="4">
        <v>34</v>
      </c>
      <c r="C104">
        <f t="shared" si="5"/>
        <v>37.07095129349031</v>
      </c>
      <c r="D104" s="8">
        <f t="shared" si="6"/>
        <v>-3.0709512934903103</v>
      </c>
      <c r="E104" s="8">
        <f t="shared" si="7"/>
        <v>3.0709512934903103</v>
      </c>
      <c r="F104" s="8">
        <f t="shared" si="8"/>
        <v>9.4307418469898092</v>
      </c>
      <c r="G104" s="5">
        <f t="shared" si="9"/>
        <v>9.0322096867362062E-2</v>
      </c>
    </row>
    <row r="105" spans="1:7" ht="15.75" customHeight="1">
      <c r="A105" s="3">
        <v>21654</v>
      </c>
      <c r="B105" s="4">
        <v>38</v>
      </c>
      <c r="C105">
        <f t="shared" si="5"/>
        <v>34.614190258698066</v>
      </c>
      <c r="D105" s="8">
        <f t="shared" si="6"/>
        <v>3.3858097413019337</v>
      </c>
      <c r="E105" s="8">
        <f t="shared" si="7"/>
        <v>3.3858097413019337</v>
      </c>
      <c r="F105" s="8">
        <f t="shared" si="8"/>
        <v>11.463707604295067</v>
      </c>
      <c r="G105" s="5">
        <f t="shared" si="9"/>
        <v>8.910025635005088E-2</v>
      </c>
    </row>
    <row r="106" spans="1:7" ht="15.75" customHeight="1">
      <c r="A106" s="3">
        <v>21655</v>
      </c>
      <c r="B106" s="4">
        <v>35</v>
      </c>
      <c r="C106">
        <f t="shared" si="5"/>
        <v>37.322838051739616</v>
      </c>
      <c r="D106" s="8">
        <f t="shared" si="6"/>
        <v>-2.3228380517396161</v>
      </c>
      <c r="E106" s="8">
        <f t="shared" si="7"/>
        <v>2.3228380517396161</v>
      </c>
      <c r="F106" s="8">
        <f t="shared" si="8"/>
        <v>5.3955766146094959</v>
      </c>
      <c r="G106" s="5">
        <f t="shared" si="9"/>
        <v>6.6366801478274742E-2</v>
      </c>
    </row>
    <row r="107" spans="1:7" ht="15.75" customHeight="1">
      <c r="A107" s="3">
        <v>21656</v>
      </c>
      <c r="B107" s="4">
        <v>32</v>
      </c>
      <c r="C107">
        <f t="shared" si="5"/>
        <v>35.464567610347927</v>
      </c>
      <c r="D107" s="8">
        <f t="shared" si="6"/>
        <v>-3.4645676103479275</v>
      </c>
      <c r="E107" s="8">
        <f t="shared" si="7"/>
        <v>3.4645676103479275</v>
      </c>
      <c r="F107" s="8">
        <f t="shared" si="8"/>
        <v>12.003228726671949</v>
      </c>
      <c r="G107" s="5">
        <f t="shared" si="9"/>
        <v>0.10826773782337273</v>
      </c>
    </row>
    <row r="108" spans="1:7" ht="15.75" customHeight="1">
      <c r="A108" s="3">
        <v>21657</v>
      </c>
      <c r="B108" s="4">
        <v>42</v>
      </c>
      <c r="C108">
        <f t="shared" si="5"/>
        <v>32.692913522069588</v>
      </c>
      <c r="D108" s="8">
        <f t="shared" si="6"/>
        <v>9.3070864779304117</v>
      </c>
      <c r="E108" s="8">
        <f t="shared" si="7"/>
        <v>9.3070864779304117</v>
      </c>
      <c r="F108" s="8">
        <f t="shared" si="8"/>
        <v>86.621858707675116</v>
      </c>
      <c r="G108" s="5">
        <f t="shared" si="9"/>
        <v>0.22159729709358122</v>
      </c>
    </row>
    <row r="109" spans="1:7" ht="15.75" customHeight="1">
      <c r="A109" s="3">
        <v>21658</v>
      </c>
      <c r="B109" s="4">
        <v>34</v>
      </c>
      <c r="C109">
        <f t="shared" si="5"/>
        <v>40.138582704413921</v>
      </c>
      <c r="D109" s="8">
        <f t="shared" si="6"/>
        <v>-6.1385827044139205</v>
      </c>
      <c r="E109" s="8">
        <f t="shared" si="7"/>
        <v>6.1385827044139205</v>
      </c>
      <c r="F109" s="8">
        <f t="shared" si="8"/>
        <v>37.68219761892972</v>
      </c>
      <c r="G109" s="5">
        <f t="shared" si="9"/>
        <v>0.18054655012982118</v>
      </c>
    </row>
    <row r="110" spans="1:7" ht="15.75" customHeight="1">
      <c r="A110" s="3">
        <v>21659</v>
      </c>
      <c r="B110" s="4">
        <v>46</v>
      </c>
      <c r="C110">
        <f t="shared" si="5"/>
        <v>35.227716540882788</v>
      </c>
      <c r="D110" s="8">
        <f t="shared" si="6"/>
        <v>10.772283459117212</v>
      </c>
      <c r="E110" s="8">
        <f t="shared" si="7"/>
        <v>10.772283459117212</v>
      </c>
      <c r="F110" s="8">
        <f t="shared" si="8"/>
        <v>116.04209092357029</v>
      </c>
      <c r="G110" s="5">
        <f t="shared" si="9"/>
        <v>0.23418007519820025</v>
      </c>
    </row>
    <row r="111" spans="1:7" ht="15.75" customHeight="1">
      <c r="A111" s="3">
        <v>21660</v>
      </c>
      <c r="B111" s="4">
        <v>30</v>
      </c>
      <c r="C111">
        <f t="shared" si="5"/>
        <v>43.845543308176559</v>
      </c>
      <c r="D111" s="8">
        <f t="shared" si="6"/>
        <v>-13.845543308176559</v>
      </c>
      <c r="E111" s="8">
        <f t="shared" si="7"/>
        <v>13.845543308176559</v>
      </c>
      <c r="F111" s="8">
        <f t="shared" si="8"/>
        <v>191.69906949859271</v>
      </c>
      <c r="G111" s="5">
        <f t="shared" si="9"/>
        <v>0.46151811027255196</v>
      </c>
    </row>
    <row r="112" spans="1:7" ht="15.75" customHeight="1">
      <c r="A112" s="3">
        <v>21661</v>
      </c>
      <c r="B112" s="4">
        <v>46</v>
      </c>
      <c r="C112">
        <f t="shared" si="5"/>
        <v>32.769108661635315</v>
      </c>
      <c r="D112" s="8">
        <f t="shared" si="6"/>
        <v>13.230891338364685</v>
      </c>
      <c r="E112" s="8">
        <f t="shared" si="7"/>
        <v>13.230891338364685</v>
      </c>
      <c r="F112" s="8">
        <f t="shared" si="8"/>
        <v>175.05648560761367</v>
      </c>
      <c r="G112" s="5">
        <f t="shared" si="9"/>
        <v>0.28762807257314532</v>
      </c>
    </row>
    <row r="113" spans="1:7" ht="15.75" customHeight="1">
      <c r="A113" s="3">
        <v>21662</v>
      </c>
      <c r="B113" s="4">
        <v>45</v>
      </c>
      <c r="C113">
        <f t="shared" si="5"/>
        <v>43.35382173232707</v>
      </c>
      <c r="D113" s="8">
        <f t="shared" si="6"/>
        <v>1.64617826767293</v>
      </c>
      <c r="E113" s="8">
        <f t="shared" si="7"/>
        <v>1.64617826767293</v>
      </c>
      <c r="F113" s="8">
        <f t="shared" si="8"/>
        <v>2.7099028889586485</v>
      </c>
      <c r="G113" s="5">
        <f t="shared" si="9"/>
        <v>3.6581739281620666E-2</v>
      </c>
    </row>
    <row r="114" spans="1:7" ht="15.75" customHeight="1">
      <c r="A114" s="3">
        <v>21663</v>
      </c>
      <c r="B114" s="4">
        <v>54</v>
      </c>
      <c r="C114">
        <f t="shared" si="5"/>
        <v>44.670764346465418</v>
      </c>
      <c r="D114" s="8">
        <f t="shared" si="6"/>
        <v>9.3292356535345817</v>
      </c>
      <c r="E114" s="8">
        <f t="shared" si="7"/>
        <v>9.3292356535345817</v>
      </c>
      <c r="F114" s="8">
        <f t="shared" si="8"/>
        <v>87.034637879180821</v>
      </c>
      <c r="G114" s="5">
        <f t="shared" si="9"/>
        <v>0.17276362321360336</v>
      </c>
    </row>
    <row r="115" spans="1:7" ht="15.75" customHeight="1">
      <c r="A115" s="3">
        <v>21664</v>
      </c>
      <c r="B115" s="4">
        <v>34</v>
      </c>
      <c r="C115">
        <f t="shared" si="5"/>
        <v>52.134152869293089</v>
      </c>
      <c r="D115" s="8">
        <f t="shared" si="6"/>
        <v>-18.134152869293089</v>
      </c>
      <c r="E115" s="8">
        <f t="shared" si="7"/>
        <v>18.134152869293089</v>
      </c>
      <c r="F115" s="8">
        <f t="shared" si="8"/>
        <v>328.84750028689081</v>
      </c>
      <c r="G115" s="5">
        <f t="shared" si="9"/>
        <v>0.53335743733214969</v>
      </c>
    </row>
    <row r="116" spans="1:7" ht="15.75" customHeight="1">
      <c r="A116" s="3">
        <v>21665</v>
      </c>
      <c r="B116" s="4">
        <v>37</v>
      </c>
      <c r="C116">
        <f t="shared" si="5"/>
        <v>37.626830573858619</v>
      </c>
      <c r="D116" s="8">
        <f t="shared" si="6"/>
        <v>-0.62683057385861929</v>
      </c>
      <c r="E116" s="8">
        <f t="shared" si="7"/>
        <v>0.62683057385861929</v>
      </c>
      <c r="F116" s="8">
        <f t="shared" si="8"/>
        <v>0.39291656832392596</v>
      </c>
      <c r="G116" s="5">
        <f t="shared" si="9"/>
        <v>1.6941366861043763E-2</v>
      </c>
    </row>
    <row r="117" spans="1:7" ht="15.75" customHeight="1">
      <c r="A117" s="3">
        <v>21666</v>
      </c>
      <c r="B117" s="4">
        <v>35</v>
      </c>
      <c r="C117">
        <f t="shared" si="5"/>
        <v>37.125366114771722</v>
      </c>
      <c r="D117" s="8">
        <f t="shared" si="6"/>
        <v>-2.1253661147717224</v>
      </c>
      <c r="E117" s="8">
        <f t="shared" si="7"/>
        <v>2.1253661147717224</v>
      </c>
      <c r="F117" s="8">
        <f t="shared" si="8"/>
        <v>4.5171811218198465</v>
      </c>
      <c r="G117" s="5">
        <f t="shared" si="9"/>
        <v>6.0724746136334926E-2</v>
      </c>
    </row>
    <row r="118" spans="1:7" ht="15.75" customHeight="1">
      <c r="A118" s="3">
        <v>21667</v>
      </c>
      <c r="B118" s="4">
        <v>40</v>
      </c>
      <c r="C118">
        <f t="shared" si="5"/>
        <v>35.425073222954346</v>
      </c>
      <c r="D118" s="8">
        <f t="shared" si="6"/>
        <v>4.5749267770456541</v>
      </c>
      <c r="E118" s="8">
        <f t="shared" si="7"/>
        <v>4.5749267770456541</v>
      </c>
      <c r="F118" s="8">
        <f t="shared" si="8"/>
        <v>20.929955015329337</v>
      </c>
      <c r="G118" s="5">
        <f t="shared" si="9"/>
        <v>0.11437316942614136</v>
      </c>
    </row>
    <row r="119" spans="1:7" ht="15.75" customHeight="1">
      <c r="A119" s="3">
        <v>21668</v>
      </c>
      <c r="B119" s="4">
        <v>42</v>
      </c>
      <c r="C119">
        <f t="shared" si="5"/>
        <v>39.085014644590871</v>
      </c>
      <c r="D119" s="8">
        <f t="shared" si="6"/>
        <v>2.9149853554091294</v>
      </c>
      <c r="E119" s="8">
        <f t="shared" si="7"/>
        <v>2.9149853554091294</v>
      </c>
      <c r="F119" s="8">
        <f t="shared" si="8"/>
        <v>8.4971396222496889</v>
      </c>
      <c r="G119" s="5">
        <f t="shared" si="9"/>
        <v>6.9404413224026892E-2</v>
      </c>
    </row>
    <row r="120" spans="1:7" ht="15.75" customHeight="1">
      <c r="A120" s="3">
        <v>21669</v>
      </c>
      <c r="B120" s="4">
        <v>58</v>
      </c>
      <c r="C120">
        <f t="shared" si="5"/>
        <v>41.41700292891818</v>
      </c>
      <c r="D120" s="8">
        <f t="shared" si="6"/>
        <v>16.58299707108182</v>
      </c>
      <c r="E120" s="8">
        <f t="shared" si="7"/>
        <v>16.58299707108182</v>
      </c>
      <c r="F120" s="8">
        <f t="shared" si="8"/>
        <v>274.99579185950824</v>
      </c>
      <c r="G120" s="5">
        <f t="shared" si="9"/>
        <v>0.28591374260485897</v>
      </c>
    </row>
    <row r="121" spans="1:7" ht="15.75" customHeight="1">
      <c r="A121" s="3">
        <v>21670</v>
      </c>
      <c r="B121" s="4">
        <v>51</v>
      </c>
      <c r="C121">
        <f t="shared" si="5"/>
        <v>54.683400585783644</v>
      </c>
      <c r="D121" s="8">
        <f t="shared" si="6"/>
        <v>-3.6834005857836445</v>
      </c>
      <c r="E121" s="8">
        <f t="shared" si="7"/>
        <v>3.6834005857836445</v>
      </c>
      <c r="F121" s="8">
        <f t="shared" si="8"/>
        <v>13.567439875351296</v>
      </c>
      <c r="G121" s="5">
        <f t="shared" si="9"/>
        <v>7.2223540897718513E-2</v>
      </c>
    </row>
    <row r="122" spans="1:7" ht="15.75" customHeight="1">
      <c r="A122" s="3">
        <v>21671</v>
      </c>
      <c r="B122" s="4">
        <v>32</v>
      </c>
      <c r="C122">
        <f t="shared" si="5"/>
        <v>51.736680117156737</v>
      </c>
      <c r="D122" s="8">
        <f t="shared" si="6"/>
        <v>-19.736680117156737</v>
      </c>
      <c r="E122" s="8">
        <f t="shared" si="7"/>
        <v>19.736680117156737</v>
      </c>
      <c r="F122" s="8">
        <f t="shared" si="8"/>
        <v>389.53654204697011</v>
      </c>
      <c r="G122" s="5">
        <f t="shared" si="9"/>
        <v>0.61677125366114804</v>
      </c>
    </row>
    <row r="123" spans="1:7" ht="15.75" customHeight="1">
      <c r="A123" s="3">
        <v>21672</v>
      </c>
      <c r="B123" s="4">
        <v>35</v>
      </c>
      <c r="C123">
        <f t="shared" si="5"/>
        <v>35.947336023431347</v>
      </c>
      <c r="D123" s="8">
        <f t="shared" si="6"/>
        <v>-0.94733602343134748</v>
      </c>
      <c r="E123" s="8">
        <f t="shared" si="7"/>
        <v>0.94733602343134748</v>
      </c>
      <c r="F123" s="8">
        <f t="shared" si="8"/>
        <v>0.89744554129071852</v>
      </c>
      <c r="G123" s="5">
        <f t="shared" si="9"/>
        <v>2.7066743526609927E-2</v>
      </c>
    </row>
    <row r="124" spans="1:7" ht="15.75" customHeight="1">
      <c r="A124" s="3">
        <v>21673</v>
      </c>
      <c r="B124" s="4">
        <v>38</v>
      </c>
      <c r="C124">
        <f t="shared" si="5"/>
        <v>35.189467204686267</v>
      </c>
      <c r="D124" s="8">
        <f t="shared" si="6"/>
        <v>2.8105327953137333</v>
      </c>
      <c r="E124" s="8">
        <f t="shared" si="7"/>
        <v>2.8105327953137333</v>
      </c>
      <c r="F124" s="8">
        <f t="shared" si="8"/>
        <v>7.899094593534028</v>
      </c>
      <c r="G124" s="5">
        <f t="shared" si="9"/>
        <v>7.3961389350361409E-2</v>
      </c>
    </row>
    <row r="125" spans="1:7" ht="15.75" customHeight="1">
      <c r="A125" s="3">
        <v>21674</v>
      </c>
      <c r="B125" s="4">
        <v>33</v>
      </c>
      <c r="C125">
        <f t="shared" si="5"/>
        <v>37.437893440937259</v>
      </c>
      <c r="D125" s="8">
        <f t="shared" si="6"/>
        <v>-4.437893440937259</v>
      </c>
      <c r="E125" s="8">
        <f t="shared" si="7"/>
        <v>4.437893440937259</v>
      </c>
      <c r="F125" s="8">
        <f t="shared" si="8"/>
        <v>19.694898193113946</v>
      </c>
      <c r="G125" s="5">
        <f t="shared" si="9"/>
        <v>0.13448161942234119</v>
      </c>
    </row>
    <row r="126" spans="1:7" ht="15.75" customHeight="1">
      <c r="A126" s="3">
        <v>21675</v>
      </c>
      <c r="B126" s="4">
        <v>39</v>
      </c>
      <c r="C126">
        <f t="shared" si="5"/>
        <v>33.887578688187453</v>
      </c>
      <c r="D126" s="8">
        <f t="shared" si="6"/>
        <v>5.1124213118125468</v>
      </c>
      <c r="E126" s="8">
        <f t="shared" si="7"/>
        <v>5.1124213118125468</v>
      </c>
      <c r="F126" s="8">
        <f t="shared" si="8"/>
        <v>26.136851669475121</v>
      </c>
      <c r="G126" s="5">
        <f t="shared" si="9"/>
        <v>0.13108772594391147</v>
      </c>
    </row>
    <row r="127" spans="1:7" ht="15.75" customHeight="1">
      <c r="A127" s="3">
        <v>21676</v>
      </c>
      <c r="B127" s="4">
        <v>47</v>
      </c>
      <c r="C127">
        <f t="shared" si="5"/>
        <v>37.977515737637496</v>
      </c>
      <c r="D127" s="8">
        <f t="shared" si="6"/>
        <v>9.0224842623625037</v>
      </c>
      <c r="E127" s="8">
        <f t="shared" si="7"/>
        <v>9.0224842623625037</v>
      </c>
      <c r="F127" s="8">
        <f t="shared" si="8"/>
        <v>81.405222264579052</v>
      </c>
      <c r="G127" s="5">
        <f t="shared" si="9"/>
        <v>0.19196775026303201</v>
      </c>
    </row>
    <row r="128" spans="1:7" ht="15.75" customHeight="1">
      <c r="A128" s="3">
        <v>21677</v>
      </c>
      <c r="B128" s="4">
        <v>38</v>
      </c>
      <c r="C128">
        <f t="shared" si="5"/>
        <v>45.195503147527504</v>
      </c>
      <c r="D128" s="8">
        <f t="shared" si="6"/>
        <v>-7.1955031475275035</v>
      </c>
      <c r="E128" s="8">
        <f t="shared" si="7"/>
        <v>7.1955031475275035</v>
      </c>
      <c r="F128" s="8">
        <f t="shared" si="8"/>
        <v>51.775265546078209</v>
      </c>
      <c r="G128" s="5">
        <f t="shared" si="9"/>
        <v>0.18935534598756587</v>
      </c>
    </row>
    <row r="129" spans="1:7" ht="15.75" customHeight="1">
      <c r="A129" s="3">
        <v>21678</v>
      </c>
      <c r="B129" s="4">
        <v>52</v>
      </c>
      <c r="C129">
        <f t="shared" si="5"/>
        <v>39.439100629505504</v>
      </c>
      <c r="D129" s="8">
        <f t="shared" si="6"/>
        <v>12.560899370494496</v>
      </c>
      <c r="E129" s="8">
        <f t="shared" si="7"/>
        <v>12.560899370494496</v>
      </c>
      <c r="F129" s="8">
        <f t="shared" si="8"/>
        <v>157.77619299568903</v>
      </c>
      <c r="G129" s="5">
        <f t="shared" si="9"/>
        <v>0.24155575712489416</v>
      </c>
    </row>
    <row r="130" spans="1:7" ht="15.75" customHeight="1">
      <c r="A130" s="3">
        <v>21679</v>
      </c>
      <c r="B130" s="4">
        <v>30</v>
      </c>
      <c r="C130">
        <f t="shared" si="5"/>
        <v>49.487820125901102</v>
      </c>
      <c r="D130" s="8">
        <f t="shared" si="6"/>
        <v>-19.487820125901102</v>
      </c>
      <c r="E130" s="8">
        <f t="shared" si="7"/>
        <v>19.487820125901102</v>
      </c>
      <c r="F130" s="8">
        <f t="shared" si="8"/>
        <v>379.77513325947604</v>
      </c>
      <c r="G130" s="5">
        <f t="shared" si="9"/>
        <v>0.64959400419670343</v>
      </c>
    </row>
    <row r="131" spans="1:7" ht="15.75" customHeight="1">
      <c r="A131" s="3">
        <v>21680</v>
      </c>
      <c r="B131" s="4">
        <v>34</v>
      </c>
      <c r="C131">
        <f t="shared" si="5"/>
        <v>33.897564025180223</v>
      </c>
      <c r="D131" s="8">
        <f t="shared" si="6"/>
        <v>0.10243597481977673</v>
      </c>
      <c r="E131" s="8">
        <f t="shared" si="7"/>
        <v>0.10243597481977673</v>
      </c>
      <c r="F131" s="8">
        <f t="shared" si="8"/>
        <v>1.0493128937277933E-2</v>
      </c>
      <c r="G131" s="5">
        <f t="shared" si="9"/>
        <v>3.0128227888169628E-3</v>
      </c>
    </row>
    <row r="132" spans="1:7" ht="15.75" customHeight="1">
      <c r="A132" s="3">
        <v>21681</v>
      </c>
      <c r="B132" s="4">
        <v>40</v>
      </c>
      <c r="C132">
        <f t="shared" ref="C132:C195" si="10">0.8*B131+0.2*C131</f>
        <v>33.979512805036052</v>
      </c>
      <c r="D132" s="8">
        <f t="shared" ref="D132:D195" si="11">B132-C132</f>
        <v>6.0204871949639482</v>
      </c>
      <c r="E132" s="8">
        <f t="shared" ref="E132:E195" si="12">ABS(D132)</f>
        <v>6.0204871949639482</v>
      </c>
      <c r="F132" s="8">
        <f t="shared" ref="F132:F195" si="13">E132^2</f>
        <v>36.246266064724871</v>
      </c>
      <c r="G132" s="5">
        <f t="shared" ref="G132:G195" si="14">E132/B132</f>
        <v>0.15051217987409871</v>
      </c>
    </row>
    <row r="133" spans="1:7" ht="15.75" customHeight="1">
      <c r="A133" s="3">
        <v>21682</v>
      </c>
      <c r="B133" s="4">
        <v>35</v>
      </c>
      <c r="C133">
        <f t="shared" si="10"/>
        <v>38.79590256100721</v>
      </c>
      <c r="D133" s="8">
        <f t="shared" si="11"/>
        <v>-3.7959025610072104</v>
      </c>
      <c r="E133" s="8">
        <f t="shared" si="12"/>
        <v>3.7959025610072104</v>
      </c>
      <c r="F133" s="8">
        <f t="shared" si="13"/>
        <v>14.408876252661099</v>
      </c>
      <c r="G133" s="5">
        <f t="shared" si="14"/>
        <v>0.1084543588859203</v>
      </c>
    </row>
    <row r="134" spans="1:7" ht="15.75" customHeight="1">
      <c r="A134" s="3">
        <v>21683</v>
      </c>
      <c r="B134" s="4">
        <v>42</v>
      </c>
      <c r="C134">
        <f t="shared" si="10"/>
        <v>35.759180512201439</v>
      </c>
      <c r="D134" s="8">
        <f t="shared" si="11"/>
        <v>6.2408194877985608</v>
      </c>
      <c r="E134" s="8">
        <f t="shared" si="12"/>
        <v>6.2408194877985608</v>
      </c>
      <c r="F134" s="8">
        <f t="shared" si="13"/>
        <v>38.947827879286294</v>
      </c>
      <c r="G134" s="5">
        <f t="shared" si="14"/>
        <v>0.14859094018568003</v>
      </c>
    </row>
    <row r="135" spans="1:7" ht="15.75" customHeight="1">
      <c r="A135" s="3">
        <v>21684</v>
      </c>
      <c r="B135" s="4">
        <v>41</v>
      </c>
      <c r="C135">
        <f t="shared" si="10"/>
        <v>40.751836102440294</v>
      </c>
      <c r="D135" s="8">
        <f t="shared" si="11"/>
        <v>0.24816389755970647</v>
      </c>
      <c r="E135" s="8">
        <f t="shared" si="12"/>
        <v>0.24816389755970647</v>
      </c>
      <c r="F135" s="8">
        <f t="shared" si="13"/>
        <v>6.1585320052024488E-2</v>
      </c>
      <c r="G135" s="5">
        <f t="shared" si="14"/>
        <v>6.0527779892611336E-3</v>
      </c>
    </row>
    <row r="136" spans="1:7" ht="15.75" customHeight="1">
      <c r="A136" s="3">
        <v>21685</v>
      </c>
      <c r="B136" s="4">
        <v>42</v>
      </c>
      <c r="C136">
        <f t="shared" si="10"/>
        <v>40.950367220488062</v>
      </c>
      <c r="D136" s="8">
        <f t="shared" si="11"/>
        <v>1.0496327795119385</v>
      </c>
      <c r="E136" s="8">
        <f t="shared" si="12"/>
        <v>1.0496327795119385</v>
      </c>
      <c r="F136" s="8">
        <f t="shared" si="13"/>
        <v>1.1017289718259575</v>
      </c>
      <c r="G136" s="5">
        <f t="shared" si="14"/>
        <v>2.4991256655046153E-2</v>
      </c>
    </row>
    <row r="137" spans="1:7" ht="15.75" customHeight="1">
      <c r="A137" s="3">
        <v>21686</v>
      </c>
      <c r="B137" s="4">
        <v>38</v>
      </c>
      <c r="C137">
        <f t="shared" si="10"/>
        <v>41.790073444097615</v>
      </c>
      <c r="D137" s="8">
        <f t="shared" si="11"/>
        <v>-3.7900734440976152</v>
      </c>
      <c r="E137" s="8">
        <f t="shared" si="12"/>
        <v>3.7900734440976152</v>
      </c>
      <c r="F137" s="8">
        <f t="shared" si="13"/>
        <v>14.364656711653959</v>
      </c>
      <c r="G137" s="5">
        <f t="shared" si="14"/>
        <v>9.9738774844674083E-2</v>
      </c>
    </row>
    <row r="138" spans="1:7" ht="15.75" customHeight="1">
      <c r="A138" s="3">
        <v>21687</v>
      </c>
      <c r="B138" s="4">
        <v>24</v>
      </c>
      <c r="C138">
        <f t="shared" si="10"/>
        <v>38.758014688819529</v>
      </c>
      <c r="D138" s="8">
        <f t="shared" si="11"/>
        <v>-14.758014688819529</v>
      </c>
      <c r="E138" s="8">
        <f t="shared" si="12"/>
        <v>14.758014688819529</v>
      </c>
      <c r="F138" s="8">
        <f t="shared" si="13"/>
        <v>217.79899755541297</v>
      </c>
      <c r="G138" s="5">
        <f t="shared" si="14"/>
        <v>0.6149172787008137</v>
      </c>
    </row>
    <row r="139" spans="1:7" ht="15.75" customHeight="1">
      <c r="A139" s="3">
        <v>21688</v>
      </c>
      <c r="B139" s="4">
        <v>34</v>
      </c>
      <c r="C139">
        <f t="shared" si="10"/>
        <v>26.951602937763909</v>
      </c>
      <c r="D139" s="8">
        <f t="shared" si="11"/>
        <v>7.0483970622360914</v>
      </c>
      <c r="E139" s="8">
        <f t="shared" si="12"/>
        <v>7.0483970622360914</v>
      </c>
      <c r="F139" s="8">
        <f t="shared" si="13"/>
        <v>49.679901146938363</v>
      </c>
      <c r="G139" s="5">
        <f t="shared" si="14"/>
        <v>0.20730579594812035</v>
      </c>
    </row>
    <row r="140" spans="1:7" ht="15.75" customHeight="1">
      <c r="A140" s="3">
        <v>21689</v>
      </c>
      <c r="B140" s="4">
        <v>43</v>
      </c>
      <c r="C140">
        <f t="shared" si="10"/>
        <v>32.590320587552782</v>
      </c>
      <c r="D140" s="8">
        <f t="shared" si="11"/>
        <v>10.409679412447218</v>
      </c>
      <c r="E140" s="8">
        <f t="shared" si="12"/>
        <v>10.409679412447218</v>
      </c>
      <c r="F140" s="8">
        <f t="shared" si="13"/>
        <v>108.36142546992747</v>
      </c>
      <c r="G140" s="5">
        <f t="shared" si="14"/>
        <v>0.24208556773133066</v>
      </c>
    </row>
    <row r="141" spans="1:7" ht="15.75" customHeight="1">
      <c r="A141" s="3">
        <v>21690</v>
      </c>
      <c r="B141" s="4">
        <v>36</v>
      </c>
      <c r="C141">
        <f t="shared" si="10"/>
        <v>40.918064117510554</v>
      </c>
      <c r="D141" s="8">
        <f t="shared" si="11"/>
        <v>-4.9180641175105535</v>
      </c>
      <c r="E141" s="8">
        <f t="shared" si="12"/>
        <v>4.9180641175105535</v>
      </c>
      <c r="F141" s="8">
        <f t="shared" si="13"/>
        <v>24.187354663944859</v>
      </c>
      <c r="G141" s="5">
        <f t="shared" si="14"/>
        <v>0.13661289215307093</v>
      </c>
    </row>
    <row r="142" spans="1:7" ht="15.75" customHeight="1">
      <c r="A142" s="3">
        <v>21691</v>
      </c>
      <c r="B142" s="4">
        <v>55</v>
      </c>
      <c r="C142">
        <f t="shared" si="10"/>
        <v>36.983612823502114</v>
      </c>
      <c r="D142" s="8">
        <f t="shared" si="11"/>
        <v>18.016387176497886</v>
      </c>
      <c r="E142" s="8">
        <f t="shared" si="12"/>
        <v>18.016387176497886</v>
      </c>
      <c r="F142" s="8">
        <f t="shared" si="13"/>
        <v>324.5902068934775</v>
      </c>
      <c r="G142" s="5">
        <f t="shared" si="14"/>
        <v>0.32757067593632522</v>
      </c>
    </row>
    <row r="143" spans="1:7" ht="15.75" customHeight="1">
      <c r="A143" s="3">
        <v>21692</v>
      </c>
      <c r="B143" s="4">
        <v>41</v>
      </c>
      <c r="C143">
        <f t="shared" si="10"/>
        <v>51.396722564700426</v>
      </c>
      <c r="D143" s="8">
        <f t="shared" si="11"/>
        <v>-10.396722564700426</v>
      </c>
      <c r="E143" s="8">
        <f t="shared" si="12"/>
        <v>10.396722564700426</v>
      </c>
      <c r="F143" s="8">
        <f t="shared" si="13"/>
        <v>108.09184008735099</v>
      </c>
      <c r="G143" s="5">
        <f t="shared" si="14"/>
        <v>0.25357859913903474</v>
      </c>
    </row>
    <row r="144" spans="1:7" ht="15.75" customHeight="1">
      <c r="A144" s="3">
        <v>21693</v>
      </c>
      <c r="B144" s="4">
        <v>45</v>
      </c>
      <c r="C144">
        <f t="shared" si="10"/>
        <v>43.079344512940089</v>
      </c>
      <c r="D144" s="8">
        <f t="shared" si="11"/>
        <v>1.9206554870599106</v>
      </c>
      <c r="E144" s="8">
        <f t="shared" si="12"/>
        <v>1.9206554870599106</v>
      </c>
      <c r="F144" s="8">
        <f t="shared" si="13"/>
        <v>3.6889174999733427</v>
      </c>
      <c r="G144" s="5">
        <f t="shared" si="14"/>
        <v>4.2681233045775792E-2</v>
      </c>
    </row>
    <row r="145" spans="1:7" ht="15.75" customHeight="1">
      <c r="A145" s="3">
        <v>21694</v>
      </c>
      <c r="B145" s="4">
        <v>41</v>
      </c>
      <c r="C145">
        <f t="shared" si="10"/>
        <v>44.615868902588019</v>
      </c>
      <c r="D145" s="8">
        <f t="shared" si="11"/>
        <v>-3.6158689025880193</v>
      </c>
      <c r="E145" s="8">
        <f t="shared" si="12"/>
        <v>3.6158689025880193</v>
      </c>
      <c r="F145" s="8">
        <f t="shared" si="13"/>
        <v>13.074507920703088</v>
      </c>
      <c r="G145" s="5">
        <f t="shared" si="14"/>
        <v>8.8191924453366322E-2</v>
      </c>
    </row>
    <row r="146" spans="1:7" ht="15.75" customHeight="1">
      <c r="A146" s="3">
        <v>21695</v>
      </c>
      <c r="B146" s="4">
        <v>37</v>
      </c>
      <c r="C146">
        <f t="shared" si="10"/>
        <v>41.723173780517612</v>
      </c>
      <c r="D146" s="8">
        <f t="shared" si="11"/>
        <v>-4.7231737805176124</v>
      </c>
      <c r="E146" s="8">
        <f t="shared" si="12"/>
        <v>4.7231737805176124</v>
      </c>
      <c r="F146" s="8">
        <f t="shared" si="13"/>
        <v>22.308370560969035</v>
      </c>
      <c r="G146" s="5">
        <f t="shared" si="14"/>
        <v>0.12765334541939494</v>
      </c>
    </row>
    <row r="147" spans="1:7" ht="15.75" customHeight="1">
      <c r="A147" s="3">
        <v>21696</v>
      </c>
      <c r="B147" s="4">
        <v>43</v>
      </c>
      <c r="C147">
        <f t="shared" si="10"/>
        <v>37.944634756103525</v>
      </c>
      <c r="D147" s="8">
        <f t="shared" si="11"/>
        <v>5.0553652438964747</v>
      </c>
      <c r="E147" s="8">
        <f t="shared" si="12"/>
        <v>5.0553652438964747</v>
      </c>
      <c r="F147" s="8">
        <f t="shared" si="13"/>
        <v>25.556717749196462</v>
      </c>
      <c r="G147" s="5">
        <f t="shared" si="14"/>
        <v>0.11756663357898778</v>
      </c>
    </row>
    <row r="148" spans="1:7" ht="15.75" customHeight="1">
      <c r="A148" s="3">
        <v>21697</v>
      </c>
      <c r="B148" s="4">
        <v>39</v>
      </c>
      <c r="C148">
        <f t="shared" si="10"/>
        <v>41.988926951220705</v>
      </c>
      <c r="D148" s="8">
        <f t="shared" si="11"/>
        <v>-2.9889269512207051</v>
      </c>
      <c r="E148" s="8">
        <f t="shared" si="12"/>
        <v>2.9889269512207051</v>
      </c>
      <c r="F148" s="8">
        <f t="shared" si="13"/>
        <v>8.9336843197334996</v>
      </c>
      <c r="G148" s="5">
        <f t="shared" si="14"/>
        <v>7.6639152595402688E-2</v>
      </c>
    </row>
    <row r="149" spans="1:7" ht="15.75" customHeight="1">
      <c r="A149" s="3">
        <v>21698</v>
      </c>
      <c r="B149" s="4">
        <v>33</v>
      </c>
      <c r="C149">
        <f t="shared" si="10"/>
        <v>39.597785390244141</v>
      </c>
      <c r="D149" s="8">
        <f t="shared" si="11"/>
        <v>-6.597785390244141</v>
      </c>
      <c r="E149" s="8">
        <f t="shared" si="12"/>
        <v>6.597785390244141</v>
      </c>
      <c r="F149" s="8">
        <f t="shared" si="13"/>
        <v>43.530772055719034</v>
      </c>
      <c r="G149" s="5">
        <f t="shared" si="14"/>
        <v>0.19993289061345881</v>
      </c>
    </row>
    <row r="150" spans="1:7" ht="15.75" customHeight="1">
      <c r="A150" s="3">
        <v>21699</v>
      </c>
      <c r="B150" s="4">
        <v>43</v>
      </c>
      <c r="C150">
        <f t="shared" si="10"/>
        <v>34.319557078048831</v>
      </c>
      <c r="D150" s="8">
        <f t="shared" si="11"/>
        <v>8.680442921951169</v>
      </c>
      <c r="E150" s="8">
        <f t="shared" si="12"/>
        <v>8.680442921951169</v>
      </c>
      <c r="F150" s="8">
        <f t="shared" si="13"/>
        <v>75.350089321252142</v>
      </c>
      <c r="G150" s="5">
        <f t="shared" si="14"/>
        <v>0.20187076562677136</v>
      </c>
    </row>
    <row r="151" spans="1:7" ht="15.75" customHeight="1">
      <c r="A151" s="3">
        <v>21700</v>
      </c>
      <c r="B151" s="4">
        <v>40</v>
      </c>
      <c r="C151">
        <f t="shared" si="10"/>
        <v>41.263911415609769</v>
      </c>
      <c r="D151" s="8">
        <f t="shared" si="11"/>
        <v>-1.2639114156097691</v>
      </c>
      <c r="E151" s="8">
        <f t="shared" si="12"/>
        <v>1.2639114156097691</v>
      </c>
      <c r="F151" s="8">
        <f t="shared" si="13"/>
        <v>1.5974720665086903</v>
      </c>
      <c r="G151" s="5">
        <f t="shared" si="14"/>
        <v>3.1597785390244229E-2</v>
      </c>
    </row>
    <row r="152" spans="1:7" ht="15.75" customHeight="1">
      <c r="A152" s="3">
        <v>21701</v>
      </c>
      <c r="B152" s="4">
        <v>38</v>
      </c>
      <c r="C152">
        <f t="shared" si="10"/>
        <v>40.252782283121952</v>
      </c>
      <c r="D152" s="8">
        <f t="shared" si="11"/>
        <v>-2.2527822831219524</v>
      </c>
      <c r="E152" s="8">
        <f t="shared" si="12"/>
        <v>2.2527822831219524</v>
      </c>
      <c r="F152" s="8">
        <f t="shared" si="13"/>
        <v>5.0750280151481562</v>
      </c>
      <c r="G152" s="5">
        <f t="shared" si="14"/>
        <v>5.9283744292682961E-2</v>
      </c>
    </row>
    <row r="153" spans="1:7" ht="15.75" customHeight="1">
      <c r="A153" s="3">
        <v>21702</v>
      </c>
      <c r="B153" s="4">
        <v>45</v>
      </c>
      <c r="C153">
        <f t="shared" si="10"/>
        <v>38.45055645662439</v>
      </c>
      <c r="D153" s="8">
        <f t="shared" si="11"/>
        <v>6.5494435433756095</v>
      </c>
      <c r="E153" s="8">
        <f t="shared" si="12"/>
        <v>6.5494435433756095</v>
      </c>
      <c r="F153" s="8">
        <f t="shared" si="13"/>
        <v>42.895210727864459</v>
      </c>
      <c r="G153" s="5">
        <f t="shared" si="14"/>
        <v>0.14554318985279133</v>
      </c>
    </row>
    <row r="154" spans="1:7" ht="15.75" customHeight="1">
      <c r="A154" s="3">
        <v>21703</v>
      </c>
      <c r="B154" s="4">
        <v>46</v>
      </c>
      <c r="C154">
        <f t="shared" si="10"/>
        <v>43.690111291324882</v>
      </c>
      <c r="D154" s="8">
        <f t="shared" si="11"/>
        <v>2.3098887086751176</v>
      </c>
      <c r="E154" s="8">
        <f t="shared" si="12"/>
        <v>2.3098887086751176</v>
      </c>
      <c r="F154" s="8">
        <f t="shared" si="13"/>
        <v>5.3355858464648023</v>
      </c>
      <c r="G154" s="5">
        <f t="shared" si="14"/>
        <v>5.0214971927719947E-2</v>
      </c>
    </row>
    <row r="155" spans="1:7" ht="15.75" customHeight="1">
      <c r="A155" s="3">
        <v>21704</v>
      </c>
      <c r="B155" s="4">
        <v>34</v>
      </c>
      <c r="C155">
        <f t="shared" si="10"/>
        <v>45.538022258264981</v>
      </c>
      <c r="D155" s="8">
        <f t="shared" si="11"/>
        <v>-11.538022258264981</v>
      </c>
      <c r="E155" s="8">
        <f t="shared" si="12"/>
        <v>11.538022258264981</v>
      </c>
      <c r="F155" s="8">
        <f t="shared" si="13"/>
        <v>133.12595763221813</v>
      </c>
      <c r="G155" s="5">
        <f t="shared" si="14"/>
        <v>0.33935359583132296</v>
      </c>
    </row>
    <row r="156" spans="1:7" ht="15.75" customHeight="1">
      <c r="A156" s="3">
        <v>21705</v>
      </c>
      <c r="B156" s="4">
        <v>35</v>
      </c>
      <c r="C156">
        <f t="shared" si="10"/>
        <v>36.307604451652999</v>
      </c>
      <c r="D156" s="8">
        <f t="shared" si="11"/>
        <v>-1.307604451652999</v>
      </c>
      <c r="E156" s="8">
        <f t="shared" si="12"/>
        <v>1.307604451652999</v>
      </c>
      <c r="F156" s="8">
        <f t="shared" si="13"/>
        <v>1.7098294019827402</v>
      </c>
      <c r="G156" s="5">
        <f t="shared" si="14"/>
        <v>3.7360127190085683E-2</v>
      </c>
    </row>
    <row r="157" spans="1:7" ht="15.75" customHeight="1">
      <c r="A157" s="3">
        <v>21706</v>
      </c>
      <c r="B157" s="4">
        <v>48</v>
      </c>
      <c r="C157">
        <f t="shared" si="10"/>
        <v>35.261520890330601</v>
      </c>
      <c r="D157" s="8">
        <f t="shared" si="11"/>
        <v>12.738479109669399</v>
      </c>
      <c r="E157" s="8">
        <f t="shared" si="12"/>
        <v>12.738479109669399</v>
      </c>
      <c r="F157" s="8">
        <f t="shared" si="13"/>
        <v>162.26885002748367</v>
      </c>
      <c r="G157" s="5">
        <f t="shared" si="14"/>
        <v>0.26538498145144579</v>
      </c>
    </row>
    <row r="158" spans="1:7" ht="15.75" customHeight="1">
      <c r="A158" s="3">
        <v>21707</v>
      </c>
      <c r="B158" s="4">
        <v>51</v>
      </c>
      <c r="C158">
        <f t="shared" si="10"/>
        <v>45.452304178066129</v>
      </c>
      <c r="D158" s="8">
        <f t="shared" si="11"/>
        <v>5.5476958219338712</v>
      </c>
      <c r="E158" s="8">
        <f t="shared" si="12"/>
        <v>5.5476958219338712</v>
      </c>
      <c r="F158" s="8">
        <f t="shared" si="13"/>
        <v>30.776928932702532</v>
      </c>
      <c r="G158" s="5">
        <f t="shared" si="14"/>
        <v>0.10877834944968374</v>
      </c>
    </row>
    <row r="159" spans="1:7" ht="15.75" customHeight="1">
      <c r="A159" s="3">
        <v>21708</v>
      </c>
      <c r="B159" s="4">
        <v>36</v>
      </c>
      <c r="C159">
        <f t="shared" si="10"/>
        <v>49.890460835613233</v>
      </c>
      <c r="D159" s="8">
        <f t="shared" si="11"/>
        <v>-13.890460835613233</v>
      </c>
      <c r="E159" s="8">
        <f t="shared" si="12"/>
        <v>13.890460835613233</v>
      </c>
      <c r="F159" s="8">
        <f t="shared" si="13"/>
        <v>192.94490222570508</v>
      </c>
      <c r="G159" s="5">
        <f t="shared" si="14"/>
        <v>0.3858461343225898</v>
      </c>
    </row>
    <row r="160" spans="1:7" ht="15.75" customHeight="1">
      <c r="A160" s="3">
        <v>21709</v>
      </c>
      <c r="B160" s="4">
        <v>33</v>
      </c>
      <c r="C160">
        <f t="shared" si="10"/>
        <v>38.778092167122651</v>
      </c>
      <c r="D160" s="8">
        <f t="shared" si="11"/>
        <v>-5.7780921671226508</v>
      </c>
      <c r="E160" s="8">
        <f t="shared" si="12"/>
        <v>5.7780921671226508</v>
      </c>
      <c r="F160" s="8">
        <f t="shared" si="13"/>
        <v>33.386349091764131</v>
      </c>
      <c r="G160" s="5">
        <f t="shared" si="14"/>
        <v>0.17509370203401972</v>
      </c>
    </row>
    <row r="161" spans="1:7" ht="15.75" customHeight="1">
      <c r="A161" s="3">
        <v>21710</v>
      </c>
      <c r="B161" s="4">
        <v>46</v>
      </c>
      <c r="C161">
        <f t="shared" si="10"/>
        <v>34.155618433424536</v>
      </c>
      <c r="D161" s="8">
        <f t="shared" si="11"/>
        <v>11.844381566575464</v>
      </c>
      <c r="E161" s="8">
        <f t="shared" si="12"/>
        <v>11.844381566575464</v>
      </c>
      <c r="F161" s="8">
        <f t="shared" si="13"/>
        <v>140.28937469463264</v>
      </c>
      <c r="G161" s="5">
        <f t="shared" si="14"/>
        <v>0.25748655579511881</v>
      </c>
    </row>
    <row r="162" spans="1:7" ht="15.75" customHeight="1">
      <c r="A162" s="3">
        <v>21711</v>
      </c>
      <c r="B162" s="4">
        <v>42</v>
      </c>
      <c r="C162">
        <f t="shared" si="10"/>
        <v>43.631123686684916</v>
      </c>
      <c r="D162" s="8">
        <f t="shared" si="11"/>
        <v>-1.6311236866849157</v>
      </c>
      <c r="E162" s="8">
        <f t="shared" si="12"/>
        <v>1.6311236866849157</v>
      </c>
      <c r="F162" s="8">
        <f t="shared" si="13"/>
        <v>2.6605644812645912</v>
      </c>
      <c r="G162" s="5">
        <f t="shared" si="14"/>
        <v>3.8836278254402758E-2</v>
      </c>
    </row>
    <row r="163" spans="1:7" ht="15.75" customHeight="1">
      <c r="A163" s="3">
        <v>21712</v>
      </c>
      <c r="B163" s="4">
        <v>48</v>
      </c>
      <c r="C163">
        <f t="shared" si="10"/>
        <v>42.326224737336986</v>
      </c>
      <c r="D163" s="8">
        <f t="shared" si="11"/>
        <v>5.673775262663014</v>
      </c>
      <c r="E163" s="8">
        <f t="shared" si="12"/>
        <v>5.673775262663014</v>
      </c>
      <c r="F163" s="8">
        <f t="shared" si="13"/>
        <v>32.191725731206752</v>
      </c>
      <c r="G163" s="5">
        <f t="shared" si="14"/>
        <v>0.11820365130547945</v>
      </c>
    </row>
    <row r="164" spans="1:7" ht="15.75" customHeight="1">
      <c r="A164" s="3">
        <v>21713</v>
      </c>
      <c r="B164" s="4">
        <v>34</v>
      </c>
      <c r="C164">
        <f t="shared" si="10"/>
        <v>46.865244947467403</v>
      </c>
      <c r="D164" s="8">
        <f t="shared" si="11"/>
        <v>-12.865244947467403</v>
      </c>
      <c r="E164" s="8">
        <f t="shared" si="12"/>
        <v>12.865244947467403</v>
      </c>
      <c r="F164" s="8">
        <f t="shared" si="13"/>
        <v>165.51452755833554</v>
      </c>
      <c r="G164" s="5">
        <f t="shared" si="14"/>
        <v>0.37838955727845303</v>
      </c>
    </row>
    <row r="165" spans="1:7" ht="15.75" customHeight="1">
      <c r="A165" s="3">
        <v>21714</v>
      </c>
      <c r="B165" s="4">
        <v>41</v>
      </c>
      <c r="C165">
        <f t="shared" si="10"/>
        <v>36.573048989493486</v>
      </c>
      <c r="D165" s="8">
        <f t="shared" si="11"/>
        <v>4.4269510105065137</v>
      </c>
      <c r="E165" s="8">
        <f t="shared" si="12"/>
        <v>4.4269510105065137</v>
      </c>
      <c r="F165" s="8">
        <f t="shared" si="13"/>
        <v>19.597895249424642</v>
      </c>
      <c r="G165" s="5">
        <f t="shared" si="14"/>
        <v>0.10797441489040277</v>
      </c>
    </row>
    <row r="166" spans="1:7" ht="15.75" customHeight="1">
      <c r="A166" s="3">
        <v>21715</v>
      </c>
      <c r="B166" s="4">
        <v>35</v>
      </c>
      <c r="C166">
        <f t="shared" si="10"/>
        <v>40.114609797898702</v>
      </c>
      <c r="D166" s="8">
        <f t="shared" si="11"/>
        <v>-5.1146097978987015</v>
      </c>
      <c r="E166" s="8">
        <f t="shared" si="12"/>
        <v>5.1146097978987015</v>
      </c>
      <c r="F166" s="8">
        <f t="shared" si="13"/>
        <v>26.159233384761396</v>
      </c>
      <c r="G166" s="5">
        <f t="shared" si="14"/>
        <v>0.14613170851139148</v>
      </c>
    </row>
    <row r="167" spans="1:7" ht="15.75" customHeight="1">
      <c r="A167" s="3">
        <v>21716</v>
      </c>
      <c r="B167" s="4">
        <v>40</v>
      </c>
      <c r="C167">
        <f t="shared" si="10"/>
        <v>36.02292195957974</v>
      </c>
      <c r="D167" s="8">
        <f t="shared" si="11"/>
        <v>3.9770780404202597</v>
      </c>
      <c r="E167" s="8">
        <f t="shared" si="12"/>
        <v>3.9770780404202597</v>
      </c>
      <c r="F167" s="8">
        <f t="shared" si="13"/>
        <v>15.817149739593052</v>
      </c>
      <c r="G167" s="5">
        <f t="shared" si="14"/>
        <v>9.9426951010506498E-2</v>
      </c>
    </row>
    <row r="168" spans="1:7" ht="15.75" customHeight="1">
      <c r="A168" s="3">
        <v>21717</v>
      </c>
      <c r="B168" s="4">
        <v>34</v>
      </c>
      <c r="C168">
        <f t="shared" si="10"/>
        <v>39.204584391915951</v>
      </c>
      <c r="D168" s="8">
        <f t="shared" si="11"/>
        <v>-5.2045843919159509</v>
      </c>
      <c r="E168" s="8">
        <f t="shared" si="12"/>
        <v>5.2045843919159509</v>
      </c>
      <c r="F168" s="8">
        <f t="shared" si="13"/>
        <v>27.087698692575128</v>
      </c>
      <c r="G168" s="5">
        <f t="shared" si="14"/>
        <v>0.15307601152693973</v>
      </c>
    </row>
    <row r="169" spans="1:7" ht="15.75" customHeight="1">
      <c r="A169" s="3">
        <v>21718</v>
      </c>
      <c r="B169" s="4">
        <v>30</v>
      </c>
      <c r="C169">
        <f t="shared" si="10"/>
        <v>35.040916878383193</v>
      </c>
      <c r="D169" s="8">
        <f t="shared" si="11"/>
        <v>-5.040916878383193</v>
      </c>
      <c r="E169" s="8">
        <f t="shared" si="12"/>
        <v>5.040916878383193</v>
      </c>
      <c r="F169" s="8">
        <f t="shared" si="13"/>
        <v>25.410842974768556</v>
      </c>
      <c r="G169" s="5">
        <f t="shared" si="14"/>
        <v>0.1680305626127731</v>
      </c>
    </row>
    <row r="170" spans="1:7" ht="15.75" customHeight="1">
      <c r="A170" s="3">
        <v>21719</v>
      </c>
      <c r="B170" s="4">
        <v>36</v>
      </c>
      <c r="C170">
        <f t="shared" si="10"/>
        <v>31.008183375676637</v>
      </c>
      <c r="D170" s="8">
        <f t="shared" si="11"/>
        <v>4.9918166243233628</v>
      </c>
      <c r="E170" s="8">
        <f t="shared" si="12"/>
        <v>4.9918166243233628</v>
      </c>
      <c r="F170" s="8">
        <f t="shared" si="13"/>
        <v>24.918233210871094</v>
      </c>
      <c r="G170" s="5">
        <f t="shared" si="14"/>
        <v>0.13866157289787118</v>
      </c>
    </row>
    <row r="171" spans="1:7" ht="15.75" customHeight="1">
      <c r="A171" s="3">
        <v>21720</v>
      </c>
      <c r="B171" s="4">
        <v>40</v>
      </c>
      <c r="C171">
        <f t="shared" si="10"/>
        <v>35.00163667513533</v>
      </c>
      <c r="D171" s="8">
        <f t="shared" si="11"/>
        <v>4.9983633248646697</v>
      </c>
      <c r="E171" s="8">
        <f t="shared" si="12"/>
        <v>4.9983633248646697</v>
      </c>
      <c r="F171" s="8">
        <f t="shared" si="13"/>
        <v>24.983635927352196</v>
      </c>
      <c r="G171" s="5">
        <f t="shared" si="14"/>
        <v>0.12495908312161674</v>
      </c>
    </row>
    <row r="172" spans="1:7" ht="15.75" customHeight="1">
      <c r="A172" s="3">
        <v>21721</v>
      </c>
      <c r="B172" s="4">
        <v>39</v>
      </c>
      <c r="C172">
        <f t="shared" si="10"/>
        <v>39.000327335027066</v>
      </c>
      <c r="D172" s="8">
        <f t="shared" si="11"/>
        <v>-3.2733502706605577E-4</v>
      </c>
      <c r="E172" s="8">
        <f t="shared" si="12"/>
        <v>3.2733502706605577E-4</v>
      </c>
      <c r="F172" s="8">
        <f t="shared" si="13"/>
        <v>1.0714821994433546E-7</v>
      </c>
      <c r="G172" s="5">
        <f t="shared" si="14"/>
        <v>8.3932058222065588E-6</v>
      </c>
    </row>
    <row r="173" spans="1:7" ht="15.75" customHeight="1">
      <c r="A173" s="3">
        <v>21722</v>
      </c>
      <c r="B173" s="4">
        <v>45</v>
      </c>
      <c r="C173">
        <f t="shared" si="10"/>
        <v>39.000065467005413</v>
      </c>
      <c r="D173" s="8">
        <f t="shared" si="11"/>
        <v>5.9999345329945868</v>
      </c>
      <c r="E173" s="8">
        <f t="shared" si="12"/>
        <v>5.9999345329945868</v>
      </c>
      <c r="F173" s="8">
        <f t="shared" si="13"/>
        <v>35.999214400220971</v>
      </c>
      <c r="G173" s="5">
        <f t="shared" si="14"/>
        <v>0.13333187851099082</v>
      </c>
    </row>
    <row r="174" spans="1:7" ht="15.75" customHeight="1">
      <c r="A174" s="3">
        <v>21723</v>
      </c>
      <c r="B174" s="4">
        <v>38</v>
      </c>
      <c r="C174">
        <f t="shared" si="10"/>
        <v>43.800013093401084</v>
      </c>
      <c r="D174" s="8">
        <f t="shared" si="11"/>
        <v>-5.8000130934010841</v>
      </c>
      <c r="E174" s="8">
        <f t="shared" si="12"/>
        <v>5.8000130934010841</v>
      </c>
      <c r="F174" s="8">
        <f t="shared" si="13"/>
        <v>33.640151883624014</v>
      </c>
      <c r="G174" s="5">
        <f t="shared" si="14"/>
        <v>0.15263192351055485</v>
      </c>
    </row>
    <row r="175" spans="1:7" ht="15.75" customHeight="1">
      <c r="A175" s="3">
        <v>21724</v>
      </c>
      <c r="B175" s="4">
        <v>47</v>
      </c>
      <c r="C175">
        <f t="shared" si="10"/>
        <v>39.160002618680217</v>
      </c>
      <c r="D175" s="8">
        <f t="shared" si="11"/>
        <v>7.8399973813197832</v>
      </c>
      <c r="E175" s="8">
        <f t="shared" si="12"/>
        <v>7.8399973813197832</v>
      </c>
      <c r="F175" s="8">
        <f t="shared" si="13"/>
        <v>61.465558939101058</v>
      </c>
      <c r="G175" s="5">
        <f t="shared" si="14"/>
        <v>0.16680845492169752</v>
      </c>
    </row>
    <row r="176" spans="1:7" ht="15.75" customHeight="1">
      <c r="A176" s="3">
        <v>21725</v>
      </c>
      <c r="B176" s="4">
        <v>33</v>
      </c>
      <c r="C176">
        <f t="shared" si="10"/>
        <v>45.432000523736043</v>
      </c>
      <c r="D176" s="8">
        <f t="shared" si="11"/>
        <v>-12.432000523736043</v>
      </c>
      <c r="E176" s="8">
        <f t="shared" si="12"/>
        <v>12.432000523736043</v>
      </c>
      <c r="F176" s="8">
        <f t="shared" si="13"/>
        <v>154.55463702217327</v>
      </c>
      <c r="G176" s="5">
        <f t="shared" si="14"/>
        <v>0.37672728859806193</v>
      </c>
    </row>
    <row r="177" spans="1:7" ht="15.75" customHeight="1">
      <c r="A177" s="3">
        <v>21726</v>
      </c>
      <c r="B177" s="4">
        <v>30</v>
      </c>
      <c r="C177">
        <f t="shared" si="10"/>
        <v>35.486400104747212</v>
      </c>
      <c r="D177" s="8">
        <f t="shared" si="11"/>
        <v>-5.4864001047472115</v>
      </c>
      <c r="E177" s="8">
        <f t="shared" si="12"/>
        <v>5.4864001047472115</v>
      </c>
      <c r="F177" s="8">
        <f t="shared" si="13"/>
        <v>30.100586109370212</v>
      </c>
      <c r="G177" s="5">
        <f t="shared" si="14"/>
        <v>0.18288000349157371</v>
      </c>
    </row>
    <row r="178" spans="1:7" ht="15.75" customHeight="1">
      <c r="A178" s="3">
        <v>21727</v>
      </c>
      <c r="B178" s="4">
        <v>42</v>
      </c>
      <c r="C178">
        <f t="shared" si="10"/>
        <v>31.097280020949441</v>
      </c>
      <c r="D178" s="8">
        <f t="shared" si="11"/>
        <v>10.902719979050559</v>
      </c>
      <c r="E178" s="8">
        <f t="shared" si="12"/>
        <v>10.902719979050559</v>
      </c>
      <c r="F178" s="8">
        <f t="shared" si="13"/>
        <v>118.86930294158823</v>
      </c>
      <c r="G178" s="5">
        <f t="shared" si="14"/>
        <v>0.25958857092977522</v>
      </c>
    </row>
    <row r="179" spans="1:7" ht="15.75" customHeight="1">
      <c r="A179" s="3">
        <v>21728</v>
      </c>
      <c r="B179" s="4">
        <v>43</v>
      </c>
      <c r="C179">
        <f t="shared" si="10"/>
        <v>39.819456004189888</v>
      </c>
      <c r="D179" s="8">
        <f t="shared" si="11"/>
        <v>3.1805439958101118</v>
      </c>
      <c r="E179" s="8">
        <f t="shared" si="12"/>
        <v>3.1805439958101118</v>
      </c>
      <c r="F179" s="8">
        <f t="shared" si="13"/>
        <v>10.115860109283753</v>
      </c>
      <c r="G179" s="5">
        <f t="shared" si="14"/>
        <v>7.3966139437444456E-2</v>
      </c>
    </row>
    <row r="180" spans="1:7" ht="15.75" customHeight="1">
      <c r="A180" s="3">
        <v>21729</v>
      </c>
      <c r="B180" s="4">
        <v>41</v>
      </c>
      <c r="C180">
        <f t="shared" si="10"/>
        <v>42.363891200837976</v>
      </c>
      <c r="D180" s="8">
        <f t="shared" si="11"/>
        <v>-1.3638912008379762</v>
      </c>
      <c r="E180" s="8">
        <f t="shared" si="12"/>
        <v>1.3638912008379762</v>
      </c>
      <c r="F180" s="8">
        <f t="shared" si="13"/>
        <v>1.8601992077232568</v>
      </c>
      <c r="G180" s="5">
        <f t="shared" si="14"/>
        <v>3.3265639044828689E-2</v>
      </c>
    </row>
    <row r="181" spans="1:7" ht="15.75" customHeight="1">
      <c r="A181" s="3">
        <v>21730</v>
      </c>
      <c r="B181" s="4">
        <v>41</v>
      </c>
      <c r="C181">
        <f t="shared" si="10"/>
        <v>41.272778240167597</v>
      </c>
      <c r="D181" s="8">
        <f t="shared" si="11"/>
        <v>-0.27277824016759666</v>
      </c>
      <c r="E181" s="8">
        <f t="shared" si="12"/>
        <v>0.27277824016759666</v>
      </c>
      <c r="F181" s="8">
        <f t="shared" si="13"/>
        <v>7.4407968308931052E-2</v>
      </c>
      <c r="G181" s="5">
        <f t="shared" si="14"/>
        <v>6.653127808965772E-3</v>
      </c>
    </row>
    <row r="182" spans="1:7" ht="15.75" customHeight="1">
      <c r="A182" s="3">
        <v>21731</v>
      </c>
      <c r="B182" s="4">
        <v>59</v>
      </c>
      <c r="C182">
        <f t="shared" si="10"/>
        <v>41.054555648033528</v>
      </c>
      <c r="D182" s="8">
        <f t="shared" si="11"/>
        <v>17.945444351966472</v>
      </c>
      <c r="E182" s="8">
        <f t="shared" si="12"/>
        <v>17.945444351966472</v>
      </c>
      <c r="F182" s="8">
        <f t="shared" si="13"/>
        <v>322.03897298952535</v>
      </c>
      <c r="G182" s="5">
        <f t="shared" si="14"/>
        <v>0.3041600737621436</v>
      </c>
    </row>
    <row r="183" spans="1:7" ht="15.75" customHeight="1">
      <c r="A183" s="3">
        <v>21732</v>
      </c>
      <c r="B183" s="4">
        <v>43</v>
      </c>
      <c r="C183">
        <f t="shared" si="10"/>
        <v>55.41091112960671</v>
      </c>
      <c r="D183" s="8">
        <f t="shared" si="11"/>
        <v>-12.41091112960671</v>
      </c>
      <c r="E183" s="8">
        <f t="shared" si="12"/>
        <v>12.41091112960671</v>
      </c>
      <c r="F183" s="8">
        <f t="shared" si="13"/>
        <v>154.0307150669957</v>
      </c>
      <c r="G183" s="5">
        <f t="shared" si="14"/>
        <v>0.28862584022341187</v>
      </c>
    </row>
    <row r="184" spans="1:7" ht="15.75" customHeight="1">
      <c r="A184" s="3">
        <v>21733</v>
      </c>
      <c r="B184" s="4">
        <v>45</v>
      </c>
      <c r="C184">
        <f t="shared" si="10"/>
        <v>45.482182225921342</v>
      </c>
      <c r="D184" s="8">
        <f t="shared" si="11"/>
        <v>-0.48218222592134197</v>
      </c>
      <c r="E184" s="8">
        <f t="shared" si="12"/>
        <v>0.48218222592134197</v>
      </c>
      <c r="F184" s="8">
        <f t="shared" si="13"/>
        <v>0.23249969899446007</v>
      </c>
      <c r="G184" s="5">
        <f t="shared" si="14"/>
        <v>1.0715160576029821E-2</v>
      </c>
    </row>
    <row r="185" spans="1:7" ht="15.75" customHeight="1">
      <c r="A185" s="3">
        <v>21734</v>
      </c>
      <c r="B185" s="4">
        <v>38</v>
      </c>
      <c r="C185">
        <f t="shared" si="10"/>
        <v>45.096436445184267</v>
      </c>
      <c r="D185" s="8">
        <f t="shared" si="11"/>
        <v>-7.096436445184267</v>
      </c>
      <c r="E185" s="8">
        <f t="shared" si="12"/>
        <v>7.096436445184267</v>
      </c>
      <c r="F185" s="8">
        <f t="shared" si="13"/>
        <v>50.359410220539516</v>
      </c>
      <c r="G185" s="5">
        <f t="shared" si="14"/>
        <v>0.18674832750484913</v>
      </c>
    </row>
    <row r="186" spans="1:7" ht="15.75" customHeight="1">
      <c r="A186" s="3">
        <v>21735</v>
      </c>
      <c r="B186" s="4">
        <v>37</v>
      </c>
      <c r="C186">
        <f t="shared" si="10"/>
        <v>39.419287289036859</v>
      </c>
      <c r="D186" s="8">
        <f t="shared" si="11"/>
        <v>-2.4192872890368591</v>
      </c>
      <c r="E186" s="8">
        <f t="shared" si="12"/>
        <v>2.4192872890368591</v>
      </c>
      <c r="F186" s="8">
        <f t="shared" si="13"/>
        <v>5.8529509868953147</v>
      </c>
      <c r="G186" s="5">
        <f t="shared" si="14"/>
        <v>6.5386142946942144E-2</v>
      </c>
    </row>
    <row r="187" spans="1:7" ht="15.75" customHeight="1">
      <c r="A187" s="3">
        <v>21736</v>
      </c>
      <c r="B187" s="4">
        <v>45</v>
      </c>
      <c r="C187">
        <f t="shared" si="10"/>
        <v>37.483857457807375</v>
      </c>
      <c r="D187" s="8">
        <f t="shared" si="11"/>
        <v>7.5161425421926253</v>
      </c>
      <c r="E187" s="8">
        <f t="shared" si="12"/>
        <v>7.5161425421926253</v>
      </c>
      <c r="F187" s="8">
        <f t="shared" si="13"/>
        <v>56.492398714557822</v>
      </c>
      <c r="G187" s="5">
        <f t="shared" si="14"/>
        <v>0.16702538982650278</v>
      </c>
    </row>
    <row r="188" spans="1:7" ht="15.75" customHeight="1">
      <c r="A188" s="3">
        <v>21737</v>
      </c>
      <c r="B188" s="4">
        <v>42</v>
      </c>
      <c r="C188">
        <f t="shared" si="10"/>
        <v>43.496771491561475</v>
      </c>
      <c r="D188" s="8">
        <f t="shared" si="11"/>
        <v>-1.4967714915614749</v>
      </c>
      <c r="E188" s="8">
        <f t="shared" si="12"/>
        <v>1.4967714915614749</v>
      </c>
      <c r="F188" s="8">
        <f t="shared" si="13"/>
        <v>2.2403248979511625</v>
      </c>
      <c r="G188" s="5">
        <f t="shared" si="14"/>
        <v>3.5637416465749402E-2</v>
      </c>
    </row>
    <row r="189" spans="1:7" ht="15.75" customHeight="1">
      <c r="A189" s="3">
        <v>21738</v>
      </c>
      <c r="B189" s="4">
        <v>57</v>
      </c>
      <c r="C189">
        <f t="shared" si="10"/>
        <v>42.299354298312295</v>
      </c>
      <c r="D189" s="8">
        <f t="shared" si="11"/>
        <v>14.700645701687705</v>
      </c>
      <c r="E189" s="8">
        <f t="shared" si="12"/>
        <v>14.700645701687705</v>
      </c>
      <c r="F189" s="8">
        <f t="shared" si="13"/>
        <v>216.10898404654921</v>
      </c>
      <c r="G189" s="5">
        <f t="shared" si="14"/>
        <v>0.25790606494188956</v>
      </c>
    </row>
    <row r="190" spans="1:7" ht="15.75" customHeight="1">
      <c r="A190" s="3">
        <v>21739</v>
      </c>
      <c r="B190" s="4">
        <v>46</v>
      </c>
      <c r="C190">
        <f t="shared" si="10"/>
        <v>54.05987085966246</v>
      </c>
      <c r="D190" s="8">
        <f t="shared" si="11"/>
        <v>-8.0598708596624604</v>
      </c>
      <c r="E190" s="8">
        <f t="shared" si="12"/>
        <v>8.0598708596624604</v>
      </c>
      <c r="F190" s="8">
        <f t="shared" si="13"/>
        <v>64.961518274436088</v>
      </c>
      <c r="G190" s="5">
        <f t="shared" si="14"/>
        <v>0.17521458390570566</v>
      </c>
    </row>
    <row r="191" spans="1:7" ht="15.75" customHeight="1">
      <c r="A191" s="3">
        <v>21740</v>
      </c>
      <c r="B191" s="4">
        <v>51</v>
      </c>
      <c r="C191">
        <f t="shared" si="10"/>
        <v>47.611974171932495</v>
      </c>
      <c r="D191" s="8">
        <f t="shared" si="11"/>
        <v>3.3880258280675051</v>
      </c>
      <c r="E191" s="8">
        <f t="shared" si="12"/>
        <v>3.3880258280675051</v>
      </c>
      <c r="F191" s="8">
        <f t="shared" si="13"/>
        <v>11.478719011652503</v>
      </c>
      <c r="G191" s="5">
        <f t="shared" si="14"/>
        <v>6.6431878981715792E-2</v>
      </c>
    </row>
    <row r="192" spans="1:7" ht="15.75" customHeight="1">
      <c r="A192" s="3">
        <v>21741</v>
      </c>
      <c r="B192" s="4">
        <v>41</v>
      </c>
      <c r="C192">
        <f t="shared" si="10"/>
        <v>50.3223948343865</v>
      </c>
      <c r="D192" s="8">
        <f t="shared" si="11"/>
        <v>-9.3223948343865004</v>
      </c>
      <c r="E192" s="8">
        <f t="shared" si="12"/>
        <v>9.3223948343865004</v>
      </c>
      <c r="F192" s="8">
        <f t="shared" si="13"/>
        <v>86.907045448196101</v>
      </c>
      <c r="G192" s="5">
        <f t="shared" si="14"/>
        <v>0.22737548376552441</v>
      </c>
    </row>
    <row r="193" spans="1:7" ht="15.75" customHeight="1">
      <c r="A193" s="3">
        <v>21742</v>
      </c>
      <c r="B193" s="4">
        <v>47</v>
      </c>
      <c r="C193">
        <f t="shared" si="10"/>
        <v>42.864478966877307</v>
      </c>
      <c r="D193" s="8">
        <f t="shared" si="11"/>
        <v>4.1355210331226928</v>
      </c>
      <c r="E193" s="8">
        <f t="shared" si="12"/>
        <v>4.1355210331226928</v>
      </c>
      <c r="F193" s="8">
        <f t="shared" si="13"/>
        <v>17.102534215400183</v>
      </c>
      <c r="G193" s="5">
        <f t="shared" si="14"/>
        <v>8.7989809215376441E-2</v>
      </c>
    </row>
    <row r="194" spans="1:7" ht="15.75" customHeight="1">
      <c r="A194" s="3">
        <v>21743</v>
      </c>
      <c r="B194" s="4">
        <v>26</v>
      </c>
      <c r="C194">
        <f t="shared" si="10"/>
        <v>46.17289579337546</v>
      </c>
      <c r="D194" s="8">
        <f t="shared" si="11"/>
        <v>-20.17289579337546</v>
      </c>
      <c r="E194" s="8">
        <f t="shared" si="12"/>
        <v>20.17289579337546</v>
      </c>
      <c r="F194" s="8">
        <f t="shared" si="13"/>
        <v>406.9457246903853</v>
      </c>
      <c r="G194" s="5">
        <f t="shared" si="14"/>
        <v>0.77588060743751774</v>
      </c>
    </row>
    <row r="195" spans="1:7" ht="15.75" customHeight="1">
      <c r="A195" s="3">
        <v>21744</v>
      </c>
      <c r="B195" s="4">
        <v>35</v>
      </c>
      <c r="C195">
        <f t="shared" si="10"/>
        <v>30.034579158675093</v>
      </c>
      <c r="D195" s="8">
        <f t="shared" si="11"/>
        <v>4.9654208413249066</v>
      </c>
      <c r="E195" s="8">
        <f t="shared" si="12"/>
        <v>4.9654208413249066</v>
      </c>
      <c r="F195" s="8">
        <f t="shared" si="13"/>
        <v>24.655404131463744</v>
      </c>
      <c r="G195" s="5">
        <f t="shared" si="14"/>
        <v>0.14186916689499732</v>
      </c>
    </row>
    <row r="196" spans="1:7" ht="15.75" customHeight="1">
      <c r="A196" s="3">
        <v>21745</v>
      </c>
      <c r="B196" s="4">
        <v>44</v>
      </c>
      <c r="C196">
        <f t="shared" ref="C196:C259" si="15">0.8*B195+0.2*C195</f>
        <v>34.006915831735022</v>
      </c>
      <c r="D196" s="8">
        <f t="shared" ref="D196:D259" si="16">B196-C196</f>
        <v>9.9930841682649785</v>
      </c>
      <c r="E196" s="8">
        <f t="shared" ref="E196:E259" si="17">ABS(D196)</f>
        <v>9.9930841682649785</v>
      </c>
      <c r="F196" s="8">
        <f t="shared" ref="F196:F259" si="18">E196^2</f>
        <v>99.861731194028152</v>
      </c>
      <c r="G196" s="5">
        <f t="shared" ref="G196:G259" si="19">E196/B196</f>
        <v>0.22711554927874952</v>
      </c>
    </row>
    <row r="197" spans="1:7" ht="15.75" customHeight="1">
      <c r="A197" s="3">
        <v>21746</v>
      </c>
      <c r="B197" s="4">
        <v>41</v>
      </c>
      <c r="C197">
        <f t="shared" si="15"/>
        <v>42.001383166347011</v>
      </c>
      <c r="D197" s="8">
        <f t="shared" si="16"/>
        <v>-1.0013831663470114</v>
      </c>
      <c r="E197" s="8">
        <f t="shared" si="17"/>
        <v>1.0013831663470114</v>
      </c>
      <c r="F197" s="8">
        <f t="shared" si="18"/>
        <v>1.0027682458431664</v>
      </c>
      <c r="G197" s="5">
        <f t="shared" si="19"/>
        <v>2.442397966700028E-2</v>
      </c>
    </row>
    <row r="198" spans="1:7" ht="15.75" customHeight="1">
      <c r="A198" s="3">
        <v>21747</v>
      </c>
      <c r="B198" s="4">
        <v>42</v>
      </c>
      <c r="C198">
        <f t="shared" si="15"/>
        <v>41.200276633269411</v>
      </c>
      <c r="D198" s="8">
        <f t="shared" si="16"/>
        <v>0.79972336673058919</v>
      </c>
      <c r="E198" s="8">
        <f t="shared" si="17"/>
        <v>0.79972336673058919</v>
      </c>
      <c r="F198" s="8">
        <f t="shared" si="18"/>
        <v>0.63955746329490848</v>
      </c>
      <c r="G198" s="5">
        <f t="shared" si="19"/>
        <v>1.9041032541204504E-2</v>
      </c>
    </row>
    <row r="199" spans="1:7" ht="15.75" customHeight="1">
      <c r="A199" s="3">
        <v>21748</v>
      </c>
      <c r="B199" s="4">
        <v>36</v>
      </c>
      <c r="C199">
        <f t="shared" si="15"/>
        <v>41.840055326653882</v>
      </c>
      <c r="D199" s="8">
        <f t="shared" si="16"/>
        <v>-5.8400553266538822</v>
      </c>
      <c r="E199" s="8">
        <f t="shared" si="17"/>
        <v>5.8400553266538822</v>
      </c>
      <c r="F199" s="8">
        <f t="shared" si="18"/>
        <v>34.106246218378381</v>
      </c>
      <c r="G199" s="5">
        <f t="shared" si="19"/>
        <v>0.16222375907371894</v>
      </c>
    </row>
    <row r="200" spans="1:7" ht="15.75" customHeight="1">
      <c r="A200" s="3">
        <v>21749</v>
      </c>
      <c r="B200" s="4">
        <v>45</v>
      </c>
      <c r="C200">
        <f t="shared" si="15"/>
        <v>37.168011065330774</v>
      </c>
      <c r="D200" s="8">
        <f t="shared" si="16"/>
        <v>7.8319889346692264</v>
      </c>
      <c r="E200" s="8">
        <f t="shared" si="17"/>
        <v>7.8319889346692264</v>
      </c>
      <c r="F200" s="8">
        <f t="shared" si="18"/>
        <v>61.340050672781203</v>
      </c>
      <c r="G200" s="5">
        <f t="shared" si="19"/>
        <v>0.17404419854820502</v>
      </c>
    </row>
    <row r="201" spans="1:7" ht="15.75" customHeight="1">
      <c r="A201" s="3">
        <v>21750</v>
      </c>
      <c r="B201" s="4">
        <v>45</v>
      </c>
      <c r="C201">
        <f t="shared" si="15"/>
        <v>43.433602213066152</v>
      </c>
      <c r="D201" s="8">
        <f t="shared" si="16"/>
        <v>1.5663977869338481</v>
      </c>
      <c r="E201" s="8">
        <f t="shared" si="17"/>
        <v>1.5663977869338481</v>
      </c>
      <c r="F201" s="8">
        <f t="shared" si="18"/>
        <v>2.4536020269112573</v>
      </c>
      <c r="G201" s="5">
        <f t="shared" si="19"/>
        <v>3.4808839709641069E-2</v>
      </c>
    </row>
    <row r="202" spans="1:7" ht="15.75" customHeight="1">
      <c r="A202" s="3">
        <v>21751</v>
      </c>
      <c r="B202" s="4">
        <v>45</v>
      </c>
      <c r="C202">
        <f t="shared" si="15"/>
        <v>44.686720442613229</v>
      </c>
      <c r="D202" s="8">
        <f t="shared" si="16"/>
        <v>0.31327955738677105</v>
      </c>
      <c r="E202" s="8">
        <f t="shared" si="17"/>
        <v>0.31327955738677105</v>
      </c>
      <c r="F202" s="8">
        <f t="shared" si="18"/>
        <v>9.8144081076451173E-2</v>
      </c>
      <c r="G202" s="5">
        <f t="shared" si="19"/>
        <v>6.9617679419282453E-3</v>
      </c>
    </row>
    <row r="203" spans="1:7" ht="15.75" customHeight="1">
      <c r="A203" s="3">
        <v>21752</v>
      </c>
      <c r="B203" s="4">
        <v>47</v>
      </c>
      <c r="C203">
        <f t="shared" si="15"/>
        <v>44.93734408852265</v>
      </c>
      <c r="D203" s="8">
        <f t="shared" si="16"/>
        <v>2.0626559114773499</v>
      </c>
      <c r="E203" s="8">
        <f t="shared" si="17"/>
        <v>2.0626559114773499</v>
      </c>
      <c r="F203" s="8">
        <f t="shared" si="18"/>
        <v>4.2545494091524576</v>
      </c>
      <c r="G203" s="5">
        <f t="shared" si="19"/>
        <v>4.3886295988879789E-2</v>
      </c>
    </row>
    <row r="204" spans="1:7" ht="15.75" customHeight="1">
      <c r="A204" s="3">
        <v>21753</v>
      </c>
      <c r="B204" s="4">
        <v>38</v>
      </c>
      <c r="C204">
        <f t="shared" si="15"/>
        <v>46.587468817704533</v>
      </c>
      <c r="D204" s="8">
        <f t="shared" si="16"/>
        <v>-8.5874688177045329</v>
      </c>
      <c r="E204" s="8">
        <f t="shared" si="17"/>
        <v>8.5874688177045329</v>
      </c>
      <c r="F204" s="8">
        <f t="shared" si="18"/>
        <v>73.744620695047686</v>
      </c>
      <c r="G204" s="5">
        <f t="shared" si="19"/>
        <v>0.22598602151854033</v>
      </c>
    </row>
    <row r="205" spans="1:7" ht="15.75" customHeight="1">
      <c r="A205" s="3">
        <v>21754</v>
      </c>
      <c r="B205" s="4">
        <v>42</v>
      </c>
      <c r="C205">
        <f t="shared" si="15"/>
        <v>39.717493763540908</v>
      </c>
      <c r="D205" s="8">
        <f t="shared" si="16"/>
        <v>2.282506236459092</v>
      </c>
      <c r="E205" s="8">
        <f t="shared" si="17"/>
        <v>2.282506236459092</v>
      </c>
      <c r="F205" s="8">
        <f t="shared" si="18"/>
        <v>5.2098347194746486</v>
      </c>
      <c r="G205" s="5">
        <f t="shared" si="19"/>
        <v>5.4345386582359337E-2</v>
      </c>
    </row>
    <row r="206" spans="1:7" ht="15.75" customHeight="1">
      <c r="A206" s="3">
        <v>21755</v>
      </c>
      <c r="B206" s="4">
        <v>35</v>
      </c>
      <c r="C206">
        <f t="shared" si="15"/>
        <v>41.543498752708182</v>
      </c>
      <c r="D206" s="8">
        <f t="shared" si="16"/>
        <v>-6.5434987527081816</v>
      </c>
      <c r="E206" s="8">
        <f t="shared" si="17"/>
        <v>6.5434987527081816</v>
      </c>
      <c r="F206" s="8">
        <f t="shared" si="18"/>
        <v>42.817375926693529</v>
      </c>
      <c r="G206" s="5">
        <f t="shared" si="19"/>
        <v>0.18695710722023376</v>
      </c>
    </row>
    <row r="207" spans="1:7" ht="15.75" customHeight="1">
      <c r="A207" s="3">
        <v>21756</v>
      </c>
      <c r="B207" s="4">
        <v>36</v>
      </c>
      <c r="C207">
        <f t="shared" si="15"/>
        <v>36.308699750541635</v>
      </c>
      <c r="D207" s="8">
        <f t="shared" si="16"/>
        <v>-0.3086997505416349</v>
      </c>
      <c r="E207" s="8">
        <f t="shared" si="17"/>
        <v>0.3086997505416349</v>
      </c>
      <c r="F207" s="8">
        <f t="shared" si="18"/>
        <v>9.5295535984467619E-2</v>
      </c>
      <c r="G207" s="5">
        <f t="shared" si="19"/>
        <v>8.574993070600969E-3</v>
      </c>
    </row>
    <row r="208" spans="1:7" ht="15.75" customHeight="1">
      <c r="A208" s="3">
        <v>21757</v>
      </c>
      <c r="B208" s="4">
        <v>39</v>
      </c>
      <c r="C208">
        <f t="shared" si="15"/>
        <v>36.061739950108326</v>
      </c>
      <c r="D208" s="8">
        <f t="shared" si="16"/>
        <v>2.9382600498916744</v>
      </c>
      <c r="E208" s="8">
        <f t="shared" si="17"/>
        <v>2.9382600498916744</v>
      </c>
      <c r="F208" s="8">
        <f t="shared" si="18"/>
        <v>8.6333721207894261</v>
      </c>
      <c r="G208" s="5">
        <f t="shared" si="19"/>
        <v>7.5340001279273705E-2</v>
      </c>
    </row>
    <row r="209" spans="1:7" ht="15.75" customHeight="1">
      <c r="A209" s="3">
        <v>21758</v>
      </c>
      <c r="B209" s="4">
        <v>45</v>
      </c>
      <c r="C209">
        <f t="shared" si="15"/>
        <v>38.412347990021672</v>
      </c>
      <c r="D209" s="8">
        <f t="shared" si="16"/>
        <v>6.5876520099783278</v>
      </c>
      <c r="E209" s="8">
        <f t="shared" si="17"/>
        <v>6.5876520099783278</v>
      </c>
      <c r="F209" s="8">
        <f t="shared" si="18"/>
        <v>43.397159004571499</v>
      </c>
      <c r="G209" s="5">
        <f t="shared" si="19"/>
        <v>0.14639226688840729</v>
      </c>
    </row>
    <row r="210" spans="1:7" ht="15.75" customHeight="1">
      <c r="A210" s="3">
        <v>21759</v>
      </c>
      <c r="B210" s="4">
        <v>43</v>
      </c>
      <c r="C210">
        <f t="shared" si="15"/>
        <v>43.682469598004332</v>
      </c>
      <c r="D210" s="8">
        <f t="shared" si="16"/>
        <v>-0.6824695980043316</v>
      </c>
      <c r="E210" s="8">
        <f t="shared" si="17"/>
        <v>0.6824695980043316</v>
      </c>
      <c r="F210" s="8">
        <f t="shared" si="18"/>
        <v>0.46576475220019398</v>
      </c>
      <c r="G210" s="5">
        <f t="shared" si="19"/>
        <v>1.5871386000100737E-2</v>
      </c>
    </row>
    <row r="211" spans="1:7" ht="15.75" customHeight="1">
      <c r="A211" s="3">
        <v>21760</v>
      </c>
      <c r="B211" s="4">
        <v>47</v>
      </c>
      <c r="C211">
        <f t="shared" si="15"/>
        <v>43.136493919600866</v>
      </c>
      <c r="D211" s="8">
        <f t="shared" si="16"/>
        <v>3.8635060803991337</v>
      </c>
      <c r="E211" s="8">
        <f t="shared" si="17"/>
        <v>3.8635060803991337</v>
      </c>
      <c r="F211" s="8">
        <f t="shared" si="18"/>
        <v>14.926679233281078</v>
      </c>
      <c r="G211" s="5">
        <f t="shared" si="19"/>
        <v>8.2202257029768799E-2</v>
      </c>
    </row>
    <row r="212" spans="1:7" ht="15.75" customHeight="1">
      <c r="A212" s="3">
        <v>21761</v>
      </c>
      <c r="B212" s="4">
        <v>36</v>
      </c>
      <c r="C212">
        <f t="shared" si="15"/>
        <v>46.227298783920176</v>
      </c>
      <c r="D212" s="8">
        <f t="shared" si="16"/>
        <v>-10.227298783920176</v>
      </c>
      <c r="E212" s="8">
        <f t="shared" si="17"/>
        <v>10.227298783920176</v>
      </c>
      <c r="F212" s="8">
        <f t="shared" si="18"/>
        <v>104.59764041557511</v>
      </c>
      <c r="G212" s="5">
        <f t="shared" si="19"/>
        <v>0.28409163288667155</v>
      </c>
    </row>
    <row r="213" spans="1:7" ht="15.75" customHeight="1">
      <c r="A213" s="3">
        <v>21762</v>
      </c>
      <c r="B213" s="4">
        <v>41</v>
      </c>
      <c r="C213">
        <f t="shared" si="15"/>
        <v>38.045459756784034</v>
      </c>
      <c r="D213" s="8">
        <f t="shared" si="16"/>
        <v>2.9545402432159662</v>
      </c>
      <c r="E213" s="8">
        <f t="shared" si="17"/>
        <v>2.9545402432159662</v>
      </c>
      <c r="F213" s="8">
        <f t="shared" si="18"/>
        <v>8.7293080487826611</v>
      </c>
      <c r="G213" s="5">
        <f t="shared" si="19"/>
        <v>7.206195715160893E-2</v>
      </c>
    </row>
    <row r="214" spans="1:7" ht="15.75" customHeight="1">
      <c r="A214" s="3">
        <v>21763</v>
      </c>
      <c r="B214" s="4">
        <v>50</v>
      </c>
      <c r="C214">
        <f t="shared" si="15"/>
        <v>40.409091951356814</v>
      </c>
      <c r="D214" s="8">
        <f t="shared" si="16"/>
        <v>9.5909080486431861</v>
      </c>
      <c r="E214" s="8">
        <f t="shared" si="17"/>
        <v>9.5909080486431861</v>
      </c>
      <c r="F214" s="8">
        <f t="shared" si="18"/>
        <v>91.985517197528651</v>
      </c>
      <c r="G214" s="5">
        <f t="shared" si="19"/>
        <v>0.19181816097286372</v>
      </c>
    </row>
    <row r="215" spans="1:7" ht="15.75" customHeight="1">
      <c r="A215" s="3">
        <v>21764</v>
      </c>
      <c r="B215" s="4">
        <v>39</v>
      </c>
      <c r="C215">
        <f t="shared" si="15"/>
        <v>48.081818390271366</v>
      </c>
      <c r="D215" s="8">
        <f t="shared" si="16"/>
        <v>-9.0818183902713656</v>
      </c>
      <c r="E215" s="8">
        <f t="shared" si="17"/>
        <v>9.0818183902713656</v>
      </c>
      <c r="F215" s="8">
        <f t="shared" si="18"/>
        <v>82.479425273871172</v>
      </c>
      <c r="G215" s="5">
        <f t="shared" si="19"/>
        <v>0.23286713821208629</v>
      </c>
    </row>
    <row r="216" spans="1:7" ht="15.75" customHeight="1">
      <c r="A216" s="3">
        <v>21765</v>
      </c>
      <c r="B216" s="4">
        <v>41</v>
      </c>
      <c r="C216">
        <f t="shared" si="15"/>
        <v>40.816363678054273</v>
      </c>
      <c r="D216" s="8">
        <f t="shared" si="16"/>
        <v>0.18363632194572688</v>
      </c>
      <c r="E216" s="8">
        <f t="shared" si="17"/>
        <v>0.18363632194572688</v>
      </c>
      <c r="F216" s="8">
        <f t="shared" si="18"/>
        <v>3.3722298737754654E-2</v>
      </c>
      <c r="G216" s="5">
        <f t="shared" si="19"/>
        <v>4.4789346816030947E-3</v>
      </c>
    </row>
    <row r="217" spans="1:7" ht="15.75" customHeight="1">
      <c r="A217" s="3">
        <v>21766</v>
      </c>
      <c r="B217" s="4">
        <v>46</v>
      </c>
      <c r="C217">
        <f t="shared" si="15"/>
        <v>40.963272735610857</v>
      </c>
      <c r="D217" s="8">
        <f t="shared" si="16"/>
        <v>5.0367272643891425</v>
      </c>
      <c r="E217" s="8">
        <f t="shared" si="17"/>
        <v>5.0367272643891425</v>
      </c>
      <c r="F217" s="8">
        <f t="shared" si="18"/>
        <v>25.368621535840937</v>
      </c>
      <c r="G217" s="5">
        <f t="shared" si="19"/>
        <v>0.10949407096498136</v>
      </c>
    </row>
    <row r="218" spans="1:7" ht="15.75" customHeight="1">
      <c r="A218" s="3">
        <v>21767</v>
      </c>
      <c r="B218" s="4">
        <v>64</v>
      </c>
      <c r="C218">
        <f t="shared" si="15"/>
        <v>44.992654547122179</v>
      </c>
      <c r="D218" s="8">
        <f t="shared" si="16"/>
        <v>19.007345452877821</v>
      </c>
      <c r="E218" s="8">
        <f t="shared" si="17"/>
        <v>19.007345452877821</v>
      </c>
      <c r="F218" s="8">
        <f t="shared" si="18"/>
        <v>361.2791811650352</v>
      </c>
      <c r="G218" s="5">
        <f t="shared" si="19"/>
        <v>0.29698977270121596</v>
      </c>
    </row>
    <row r="219" spans="1:7" ht="15.75" customHeight="1">
      <c r="A219" s="3">
        <v>21768</v>
      </c>
      <c r="B219" s="4">
        <v>45</v>
      </c>
      <c r="C219">
        <f t="shared" si="15"/>
        <v>60.198530909424441</v>
      </c>
      <c r="D219" s="8">
        <f t="shared" si="16"/>
        <v>-15.198530909424441</v>
      </c>
      <c r="E219" s="8">
        <f t="shared" si="17"/>
        <v>15.198530909424441</v>
      </c>
      <c r="F219" s="8">
        <f t="shared" si="18"/>
        <v>230.99534180473015</v>
      </c>
      <c r="G219" s="5">
        <f t="shared" si="19"/>
        <v>0.33774513132054312</v>
      </c>
    </row>
    <row r="220" spans="1:7" ht="15.75" customHeight="1">
      <c r="A220" s="3">
        <v>21769</v>
      </c>
      <c r="B220" s="4">
        <v>34</v>
      </c>
      <c r="C220">
        <f t="shared" si="15"/>
        <v>48.039706181884888</v>
      </c>
      <c r="D220" s="8">
        <f t="shared" si="16"/>
        <v>-14.039706181884888</v>
      </c>
      <c r="E220" s="8">
        <f t="shared" si="17"/>
        <v>14.039706181884888</v>
      </c>
      <c r="F220" s="8">
        <f t="shared" si="18"/>
        <v>197.11334967365676</v>
      </c>
      <c r="G220" s="5">
        <f t="shared" si="19"/>
        <v>0.41293253476132025</v>
      </c>
    </row>
    <row r="221" spans="1:7" ht="15.75" customHeight="1">
      <c r="A221" s="3">
        <v>21770</v>
      </c>
      <c r="B221" s="4">
        <v>38</v>
      </c>
      <c r="C221">
        <f t="shared" si="15"/>
        <v>36.807941236376983</v>
      </c>
      <c r="D221" s="8">
        <f t="shared" si="16"/>
        <v>1.1920587636230167</v>
      </c>
      <c r="E221" s="8">
        <f t="shared" si="17"/>
        <v>1.1920587636230167</v>
      </c>
      <c r="F221" s="8">
        <f t="shared" si="18"/>
        <v>1.4210040959304351</v>
      </c>
      <c r="G221" s="5">
        <f t="shared" si="19"/>
        <v>3.1369967463763596E-2</v>
      </c>
    </row>
    <row r="222" spans="1:7" ht="15.75" customHeight="1">
      <c r="A222" s="3">
        <v>21771</v>
      </c>
      <c r="B222" s="4">
        <v>44</v>
      </c>
      <c r="C222">
        <f t="shared" si="15"/>
        <v>37.761588247275398</v>
      </c>
      <c r="D222" s="8">
        <f t="shared" si="16"/>
        <v>6.2384117527246019</v>
      </c>
      <c r="E222" s="8">
        <f t="shared" si="17"/>
        <v>6.2384117527246019</v>
      </c>
      <c r="F222" s="8">
        <f t="shared" si="18"/>
        <v>38.917781196532438</v>
      </c>
      <c r="G222" s="5">
        <f t="shared" si="19"/>
        <v>0.1417820852891955</v>
      </c>
    </row>
    <row r="223" spans="1:7" ht="15.75" customHeight="1">
      <c r="A223" s="3">
        <v>21772</v>
      </c>
      <c r="B223" s="4">
        <v>48</v>
      </c>
      <c r="C223">
        <f t="shared" si="15"/>
        <v>42.75231764945508</v>
      </c>
      <c r="D223" s="8">
        <f t="shared" si="16"/>
        <v>5.2476823505449204</v>
      </c>
      <c r="E223" s="8">
        <f t="shared" si="17"/>
        <v>5.2476823505449204</v>
      </c>
      <c r="F223" s="8">
        <f t="shared" si="18"/>
        <v>27.538170052220661</v>
      </c>
      <c r="G223" s="5">
        <f t="shared" si="19"/>
        <v>0.1093267156363525</v>
      </c>
    </row>
    <row r="224" spans="1:7" ht="15.75" customHeight="1">
      <c r="A224" s="3">
        <v>21773</v>
      </c>
      <c r="B224" s="4">
        <v>46</v>
      </c>
      <c r="C224">
        <f t="shared" si="15"/>
        <v>46.950463529891024</v>
      </c>
      <c r="D224" s="8">
        <f t="shared" si="16"/>
        <v>-0.95046352989102445</v>
      </c>
      <c r="E224" s="8">
        <f t="shared" si="17"/>
        <v>0.95046352989102445</v>
      </c>
      <c r="F224" s="8">
        <f t="shared" si="18"/>
        <v>0.90338092165290629</v>
      </c>
      <c r="G224" s="5">
        <f t="shared" si="19"/>
        <v>2.066225064980488E-2</v>
      </c>
    </row>
    <row r="225" spans="1:7" ht="15.75" customHeight="1">
      <c r="A225" s="3">
        <v>21774</v>
      </c>
      <c r="B225" s="4">
        <v>44</v>
      </c>
      <c r="C225">
        <f t="shared" si="15"/>
        <v>46.190092705978209</v>
      </c>
      <c r="D225" s="8">
        <f t="shared" si="16"/>
        <v>-2.1900927059782092</v>
      </c>
      <c r="E225" s="8">
        <f t="shared" si="17"/>
        <v>2.1900927059782092</v>
      </c>
      <c r="F225" s="8">
        <f t="shared" si="18"/>
        <v>4.7965060607789543</v>
      </c>
      <c r="G225" s="5">
        <f t="shared" si="19"/>
        <v>4.9774834226777483E-2</v>
      </c>
    </row>
    <row r="226" spans="1:7" ht="15.75" customHeight="1">
      <c r="A226" s="3">
        <v>21775</v>
      </c>
      <c r="B226" s="4">
        <v>37</v>
      </c>
      <c r="C226">
        <f t="shared" si="15"/>
        <v>44.438018541195646</v>
      </c>
      <c r="D226" s="8">
        <f t="shared" si="16"/>
        <v>-7.4380185411956461</v>
      </c>
      <c r="E226" s="8">
        <f t="shared" si="17"/>
        <v>7.4380185411956461</v>
      </c>
      <c r="F226" s="8">
        <f t="shared" si="18"/>
        <v>55.324119819170207</v>
      </c>
      <c r="G226" s="5">
        <f t="shared" si="19"/>
        <v>0.20102752814042288</v>
      </c>
    </row>
    <row r="227" spans="1:7" ht="15.75" customHeight="1">
      <c r="A227" s="3">
        <v>21776</v>
      </c>
      <c r="B227" s="4">
        <v>39</v>
      </c>
      <c r="C227">
        <f t="shared" si="15"/>
        <v>38.487603708239135</v>
      </c>
      <c r="D227" s="8">
        <f t="shared" si="16"/>
        <v>0.5123962917608651</v>
      </c>
      <c r="E227" s="8">
        <f t="shared" si="17"/>
        <v>0.5123962917608651</v>
      </c>
      <c r="F227" s="8">
        <f t="shared" si="18"/>
        <v>0.26254995981028562</v>
      </c>
      <c r="G227" s="5">
        <f t="shared" si="19"/>
        <v>1.3138366455406798E-2</v>
      </c>
    </row>
    <row r="228" spans="1:7" ht="15.75" customHeight="1">
      <c r="A228" s="3">
        <v>21777</v>
      </c>
      <c r="B228" s="4">
        <v>44</v>
      </c>
      <c r="C228">
        <f t="shared" si="15"/>
        <v>38.897520741647831</v>
      </c>
      <c r="D228" s="8">
        <f t="shared" si="16"/>
        <v>5.1024792583521688</v>
      </c>
      <c r="E228" s="8">
        <f t="shared" si="17"/>
        <v>5.1024792583521688</v>
      </c>
      <c r="F228" s="8">
        <f t="shared" si="18"/>
        <v>26.035294581914098</v>
      </c>
      <c r="G228" s="5">
        <f t="shared" si="19"/>
        <v>0.11596543768982202</v>
      </c>
    </row>
    <row r="229" spans="1:7" ht="15.75" customHeight="1">
      <c r="A229" s="3">
        <v>21778</v>
      </c>
      <c r="B229" s="4">
        <v>45</v>
      </c>
      <c r="C229">
        <f t="shared" si="15"/>
        <v>42.979504148329568</v>
      </c>
      <c r="D229" s="8">
        <f t="shared" si="16"/>
        <v>2.0204958516704323</v>
      </c>
      <c r="E229" s="8">
        <f t="shared" si="17"/>
        <v>2.0204958516704323</v>
      </c>
      <c r="F229" s="8">
        <f t="shared" si="18"/>
        <v>4.0824034866174257</v>
      </c>
      <c r="G229" s="5">
        <f t="shared" si="19"/>
        <v>4.4899907814898499E-2</v>
      </c>
    </row>
    <row r="230" spans="1:7" ht="15.75" customHeight="1">
      <c r="A230" s="3">
        <v>21779</v>
      </c>
      <c r="B230" s="4">
        <v>33</v>
      </c>
      <c r="C230">
        <f t="shared" si="15"/>
        <v>44.595900829665915</v>
      </c>
      <c r="D230" s="8">
        <f t="shared" si="16"/>
        <v>-11.595900829665915</v>
      </c>
      <c r="E230" s="8">
        <f t="shared" si="17"/>
        <v>11.595900829665915</v>
      </c>
      <c r="F230" s="8">
        <f t="shared" si="18"/>
        <v>134.46491605144666</v>
      </c>
      <c r="G230" s="5">
        <f t="shared" si="19"/>
        <v>0.35139093423230044</v>
      </c>
    </row>
    <row r="231" spans="1:7" ht="15.75" customHeight="1">
      <c r="A231" s="3">
        <v>21780</v>
      </c>
      <c r="B231" s="4">
        <v>44</v>
      </c>
      <c r="C231">
        <f t="shared" si="15"/>
        <v>35.319180165933183</v>
      </c>
      <c r="D231" s="8">
        <f t="shared" si="16"/>
        <v>8.680819834066817</v>
      </c>
      <c r="E231" s="8">
        <f t="shared" si="17"/>
        <v>8.680819834066817</v>
      </c>
      <c r="F231" s="8">
        <f t="shared" si="18"/>
        <v>75.356632991527846</v>
      </c>
      <c r="G231" s="5">
        <f t="shared" si="19"/>
        <v>0.19729135986515492</v>
      </c>
    </row>
    <row r="232" spans="1:7" ht="15.75" customHeight="1">
      <c r="A232" s="3">
        <v>21781</v>
      </c>
      <c r="B232" s="4">
        <v>38</v>
      </c>
      <c r="C232">
        <f t="shared" si="15"/>
        <v>42.263836033186642</v>
      </c>
      <c r="D232" s="8">
        <f t="shared" si="16"/>
        <v>-4.2638360331866423</v>
      </c>
      <c r="E232" s="8">
        <f t="shared" si="17"/>
        <v>4.2638360331866423</v>
      </c>
      <c r="F232" s="8">
        <f t="shared" si="18"/>
        <v>18.1802977179008</v>
      </c>
      <c r="G232" s="5">
        <f t="shared" si="19"/>
        <v>0.11220621139964848</v>
      </c>
    </row>
    <row r="233" spans="1:7" ht="15.75" customHeight="1">
      <c r="A233" s="3">
        <v>21782</v>
      </c>
      <c r="B233" s="4">
        <v>46</v>
      </c>
      <c r="C233">
        <f t="shared" si="15"/>
        <v>38.852767206637331</v>
      </c>
      <c r="D233" s="8">
        <f t="shared" si="16"/>
        <v>7.1472327933626687</v>
      </c>
      <c r="E233" s="8">
        <f t="shared" si="17"/>
        <v>7.1472327933626687</v>
      </c>
      <c r="F233" s="8">
        <f t="shared" si="18"/>
        <v>51.082936602518735</v>
      </c>
      <c r="G233" s="5">
        <f t="shared" si="19"/>
        <v>0.15537462594266671</v>
      </c>
    </row>
    <row r="234" spans="1:7" ht="15.75" customHeight="1">
      <c r="A234" s="3">
        <v>21783</v>
      </c>
      <c r="B234" s="4">
        <v>46</v>
      </c>
      <c r="C234">
        <f t="shared" si="15"/>
        <v>44.570553441327469</v>
      </c>
      <c r="D234" s="8">
        <f t="shared" si="16"/>
        <v>1.4294465586725309</v>
      </c>
      <c r="E234" s="8">
        <f t="shared" si="17"/>
        <v>1.4294465586725309</v>
      </c>
      <c r="F234" s="8">
        <f t="shared" si="18"/>
        <v>2.0433174641007414</v>
      </c>
      <c r="G234" s="5">
        <f t="shared" si="19"/>
        <v>3.1074925188533279E-2</v>
      </c>
    </row>
    <row r="235" spans="1:7" ht="15.75" customHeight="1">
      <c r="A235" s="3">
        <v>21784</v>
      </c>
      <c r="B235" s="4">
        <v>40</v>
      </c>
      <c r="C235">
        <f t="shared" si="15"/>
        <v>45.7141106882655</v>
      </c>
      <c r="D235" s="8">
        <f t="shared" si="16"/>
        <v>-5.7141106882654995</v>
      </c>
      <c r="E235" s="8">
        <f t="shared" si="17"/>
        <v>5.7141106882654995</v>
      </c>
      <c r="F235" s="8">
        <f t="shared" si="18"/>
        <v>32.651060957750019</v>
      </c>
      <c r="G235" s="5">
        <f t="shared" si="19"/>
        <v>0.14285276720663748</v>
      </c>
    </row>
    <row r="236" spans="1:7" ht="15.75" customHeight="1">
      <c r="A236" s="3">
        <v>21785</v>
      </c>
      <c r="B236" s="4">
        <v>39</v>
      </c>
      <c r="C236">
        <f t="shared" si="15"/>
        <v>41.142822137653098</v>
      </c>
      <c r="D236" s="8">
        <f t="shared" si="16"/>
        <v>-2.1428221376530985</v>
      </c>
      <c r="E236" s="8">
        <f t="shared" si="17"/>
        <v>2.1428221376530985</v>
      </c>
      <c r="F236" s="8">
        <f t="shared" si="18"/>
        <v>4.5916867136161947</v>
      </c>
      <c r="G236" s="5">
        <f t="shared" si="19"/>
        <v>5.4944157375720476E-2</v>
      </c>
    </row>
    <row r="237" spans="1:7" ht="15.75" customHeight="1">
      <c r="A237" s="3">
        <v>21786</v>
      </c>
      <c r="B237" s="4">
        <v>44</v>
      </c>
      <c r="C237">
        <f t="shared" si="15"/>
        <v>39.428564427530624</v>
      </c>
      <c r="D237" s="8">
        <f t="shared" si="16"/>
        <v>4.571435572469376</v>
      </c>
      <c r="E237" s="8">
        <f t="shared" si="17"/>
        <v>4.571435572469376</v>
      </c>
      <c r="F237" s="8">
        <f t="shared" si="18"/>
        <v>20.898023193238412</v>
      </c>
      <c r="G237" s="5">
        <f t="shared" si="19"/>
        <v>0.10389626301066764</v>
      </c>
    </row>
    <row r="238" spans="1:7" ht="15.75" customHeight="1">
      <c r="A238" s="3">
        <v>21787</v>
      </c>
      <c r="B238" s="4">
        <v>48</v>
      </c>
      <c r="C238">
        <f t="shared" si="15"/>
        <v>43.085712885506126</v>
      </c>
      <c r="D238" s="8">
        <f t="shared" si="16"/>
        <v>4.9142871144938738</v>
      </c>
      <c r="E238" s="8">
        <f t="shared" si="17"/>
        <v>4.9142871144938738</v>
      </c>
      <c r="F238" s="8">
        <f t="shared" si="18"/>
        <v>24.150217843680526</v>
      </c>
      <c r="G238" s="5">
        <f t="shared" si="19"/>
        <v>0.1023809815519557</v>
      </c>
    </row>
    <row r="239" spans="1:7" ht="15.75" customHeight="1">
      <c r="A239" s="3">
        <v>21788</v>
      </c>
      <c r="B239" s="4">
        <v>50</v>
      </c>
      <c r="C239">
        <f t="shared" si="15"/>
        <v>47.017142577101232</v>
      </c>
      <c r="D239" s="8">
        <f t="shared" si="16"/>
        <v>2.9828574228987677</v>
      </c>
      <c r="E239" s="8">
        <f t="shared" si="17"/>
        <v>2.9828574228987677</v>
      </c>
      <c r="F239" s="8">
        <f t="shared" si="18"/>
        <v>8.8974384053422781</v>
      </c>
      <c r="G239" s="5">
        <f t="shared" si="19"/>
        <v>5.9657148457975352E-2</v>
      </c>
    </row>
    <row r="240" spans="1:7" ht="15.75" customHeight="1">
      <c r="A240" s="3">
        <v>21789</v>
      </c>
      <c r="B240" s="4">
        <v>41</v>
      </c>
      <c r="C240">
        <f t="shared" si="15"/>
        <v>49.403428515420245</v>
      </c>
      <c r="D240" s="8">
        <f t="shared" si="16"/>
        <v>-8.403428515420245</v>
      </c>
      <c r="E240" s="8">
        <f t="shared" si="17"/>
        <v>8.403428515420245</v>
      </c>
      <c r="F240" s="8">
        <f t="shared" si="18"/>
        <v>70.6176108137781</v>
      </c>
      <c r="G240" s="5">
        <f t="shared" si="19"/>
        <v>0.20496167110781086</v>
      </c>
    </row>
    <row r="241" spans="1:7" ht="15.75" customHeight="1">
      <c r="A241" s="3">
        <v>21790</v>
      </c>
      <c r="B241" s="4">
        <v>42</v>
      </c>
      <c r="C241">
        <f t="shared" si="15"/>
        <v>42.680685703084052</v>
      </c>
      <c r="D241" s="8">
        <f t="shared" si="16"/>
        <v>-0.68068570308405185</v>
      </c>
      <c r="E241" s="8">
        <f t="shared" si="17"/>
        <v>0.68068570308405185</v>
      </c>
      <c r="F241" s="8">
        <f t="shared" si="18"/>
        <v>0.46333302638302998</v>
      </c>
      <c r="G241" s="5">
        <f t="shared" si="19"/>
        <v>1.6206802454382187E-2</v>
      </c>
    </row>
    <row r="242" spans="1:7" ht="15.75" customHeight="1">
      <c r="A242" s="3">
        <v>21791</v>
      </c>
      <c r="B242" s="4">
        <v>51</v>
      </c>
      <c r="C242">
        <f t="shared" si="15"/>
        <v>42.13613714061681</v>
      </c>
      <c r="D242" s="8">
        <f t="shared" si="16"/>
        <v>8.8638628593831896</v>
      </c>
      <c r="E242" s="8">
        <f t="shared" si="17"/>
        <v>8.8638628593831896</v>
      </c>
      <c r="F242" s="8">
        <f t="shared" si="18"/>
        <v>78.568064789952729</v>
      </c>
      <c r="G242" s="5">
        <f t="shared" si="19"/>
        <v>0.17380123253692528</v>
      </c>
    </row>
    <row r="243" spans="1:7" ht="15.75" customHeight="1">
      <c r="A243" s="3">
        <v>21792</v>
      </c>
      <c r="B243" s="4">
        <v>41</v>
      </c>
      <c r="C243">
        <f t="shared" si="15"/>
        <v>49.227227428123371</v>
      </c>
      <c r="D243" s="8">
        <f t="shared" si="16"/>
        <v>-8.2272274281233706</v>
      </c>
      <c r="E243" s="8">
        <f t="shared" si="17"/>
        <v>8.2272274281233706</v>
      </c>
      <c r="F243" s="8">
        <f t="shared" si="18"/>
        <v>67.687271154065485</v>
      </c>
      <c r="G243" s="5">
        <f t="shared" si="19"/>
        <v>0.20066408361276514</v>
      </c>
    </row>
    <row r="244" spans="1:7" ht="15.75" customHeight="1">
      <c r="A244" s="3">
        <v>21793</v>
      </c>
      <c r="B244" s="4">
        <v>44</v>
      </c>
      <c r="C244">
        <f t="shared" si="15"/>
        <v>42.645445485624677</v>
      </c>
      <c r="D244" s="8">
        <f t="shared" si="16"/>
        <v>1.354554514375323</v>
      </c>
      <c r="E244" s="8">
        <f t="shared" si="17"/>
        <v>1.354554514375323</v>
      </c>
      <c r="F244" s="8">
        <f t="shared" si="18"/>
        <v>1.8348179324145673</v>
      </c>
      <c r="G244" s="5">
        <f t="shared" si="19"/>
        <v>3.0785329872166433E-2</v>
      </c>
    </row>
    <row r="245" spans="1:7" ht="15.75" customHeight="1">
      <c r="A245" s="3">
        <v>21794</v>
      </c>
      <c r="B245" s="4">
        <v>38</v>
      </c>
      <c r="C245">
        <f t="shared" si="15"/>
        <v>43.729089097124941</v>
      </c>
      <c r="D245" s="8">
        <f t="shared" si="16"/>
        <v>-5.7290890971249411</v>
      </c>
      <c r="E245" s="8">
        <f t="shared" si="17"/>
        <v>5.7290890971249411</v>
      </c>
      <c r="F245" s="8">
        <f t="shared" si="18"/>
        <v>32.822461882795871</v>
      </c>
      <c r="G245" s="5">
        <f t="shared" si="19"/>
        <v>0.1507655025559195</v>
      </c>
    </row>
    <row r="246" spans="1:7" ht="15.75" customHeight="1">
      <c r="A246" s="3">
        <v>21795</v>
      </c>
      <c r="B246" s="4">
        <v>68</v>
      </c>
      <c r="C246">
        <f t="shared" si="15"/>
        <v>39.145817819424991</v>
      </c>
      <c r="D246" s="8">
        <f t="shared" si="16"/>
        <v>28.854182180575009</v>
      </c>
      <c r="E246" s="8">
        <f t="shared" si="17"/>
        <v>28.854182180575009</v>
      </c>
      <c r="F246" s="8">
        <f t="shared" si="18"/>
        <v>832.56382930981238</v>
      </c>
      <c r="G246" s="5">
        <f t="shared" si="19"/>
        <v>0.42432620853786779</v>
      </c>
    </row>
    <row r="247" spans="1:7" ht="15.75" customHeight="1">
      <c r="A247" s="3">
        <v>21796</v>
      </c>
      <c r="B247" s="4">
        <v>40</v>
      </c>
      <c r="C247">
        <f t="shared" si="15"/>
        <v>62.229163563885002</v>
      </c>
      <c r="D247" s="8">
        <f t="shared" si="16"/>
        <v>-22.229163563885002</v>
      </c>
      <c r="E247" s="8">
        <f t="shared" si="17"/>
        <v>22.229163563885002</v>
      </c>
      <c r="F247" s="8">
        <f t="shared" si="18"/>
        <v>494.13571274995257</v>
      </c>
      <c r="G247" s="5">
        <f t="shared" si="19"/>
        <v>0.55572908909712504</v>
      </c>
    </row>
    <row r="248" spans="1:7" ht="15.75" customHeight="1">
      <c r="A248" s="3">
        <v>21797</v>
      </c>
      <c r="B248" s="4">
        <v>42</v>
      </c>
      <c r="C248">
        <f t="shared" si="15"/>
        <v>44.445832712777005</v>
      </c>
      <c r="D248" s="8">
        <f t="shared" si="16"/>
        <v>-2.4458327127770048</v>
      </c>
      <c r="E248" s="8">
        <f t="shared" si="17"/>
        <v>2.4458327127770048</v>
      </c>
      <c r="F248" s="8">
        <f t="shared" si="18"/>
        <v>5.9820976588901225</v>
      </c>
      <c r="G248" s="5">
        <f t="shared" si="19"/>
        <v>5.8234112208976306E-2</v>
      </c>
    </row>
    <row r="249" spans="1:7" ht="15.75" customHeight="1">
      <c r="A249" s="3">
        <v>21798</v>
      </c>
      <c r="B249" s="4">
        <v>51</v>
      </c>
      <c r="C249">
        <f t="shared" si="15"/>
        <v>42.489166542555402</v>
      </c>
      <c r="D249" s="8">
        <f t="shared" si="16"/>
        <v>8.5108334574445976</v>
      </c>
      <c r="E249" s="8">
        <f t="shared" si="17"/>
        <v>8.5108334574445976</v>
      </c>
      <c r="F249" s="8">
        <f t="shared" si="18"/>
        <v>72.434286140358367</v>
      </c>
      <c r="G249" s="5">
        <f t="shared" si="19"/>
        <v>0.16687908740087445</v>
      </c>
    </row>
    <row r="250" spans="1:7" ht="15.75" customHeight="1">
      <c r="A250" s="3">
        <v>21799</v>
      </c>
      <c r="B250" s="4">
        <v>44</v>
      </c>
      <c r="C250">
        <f t="shared" si="15"/>
        <v>49.297833308511088</v>
      </c>
      <c r="D250" s="8">
        <f t="shared" si="16"/>
        <v>-5.2978333085110876</v>
      </c>
      <c r="E250" s="8">
        <f t="shared" si="17"/>
        <v>5.2978333085110876</v>
      </c>
      <c r="F250" s="8">
        <f t="shared" si="18"/>
        <v>28.067037764769537</v>
      </c>
      <c r="G250" s="5">
        <f t="shared" si="19"/>
        <v>0.12040530246616109</v>
      </c>
    </row>
    <row r="251" spans="1:7" ht="15.75" customHeight="1">
      <c r="A251" s="3">
        <v>21800</v>
      </c>
      <c r="B251" s="4">
        <v>45</v>
      </c>
      <c r="C251">
        <f t="shared" si="15"/>
        <v>45.05956666170222</v>
      </c>
      <c r="D251" s="8">
        <f t="shared" si="16"/>
        <v>-5.9566661702220358E-2</v>
      </c>
      <c r="E251" s="8">
        <f t="shared" si="17"/>
        <v>5.9566661702220358E-2</v>
      </c>
      <c r="F251" s="8">
        <f t="shared" si="18"/>
        <v>3.5481871863467657E-3</v>
      </c>
      <c r="G251" s="5">
        <f t="shared" si="19"/>
        <v>1.3237035933826747E-3</v>
      </c>
    </row>
    <row r="252" spans="1:7" ht="15.75" customHeight="1">
      <c r="A252" s="3">
        <v>21801</v>
      </c>
      <c r="B252" s="4">
        <v>36</v>
      </c>
      <c r="C252">
        <f t="shared" si="15"/>
        <v>45.011913332340441</v>
      </c>
      <c r="D252" s="8">
        <f t="shared" si="16"/>
        <v>-9.0119133323404412</v>
      </c>
      <c r="E252" s="8">
        <f t="shared" si="17"/>
        <v>9.0119133323404412</v>
      </c>
      <c r="F252" s="8">
        <f t="shared" si="18"/>
        <v>81.21458190961539</v>
      </c>
      <c r="G252" s="5">
        <f t="shared" si="19"/>
        <v>0.2503309258983456</v>
      </c>
    </row>
    <row r="253" spans="1:7" ht="15.75" customHeight="1">
      <c r="A253" s="3">
        <v>21802</v>
      </c>
      <c r="B253" s="4">
        <v>57</v>
      </c>
      <c r="C253">
        <f t="shared" si="15"/>
        <v>37.802382666468091</v>
      </c>
      <c r="D253" s="8">
        <f t="shared" si="16"/>
        <v>19.197617333531909</v>
      </c>
      <c r="E253" s="8">
        <f t="shared" si="17"/>
        <v>19.197617333531909</v>
      </c>
      <c r="F253" s="8">
        <f t="shared" si="18"/>
        <v>368.54851128472478</v>
      </c>
      <c r="G253" s="5">
        <f t="shared" si="19"/>
        <v>0.33680030409705103</v>
      </c>
    </row>
    <row r="254" spans="1:7" ht="15.75" customHeight="1">
      <c r="A254" s="3">
        <v>21803</v>
      </c>
      <c r="B254" s="4">
        <v>44</v>
      </c>
      <c r="C254">
        <f t="shared" si="15"/>
        <v>53.160476533293618</v>
      </c>
      <c r="D254" s="8">
        <f t="shared" si="16"/>
        <v>-9.1604765332936182</v>
      </c>
      <c r="E254" s="8">
        <f t="shared" si="17"/>
        <v>9.1604765332936182</v>
      </c>
      <c r="F254" s="8">
        <f t="shared" si="18"/>
        <v>83.914330317023072</v>
      </c>
      <c r="G254" s="5">
        <f t="shared" si="19"/>
        <v>0.20819264848394586</v>
      </c>
    </row>
    <row r="255" spans="1:7" ht="15.75" customHeight="1">
      <c r="A255" s="3">
        <v>21804</v>
      </c>
      <c r="B255" s="4">
        <v>42</v>
      </c>
      <c r="C255">
        <f t="shared" si="15"/>
        <v>45.832095306658729</v>
      </c>
      <c r="D255" s="8">
        <f t="shared" si="16"/>
        <v>-3.8320953066587293</v>
      </c>
      <c r="E255" s="8">
        <f t="shared" si="17"/>
        <v>3.8320953066587293</v>
      </c>
      <c r="F255" s="8">
        <f t="shared" si="18"/>
        <v>14.684954439315861</v>
      </c>
      <c r="G255" s="5">
        <f t="shared" si="19"/>
        <v>9.1240364444255456E-2</v>
      </c>
    </row>
    <row r="256" spans="1:7" ht="15.75" customHeight="1">
      <c r="A256" s="3">
        <v>21805</v>
      </c>
      <c r="B256" s="4">
        <v>53</v>
      </c>
      <c r="C256">
        <f t="shared" si="15"/>
        <v>42.766419061331746</v>
      </c>
      <c r="D256" s="8">
        <f t="shared" si="16"/>
        <v>10.233580938668254</v>
      </c>
      <c r="E256" s="8">
        <f t="shared" si="17"/>
        <v>10.233580938668254</v>
      </c>
      <c r="F256" s="8">
        <f t="shared" si="18"/>
        <v>104.72617882827423</v>
      </c>
      <c r="G256" s="5">
        <f t="shared" si="19"/>
        <v>0.19308643280506141</v>
      </c>
    </row>
    <row r="257" spans="1:7" ht="15.75" customHeight="1">
      <c r="A257" s="3">
        <v>21806</v>
      </c>
      <c r="B257" s="4">
        <v>42</v>
      </c>
      <c r="C257">
        <f t="shared" si="15"/>
        <v>50.953283812266356</v>
      </c>
      <c r="D257" s="8">
        <f t="shared" si="16"/>
        <v>-8.9532838122663563</v>
      </c>
      <c r="E257" s="8">
        <f t="shared" si="17"/>
        <v>8.9532838122663563</v>
      </c>
      <c r="F257" s="8">
        <f t="shared" si="18"/>
        <v>80.161291022990781</v>
      </c>
      <c r="G257" s="5">
        <f t="shared" si="19"/>
        <v>0.21317342410157991</v>
      </c>
    </row>
    <row r="258" spans="1:7" ht="15.75" customHeight="1">
      <c r="A258" s="3">
        <v>21807</v>
      </c>
      <c r="B258" s="4">
        <v>34</v>
      </c>
      <c r="C258">
        <f t="shared" si="15"/>
        <v>43.790656762453274</v>
      </c>
      <c r="D258" s="8">
        <f t="shared" si="16"/>
        <v>-9.7906567624532741</v>
      </c>
      <c r="E258" s="8">
        <f t="shared" si="17"/>
        <v>9.7906567624532741</v>
      </c>
      <c r="F258" s="8">
        <f t="shared" si="18"/>
        <v>95.856959840172024</v>
      </c>
      <c r="G258" s="5">
        <f t="shared" si="19"/>
        <v>0.2879604930133316</v>
      </c>
    </row>
    <row r="259" spans="1:7" ht="15.75" customHeight="1">
      <c r="A259" s="3">
        <v>21808</v>
      </c>
      <c r="B259" s="4">
        <v>40</v>
      </c>
      <c r="C259">
        <f t="shared" si="15"/>
        <v>35.958131352490661</v>
      </c>
      <c r="D259" s="8">
        <f t="shared" si="16"/>
        <v>4.0418686475093395</v>
      </c>
      <c r="E259" s="8">
        <f t="shared" si="17"/>
        <v>4.0418686475093395</v>
      </c>
      <c r="F259" s="8">
        <f t="shared" si="18"/>
        <v>16.336702163718979</v>
      </c>
      <c r="G259" s="5">
        <f t="shared" si="19"/>
        <v>0.10104671618773349</v>
      </c>
    </row>
    <row r="260" spans="1:7" ht="15.75" customHeight="1">
      <c r="A260" s="3">
        <v>21809</v>
      </c>
      <c r="B260" s="4">
        <v>56</v>
      </c>
      <c r="C260">
        <f t="shared" ref="C260:C323" si="20">0.8*B259+0.2*C259</f>
        <v>39.191626270498134</v>
      </c>
      <c r="D260" s="8">
        <f t="shared" ref="D260:D323" si="21">B260-C260</f>
        <v>16.808373729501866</v>
      </c>
      <c r="E260" s="8">
        <f t="shared" ref="E260:E323" si="22">ABS(D260)</f>
        <v>16.808373729501866</v>
      </c>
      <c r="F260" s="8">
        <f t="shared" ref="F260:F323" si="23">E260^2</f>
        <v>282.52142743060847</v>
      </c>
      <c r="G260" s="5">
        <f t="shared" ref="G260:G323" si="24">E260/B260</f>
        <v>0.3001495308839619</v>
      </c>
    </row>
    <row r="261" spans="1:7" ht="15.75" customHeight="1">
      <c r="A261" s="3">
        <v>21810</v>
      </c>
      <c r="B261" s="4">
        <v>44</v>
      </c>
      <c r="C261">
        <f t="shared" si="20"/>
        <v>52.638325254099634</v>
      </c>
      <c r="D261" s="8">
        <f t="shared" si="21"/>
        <v>-8.6383252540996338</v>
      </c>
      <c r="E261" s="8">
        <f t="shared" si="22"/>
        <v>8.6383252540996338</v>
      </c>
      <c r="F261" s="8">
        <f t="shared" si="23"/>
        <v>74.620663195615506</v>
      </c>
      <c r="G261" s="5">
        <f t="shared" si="24"/>
        <v>0.19632557395680986</v>
      </c>
    </row>
    <row r="262" spans="1:7" ht="15.75" customHeight="1">
      <c r="A262" s="3">
        <v>21811</v>
      </c>
      <c r="B262" s="4">
        <v>53</v>
      </c>
      <c r="C262">
        <f t="shared" si="20"/>
        <v>45.72766505081993</v>
      </c>
      <c r="D262" s="8">
        <f t="shared" si="21"/>
        <v>7.2723349491800704</v>
      </c>
      <c r="E262" s="8">
        <f t="shared" si="22"/>
        <v>7.2723349491800704</v>
      </c>
      <c r="F262" s="8">
        <f t="shared" si="23"/>
        <v>52.886855613065897</v>
      </c>
      <c r="G262" s="5">
        <f t="shared" si="24"/>
        <v>0.13721386696566171</v>
      </c>
    </row>
    <row r="263" spans="1:7" ht="15.75" customHeight="1">
      <c r="A263" s="3">
        <v>21812</v>
      </c>
      <c r="B263" s="4">
        <v>55</v>
      </c>
      <c r="C263">
        <f t="shared" si="20"/>
        <v>51.545533010163993</v>
      </c>
      <c r="D263" s="8">
        <f t="shared" si="21"/>
        <v>3.454466989836007</v>
      </c>
      <c r="E263" s="8">
        <f t="shared" si="22"/>
        <v>3.454466989836007</v>
      </c>
      <c r="F263" s="8">
        <f t="shared" si="23"/>
        <v>11.933342183866642</v>
      </c>
      <c r="G263" s="5">
        <f t="shared" si="24"/>
        <v>6.2808490724291038E-2</v>
      </c>
    </row>
    <row r="264" spans="1:7" ht="15.75" customHeight="1">
      <c r="A264" s="3">
        <v>21813</v>
      </c>
      <c r="B264" s="4">
        <v>39</v>
      </c>
      <c r="C264">
        <f t="shared" si="20"/>
        <v>54.309106602032799</v>
      </c>
      <c r="D264" s="8">
        <f t="shared" si="21"/>
        <v>-15.309106602032799</v>
      </c>
      <c r="E264" s="8">
        <f t="shared" si="22"/>
        <v>15.309106602032799</v>
      </c>
      <c r="F264" s="8">
        <f t="shared" si="23"/>
        <v>234.36874495240423</v>
      </c>
      <c r="G264" s="5">
        <f t="shared" si="24"/>
        <v>0.39254119492391792</v>
      </c>
    </row>
    <row r="265" spans="1:7" ht="15.75" customHeight="1">
      <c r="A265" s="3">
        <v>21814</v>
      </c>
      <c r="B265" s="4">
        <v>59</v>
      </c>
      <c r="C265">
        <f t="shared" si="20"/>
        <v>42.061821320406565</v>
      </c>
      <c r="D265" s="8">
        <f t="shared" si="21"/>
        <v>16.938178679593435</v>
      </c>
      <c r="E265" s="8">
        <f t="shared" si="22"/>
        <v>16.938178679593435</v>
      </c>
      <c r="F265" s="8">
        <f t="shared" si="23"/>
        <v>286.9018969818336</v>
      </c>
      <c r="G265" s="5">
        <f t="shared" si="24"/>
        <v>0.28708777423039722</v>
      </c>
    </row>
    <row r="266" spans="1:7" ht="15.75" customHeight="1">
      <c r="A266" s="3">
        <v>21815</v>
      </c>
      <c r="B266" s="4">
        <v>55</v>
      </c>
      <c r="C266">
        <f t="shared" si="20"/>
        <v>55.612364264081315</v>
      </c>
      <c r="D266" s="8">
        <f t="shared" si="21"/>
        <v>-0.6123642640813145</v>
      </c>
      <c r="E266" s="8">
        <f t="shared" si="22"/>
        <v>0.6123642640813145</v>
      </c>
      <c r="F266" s="8">
        <f t="shared" si="23"/>
        <v>0.37498999192384991</v>
      </c>
      <c r="G266" s="5">
        <f t="shared" si="24"/>
        <v>1.1133895710569355E-2</v>
      </c>
    </row>
    <row r="267" spans="1:7" ht="15.75" customHeight="1">
      <c r="A267" s="3">
        <v>21816</v>
      </c>
      <c r="B267" s="4">
        <v>73</v>
      </c>
      <c r="C267">
        <f t="shared" si="20"/>
        <v>55.122472852816266</v>
      </c>
      <c r="D267" s="8">
        <f t="shared" si="21"/>
        <v>17.877527147183734</v>
      </c>
      <c r="E267" s="8">
        <f t="shared" si="22"/>
        <v>17.877527147183734</v>
      </c>
      <c r="F267" s="8">
        <f t="shared" si="23"/>
        <v>319.60597689829137</v>
      </c>
      <c r="G267" s="5">
        <f t="shared" si="24"/>
        <v>0.24489763215320184</v>
      </c>
    </row>
    <row r="268" spans="1:7" ht="15.75" customHeight="1">
      <c r="A268" s="3">
        <v>21817</v>
      </c>
      <c r="B268" s="4">
        <v>55</v>
      </c>
      <c r="C268">
        <f t="shared" si="20"/>
        <v>69.424494570563255</v>
      </c>
      <c r="D268" s="8">
        <f t="shared" si="21"/>
        <v>-14.424494570563255</v>
      </c>
      <c r="E268" s="8">
        <f t="shared" si="22"/>
        <v>14.424494570563255</v>
      </c>
      <c r="F268" s="8">
        <f t="shared" si="23"/>
        <v>208.06604361620882</v>
      </c>
      <c r="G268" s="5">
        <f t="shared" si="24"/>
        <v>0.26226353764660465</v>
      </c>
    </row>
    <row r="269" spans="1:7" ht="15.75" customHeight="1">
      <c r="A269" s="3">
        <v>21818</v>
      </c>
      <c r="B269" s="4">
        <v>44</v>
      </c>
      <c r="C269">
        <f t="shared" si="20"/>
        <v>57.884898914112654</v>
      </c>
      <c r="D269" s="8">
        <f t="shared" si="21"/>
        <v>-13.884898914112654</v>
      </c>
      <c r="E269" s="8">
        <f t="shared" si="22"/>
        <v>13.884898914112654</v>
      </c>
      <c r="F269" s="8">
        <f t="shared" si="23"/>
        <v>192.79041785512675</v>
      </c>
      <c r="G269" s="5">
        <f t="shared" si="24"/>
        <v>0.31556588441165123</v>
      </c>
    </row>
    <row r="270" spans="1:7" ht="15.75" customHeight="1">
      <c r="A270" s="3">
        <v>21819</v>
      </c>
      <c r="B270" s="4">
        <v>43</v>
      </c>
      <c r="C270">
        <f t="shared" si="20"/>
        <v>46.776979782822536</v>
      </c>
      <c r="D270" s="8">
        <f t="shared" si="21"/>
        <v>-3.7769797828225364</v>
      </c>
      <c r="E270" s="8">
        <f t="shared" si="22"/>
        <v>3.7769797828225364</v>
      </c>
      <c r="F270" s="8">
        <f t="shared" si="23"/>
        <v>14.265576279850174</v>
      </c>
      <c r="G270" s="5">
        <f t="shared" si="24"/>
        <v>8.7836739135407821E-2</v>
      </c>
    </row>
    <row r="271" spans="1:7" ht="15.75" customHeight="1">
      <c r="A271" s="3">
        <v>21820</v>
      </c>
      <c r="B271" s="4">
        <v>40</v>
      </c>
      <c r="C271">
        <f t="shared" si="20"/>
        <v>43.755395956564506</v>
      </c>
      <c r="D271" s="8">
        <f t="shared" si="21"/>
        <v>-3.7553959565645059</v>
      </c>
      <c r="E271" s="8">
        <f t="shared" si="22"/>
        <v>3.7553959565645059</v>
      </c>
      <c r="F271" s="8">
        <f t="shared" si="23"/>
        <v>14.10299879058104</v>
      </c>
      <c r="G271" s="5">
        <f t="shared" si="24"/>
        <v>9.3884898914112641E-2</v>
      </c>
    </row>
    <row r="272" spans="1:7" ht="15.75" customHeight="1">
      <c r="A272" s="3">
        <v>21821</v>
      </c>
      <c r="B272" s="4">
        <v>47</v>
      </c>
      <c r="C272">
        <f t="shared" si="20"/>
        <v>40.751079191312904</v>
      </c>
      <c r="D272" s="8">
        <f t="shared" si="21"/>
        <v>6.248920808687096</v>
      </c>
      <c r="E272" s="8">
        <f t="shared" si="22"/>
        <v>6.248920808687096</v>
      </c>
      <c r="F272" s="8">
        <f t="shared" si="23"/>
        <v>39.049011273242591</v>
      </c>
      <c r="G272" s="5">
        <f t="shared" si="24"/>
        <v>0.13295576188695948</v>
      </c>
    </row>
    <row r="273" spans="1:7" ht="15.75" customHeight="1">
      <c r="A273" s="3">
        <v>21822</v>
      </c>
      <c r="B273" s="4">
        <v>51</v>
      </c>
      <c r="C273">
        <f t="shared" si="20"/>
        <v>45.750215838262584</v>
      </c>
      <c r="D273" s="8">
        <f t="shared" si="21"/>
        <v>5.2497841617374164</v>
      </c>
      <c r="E273" s="8">
        <f t="shared" si="22"/>
        <v>5.2497841617374164</v>
      </c>
      <c r="F273" s="8">
        <f t="shared" si="23"/>
        <v>27.560233744829027</v>
      </c>
      <c r="G273" s="5">
        <f t="shared" si="24"/>
        <v>0.10293694434779248</v>
      </c>
    </row>
    <row r="274" spans="1:7" ht="15.75" customHeight="1">
      <c r="A274" s="3">
        <v>21823</v>
      </c>
      <c r="B274" s="4">
        <v>56</v>
      </c>
      <c r="C274">
        <f t="shared" si="20"/>
        <v>49.950043167652524</v>
      </c>
      <c r="D274" s="8">
        <f t="shared" si="21"/>
        <v>6.0499568323474762</v>
      </c>
      <c r="E274" s="8">
        <f t="shared" si="22"/>
        <v>6.0499568323474762</v>
      </c>
      <c r="F274" s="8">
        <f t="shared" si="23"/>
        <v>36.601977673267911</v>
      </c>
      <c r="G274" s="5">
        <f t="shared" si="24"/>
        <v>0.10803494343477636</v>
      </c>
    </row>
    <row r="275" spans="1:7" ht="15.75" customHeight="1">
      <c r="A275" s="3">
        <v>21824</v>
      </c>
      <c r="B275" s="4">
        <v>49</v>
      </c>
      <c r="C275">
        <f t="shared" si="20"/>
        <v>54.790008633530512</v>
      </c>
      <c r="D275" s="8">
        <f t="shared" si="21"/>
        <v>-5.7900086335305119</v>
      </c>
      <c r="E275" s="8">
        <f t="shared" si="22"/>
        <v>5.7900086335305119</v>
      </c>
      <c r="F275" s="8">
        <f t="shared" si="23"/>
        <v>33.524199976357863</v>
      </c>
      <c r="G275" s="5">
        <f t="shared" si="24"/>
        <v>0.11816344150062269</v>
      </c>
    </row>
    <row r="276" spans="1:7" ht="15.75" customHeight="1">
      <c r="A276" s="3">
        <v>21825</v>
      </c>
      <c r="B276" s="4">
        <v>54</v>
      </c>
      <c r="C276">
        <f t="shared" si="20"/>
        <v>50.158001726706104</v>
      </c>
      <c r="D276" s="8">
        <f t="shared" si="21"/>
        <v>3.8419982732938962</v>
      </c>
      <c r="E276" s="8">
        <f t="shared" si="22"/>
        <v>3.8419982732938962</v>
      </c>
      <c r="F276" s="8">
        <f t="shared" si="23"/>
        <v>14.76095073199328</v>
      </c>
      <c r="G276" s="5">
        <f t="shared" si="24"/>
        <v>7.1148116172109185E-2</v>
      </c>
    </row>
    <row r="277" spans="1:7" ht="15.75" customHeight="1">
      <c r="A277" s="3">
        <v>21826</v>
      </c>
      <c r="B277" s="4">
        <v>56</v>
      </c>
      <c r="C277">
        <f t="shared" si="20"/>
        <v>53.231600345341221</v>
      </c>
      <c r="D277" s="8">
        <f t="shared" si="21"/>
        <v>2.7683996546587792</v>
      </c>
      <c r="E277" s="8">
        <f t="shared" si="22"/>
        <v>2.7683996546587792</v>
      </c>
      <c r="F277" s="8">
        <f t="shared" si="23"/>
        <v>7.6640366479148483</v>
      </c>
      <c r="G277" s="5">
        <f t="shared" si="24"/>
        <v>4.9435708118906775E-2</v>
      </c>
    </row>
    <row r="278" spans="1:7" ht="15.75" customHeight="1">
      <c r="A278" s="3">
        <v>21827</v>
      </c>
      <c r="B278" s="4">
        <v>47</v>
      </c>
      <c r="C278">
        <f t="shared" si="20"/>
        <v>55.44632006906825</v>
      </c>
      <c r="D278" s="8">
        <f t="shared" si="21"/>
        <v>-8.4463200690682498</v>
      </c>
      <c r="E278" s="8">
        <f t="shared" si="22"/>
        <v>8.4463200690682498</v>
      </c>
      <c r="F278" s="8">
        <f t="shared" si="23"/>
        <v>71.340322709145084</v>
      </c>
      <c r="G278" s="5">
        <f t="shared" si="24"/>
        <v>0.17970893763974999</v>
      </c>
    </row>
    <row r="279" spans="1:7" ht="15.75" customHeight="1">
      <c r="A279" s="3">
        <v>21828</v>
      </c>
      <c r="B279" s="4">
        <v>44</v>
      </c>
      <c r="C279">
        <f t="shared" si="20"/>
        <v>48.689264013813656</v>
      </c>
      <c r="D279" s="8">
        <f t="shared" si="21"/>
        <v>-4.6892640138136557</v>
      </c>
      <c r="E279" s="8">
        <f t="shared" si="22"/>
        <v>4.6892640138136557</v>
      </c>
      <c r="F279" s="8">
        <f t="shared" si="23"/>
        <v>21.989196991247756</v>
      </c>
      <c r="G279" s="5">
        <f t="shared" si="24"/>
        <v>0.10657418213212853</v>
      </c>
    </row>
    <row r="280" spans="1:7" ht="15.75" customHeight="1">
      <c r="A280" s="3">
        <v>21829</v>
      </c>
      <c r="B280" s="4">
        <v>43</v>
      </c>
      <c r="C280">
        <f t="shared" si="20"/>
        <v>44.937852802762734</v>
      </c>
      <c r="D280" s="8">
        <f t="shared" si="21"/>
        <v>-1.937852802762734</v>
      </c>
      <c r="E280" s="8">
        <f t="shared" si="22"/>
        <v>1.937852802762734</v>
      </c>
      <c r="F280" s="8">
        <f t="shared" si="23"/>
        <v>3.7552734851753837</v>
      </c>
      <c r="G280" s="5">
        <f t="shared" si="24"/>
        <v>4.5066344250296139E-2</v>
      </c>
    </row>
    <row r="281" spans="1:7" ht="15.75" customHeight="1">
      <c r="A281" s="3">
        <v>21830</v>
      </c>
      <c r="B281" s="4">
        <v>42</v>
      </c>
      <c r="C281">
        <f t="shared" si="20"/>
        <v>43.387570560552547</v>
      </c>
      <c r="D281" s="8">
        <f t="shared" si="21"/>
        <v>-1.3875705605525468</v>
      </c>
      <c r="E281" s="8">
        <f t="shared" si="22"/>
        <v>1.3875705605525468</v>
      </c>
      <c r="F281" s="8">
        <f t="shared" si="23"/>
        <v>1.9253520605121088</v>
      </c>
      <c r="G281" s="5">
        <f t="shared" si="24"/>
        <v>3.3037394298870162E-2</v>
      </c>
    </row>
    <row r="282" spans="1:7" ht="15.75" customHeight="1">
      <c r="A282" s="3">
        <v>21831</v>
      </c>
      <c r="B282" s="4">
        <v>45</v>
      </c>
      <c r="C282">
        <f t="shared" si="20"/>
        <v>42.277514112110509</v>
      </c>
      <c r="D282" s="8">
        <f t="shared" si="21"/>
        <v>2.7224858878894906</v>
      </c>
      <c r="E282" s="8">
        <f t="shared" si="22"/>
        <v>2.7224858878894906</v>
      </c>
      <c r="F282" s="8">
        <f t="shared" si="23"/>
        <v>7.4119294097574286</v>
      </c>
      <c r="G282" s="5">
        <f t="shared" si="24"/>
        <v>6.0499686397544238E-2</v>
      </c>
    </row>
    <row r="283" spans="1:7" ht="15.75" customHeight="1">
      <c r="A283" s="3">
        <v>21832</v>
      </c>
      <c r="B283" s="4">
        <v>50</v>
      </c>
      <c r="C283">
        <f t="shared" si="20"/>
        <v>44.455502822422105</v>
      </c>
      <c r="D283" s="8">
        <f t="shared" si="21"/>
        <v>5.5444971775778953</v>
      </c>
      <c r="E283" s="8">
        <f t="shared" si="22"/>
        <v>5.5444971775778953</v>
      </c>
      <c r="F283" s="8">
        <f t="shared" si="23"/>
        <v>30.741448952169247</v>
      </c>
      <c r="G283" s="5">
        <f t="shared" si="24"/>
        <v>0.1108899435515579</v>
      </c>
    </row>
    <row r="284" spans="1:7" ht="15.75" customHeight="1">
      <c r="A284" s="3">
        <v>21833</v>
      </c>
      <c r="B284" s="4">
        <v>48</v>
      </c>
      <c r="C284">
        <f t="shared" si="20"/>
        <v>48.891100564484418</v>
      </c>
      <c r="D284" s="8">
        <f t="shared" si="21"/>
        <v>-0.8911005644844181</v>
      </c>
      <c r="E284" s="8">
        <f t="shared" si="22"/>
        <v>0.8911005644844181</v>
      </c>
      <c r="F284" s="8">
        <f t="shared" si="23"/>
        <v>0.79406021602444854</v>
      </c>
      <c r="G284" s="5">
        <f t="shared" si="24"/>
        <v>1.8564595093425378E-2</v>
      </c>
    </row>
    <row r="285" spans="1:7" ht="15.75" customHeight="1">
      <c r="A285" s="3">
        <v>21834</v>
      </c>
      <c r="B285" s="4">
        <v>43</v>
      </c>
      <c r="C285">
        <f t="shared" si="20"/>
        <v>48.178220112896888</v>
      </c>
      <c r="D285" s="8">
        <f t="shared" si="21"/>
        <v>-5.1782201128968879</v>
      </c>
      <c r="E285" s="8">
        <f t="shared" si="22"/>
        <v>5.1782201128968879</v>
      </c>
      <c r="F285" s="8">
        <f t="shared" si="23"/>
        <v>26.813963537609858</v>
      </c>
      <c r="G285" s="5">
        <f t="shared" si="24"/>
        <v>0.12042372355574157</v>
      </c>
    </row>
    <row r="286" spans="1:7" ht="15.75" customHeight="1">
      <c r="A286" s="3">
        <v>21835</v>
      </c>
      <c r="B286" s="4">
        <v>40</v>
      </c>
      <c r="C286">
        <f t="shared" si="20"/>
        <v>44.035644022579376</v>
      </c>
      <c r="D286" s="8">
        <f t="shared" si="21"/>
        <v>-4.0356440225793762</v>
      </c>
      <c r="E286" s="8">
        <f t="shared" si="22"/>
        <v>4.0356440225793762</v>
      </c>
      <c r="F286" s="8">
        <f t="shared" si="23"/>
        <v>16.286422676980649</v>
      </c>
      <c r="G286" s="5">
        <f t="shared" si="24"/>
        <v>0.1008911005644844</v>
      </c>
    </row>
    <row r="287" spans="1:7" ht="15.75" customHeight="1">
      <c r="A287" s="3">
        <v>21836</v>
      </c>
      <c r="B287" s="4">
        <v>59</v>
      </c>
      <c r="C287">
        <f t="shared" si="20"/>
        <v>40.807128804515877</v>
      </c>
      <c r="D287" s="8">
        <f t="shared" si="21"/>
        <v>18.192871195484123</v>
      </c>
      <c r="E287" s="8">
        <f t="shared" si="22"/>
        <v>18.192871195484123</v>
      </c>
      <c r="F287" s="8">
        <f t="shared" si="23"/>
        <v>330.98056233547589</v>
      </c>
      <c r="G287" s="5">
        <f t="shared" si="24"/>
        <v>0.3083537490760021</v>
      </c>
    </row>
    <row r="288" spans="1:7" ht="15.75" customHeight="1">
      <c r="A288" s="3">
        <v>21837</v>
      </c>
      <c r="B288" s="4">
        <v>41</v>
      </c>
      <c r="C288">
        <f t="shared" si="20"/>
        <v>55.361425760903181</v>
      </c>
      <c r="D288" s="8">
        <f t="shared" si="21"/>
        <v>-14.361425760903181</v>
      </c>
      <c r="E288" s="8">
        <f t="shared" si="22"/>
        <v>14.361425760903181</v>
      </c>
      <c r="F288" s="8">
        <f t="shared" si="23"/>
        <v>206.25054988593351</v>
      </c>
      <c r="G288" s="5">
        <f t="shared" si="24"/>
        <v>0.35027867709519955</v>
      </c>
    </row>
    <row r="289" spans="1:7" ht="15.75" customHeight="1">
      <c r="A289" s="3">
        <v>21838</v>
      </c>
      <c r="B289" s="4">
        <v>42</v>
      </c>
      <c r="C289">
        <f t="shared" si="20"/>
        <v>43.872285152180638</v>
      </c>
      <c r="D289" s="8">
        <f t="shared" si="21"/>
        <v>-1.8722851521806376</v>
      </c>
      <c r="E289" s="8">
        <f t="shared" si="22"/>
        <v>1.8722851521806376</v>
      </c>
      <c r="F289" s="8">
        <f t="shared" si="23"/>
        <v>3.5054516910760736</v>
      </c>
      <c r="G289" s="5">
        <f t="shared" si="24"/>
        <v>4.4578217909062801E-2</v>
      </c>
    </row>
    <row r="290" spans="1:7" ht="15.75" customHeight="1">
      <c r="A290" s="3">
        <v>21839</v>
      </c>
      <c r="B290" s="4">
        <v>51</v>
      </c>
      <c r="C290">
        <f t="shared" si="20"/>
        <v>42.374457030436133</v>
      </c>
      <c r="D290" s="8">
        <f t="shared" si="21"/>
        <v>8.6255429695638668</v>
      </c>
      <c r="E290" s="8">
        <f t="shared" si="22"/>
        <v>8.6255429695638668</v>
      </c>
      <c r="F290" s="8">
        <f t="shared" si="23"/>
        <v>74.39999151979265</v>
      </c>
      <c r="G290" s="5">
        <f t="shared" si="24"/>
        <v>0.16912829352086015</v>
      </c>
    </row>
    <row r="291" spans="1:7" ht="15.75" customHeight="1">
      <c r="A291" s="3">
        <v>21840</v>
      </c>
      <c r="B291" s="4">
        <v>49</v>
      </c>
      <c r="C291">
        <f t="shared" si="20"/>
        <v>49.274891406087235</v>
      </c>
      <c r="D291" s="8">
        <f t="shared" si="21"/>
        <v>-0.27489140608723517</v>
      </c>
      <c r="E291" s="8">
        <f t="shared" si="22"/>
        <v>0.27489140608723517</v>
      </c>
      <c r="F291" s="8">
        <f t="shared" si="23"/>
        <v>7.5565285140617236E-2</v>
      </c>
      <c r="G291" s="5">
        <f t="shared" si="24"/>
        <v>5.6100286956578607E-3</v>
      </c>
    </row>
    <row r="292" spans="1:7" ht="15.75" customHeight="1">
      <c r="A292" s="3">
        <v>21841</v>
      </c>
      <c r="B292" s="4">
        <v>45</v>
      </c>
      <c r="C292">
        <f t="shared" si="20"/>
        <v>49.054978281217451</v>
      </c>
      <c r="D292" s="8">
        <f t="shared" si="21"/>
        <v>-4.0549782812174513</v>
      </c>
      <c r="E292" s="8">
        <f t="shared" si="22"/>
        <v>4.0549782812174513</v>
      </c>
      <c r="F292" s="8">
        <f t="shared" si="23"/>
        <v>16.442848861145237</v>
      </c>
      <c r="G292" s="5">
        <f t="shared" si="24"/>
        <v>9.0110628471498921E-2</v>
      </c>
    </row>
    <row r="293" spans="1:7" ht="15.75" customHeight="1">
      <c r="A293" s="3">
        <v>21842</v>
      </c>
      <c r="B293" s="4">
        <v>43</v>
      </c>
      <c r="C293">
        <f t="shared" si="20"/>
        <v>45.810995656243492</v>
      </c>
      <c r="D293" s="8">
        <f t="shared" si="21"/>
        <v>-2.8109956562434917</v>
      </c>
      <c r="E293" s="8">
        <f t="shared" si="22"/>
        <v>2.8109956562434917</v>
      </c>
      <c r="F293" s="8">
        <f t="shared" si="23"/>
        <v>7.9016965794197782</v>
      </c>
      <c r="G293" s="5">
        <f t="shared" si="24"/>
        <v>6.5371992005662599E-2</v>
      </c>
    </row>
    <row r="294" spans="1:7" ht="15.75" customHeight="1">
      <c r="A294" s="3">
        <v>21843</v>
      </c>
      <c r="B294" s="4">
        <v>42</v>
      </c>
      <c r="C294">
        <f t="shared" si="20"/>
        <v>43.562199131248697</v>
      </c>
      <c r="D294" s="8">
        <f t="shared" si="21"/>
        <v>-1.5621991312486969</v>
      </c>
      <c r="E294" s="8">
        <f t="shared" si="22"/>
        <v>1.5621991312486969</v>
      </c>
      <c r="F294" s="8">
        <f t="shared" si="23"/>
        <v>2.4404661256741833</v>
      </c>
      <c r="G294" s="5">
        <f t="shared" si="24"/>
        <v>3.7195217410683261E-2</v>
      </c>
    </row>
    <row r="295" spans="1:7" ht="15.75" customHeight="1">
      <c r="A295" s="3">
        <v>21844</v>
      </c>
      <c r="B295" s="4">
        <v>38</v>
      </c>
      <c r="C295">
        <f t="shared" si="20"/>
        <v>42.312439826249744</v>
      </c>
      <c r="D295" s="8">
        <f t="shared" si="21"/>
        <v>-4.3124398262497436</v>
      </c>
      <c r="E295" s="8">
        <f t="shared" si="22"/>
        <v>4.3124398262497436</v>
      </c>
      <c r="F295" s="8">
        <f t="shared" si="23"/>
        <v>18.597137255024919</v>
      </c>
      <c r="G295" s="5">
        <f t="shared" si="24"/>
        <v>0.11348525858551957</v>
      </c>
    </row>
    <row r="296" spans="1:7" ht="15.75" customHeight="1">
      <c r="A296" s="3">
        <v>21845</v>
      </c>
      <c r="B296" s="4">
        <v>47</v>
      </c>
      <c r="C296">
        <f t="shared" si="20"/>
        <v>38.862487965249954</v>
      </c>
      <c r="D296" s="8">
        <f t="shared" si="21"/>
        <v>8.1375120347500456</v>
      </c>
      <c r="E296" s="8">
        <f t="shared" si="22"/>
        <v>8.1375120347500456</v>
      </c>
      <c r="F296" s="8">
        <f t="shared" si="23"/>
        <v>66.21910211570183</v>
      </c>
      <c r="G296" s="5">
        <f t="shared" si="24"/>
        <v>0.17313855393085203</v>
      </c>
    </row>
    <row r="297" spans="1:7" ht="15.75" customHeight="1">
      <c r="A297" s="3">
        <v>21846</v>
      </c>
      <c r="B297" s="4">
        <v>38</v>
      </c>
      <c r="C297">
        <f t="shared" si="20"/>
        <v>45.372497593049992</v>
      </c>
      <c r="D297" s="8">
        <f t="shared" si="21"/>
        <v>-7.3724975930499923</v>
      </c>
      <c r="E297" s="8">
        <f t="shared" si="22"/>
        <v>7.3724975930499923</v>
      </c>
      <c r="F297" s="8">
        <f t="shared" si="23"/>
        <v>54.353720759527931</v>
      </c>
      <c r="G297" s="5">
        <f t="shared" si="24"/>
        <v>0.19401309455394716</v>
      </c>
    </row>
    <row r="298" spans="1:7" ht="15.75" customHeight="1">
      <c r="A298" s="3">
        <v>21847</v>
      </c>
      <c r="B298" s="4">
        <v>36</v>
      </c>
      <c r="C298">
        <f t="shared" si="20"/>
        <v>39.474499518610003</v>
      </c>
      <c r="D298" s="8">
        <f t="shared" si="21"/>
        <v>-3.4744995186100027</v>
      </c>
      <c r="E298" s="8">
        <f t="shared" si="22"/>
        <v>3.4744995186100027</v>
      </c>
      <c r="F298" s="8">
        <f t="shared" si="23"/>
        <v>12.072146904821141</v>
      </c>
      <c r="G298" s="5">
        <f t="shared" si="24"/>
        <v>9.6513875516944514E-2</v>
      </c>
    </row>
    <row r="299" spans="1:7" ht="15.75" customHeight="1">
      <c r="A299" s="3">
        <v>21848</v>
      </c>
      <c r="B299" s="4">
        <v>42</v>
      </c>
      <c r="C299">
        <f t="shared" si="20"/>
        <v>36.694899903722003</v>
      </c>
      <c r="D299" s="8">
        <f t="shared" si="21"/>
        <v>5.3051000962779966</v>
      </c>
      <c r="E299" s="8">
        <f t="shared" si="22"/>
        <v>5.3051000962779966</v>
      </c>
      <c r="F299" s="8">
        <f t="shared" si="23"/>
        <v>28.144087031528809</v>
      </c>
      <c r="G299" s="5">
        <f t="shared" si="24"/>
        <v>0.126311907054238</v>
      </c>
    </row>
    <row r="300" spans="1:7" ht="15.75" customHeight="1">
      <c r="A300" s="3">
        <v>21849</v>
      </c>
      <c r="B300" s="4">
        <v>35</v>
      </c>
      <c r="C300">
        <f t="shared" si="20"/>
        <v>40.938979980744406</v>
      </c>
      <c r="D300" s="8">
        <f t="shared" si="21"/>
        <v>-5.9389799807444064</v>
      </c>
      <c r="E300" s="8">
        <f t="shared" si="22"/>
        <v>5.9389799807444064</v>
      </c>
      <c r="F300" s="8">
        <f t="shared" si="23"/>
        <v>35.271483211682828</v>
      </c>
      <c r="G300" s="5">
        <f t="shared" si="24"/>
        <v>0.16968514230698303</v>
      </c>
    </row>
    <row r="301" spans="1:7" ht="15.75" customHeight="1">
      <c r="A301" s="3">
        <v>21850</v>
      </c>
      <c r="B301" s="4">
        <v>28</v>
      </c>
      <c r="C301">
        <f t="shared" si="20"/>
        <v>36.187795996148878</v>
      </c>
      <c r="D301" s="8">
        <f t="shared" si="21"/>
        <v>-8.1877959961488784</v>
      </c>
      <c r="E301" s="8">
        <f t="shared" si="22"/>
        <v>8.1877959961488784</v>
      </c>
      <c r="F301" s="8">
        <f t="shared" si="23"/>
        <v>67.040003274551609</v>
      </c>
      <c r="G301" s="5">
        <f t="shared" si="24"/>
        <v>0.29242128557674568</v>
      </c>
    </row>
    <row r="302" spans="1:7" ht="15.75" customHeight="1">
      <c r="A302" s="3">
        <v>21851</v>
      </c>
      <c r="B302" s="4">
        <v>44</v>
      </c>
      <c r="C302">
        <f t="shared" si="20"/>
        <v>29.637559199229777</v>
      </c>
      <c r="D302" s="8">
        <f t="shared" si="21"/>
        <v>14.362440800770223</v>
      </c>
      <c r="E302" s="8">
        <f t="shared" si="22"/>
        <v>14.362440800770223</v>
      </c>
      <c r="F302" s="8">
        <f t="shared" si="23"/>
        <v>206.27970575562921</v>
      </c>
      <c r="G302" s="5">
        <f t="shared" si="24"/>
        <v>0.32641910910841415</v>
      </c>
    </row>
    <row r="303" spans="1:7" ht="15.75" customHeight="1">
      <c r="A303" s="3">
        <v>21852</v>
      </c>
      <c r="B303" s="4">
        <v>36</v>
      </c>
      <c r="C303">
        <f t="shared" si="20"/>
        <v>41.127511839845958</v>
      </c>
      <c r="D303" s="8">
        <f t="shared" si="21"/>
        <v>-5.1275118398459583</v>
      </c>
      <c r="E303" s="8">
        <f t="shared" si="22"/>
        <v>5.1275118398459583</v>
      </c>
      <c r="F303" s="8">
        <f t="shared" si="23"/>
        <v>26.291377667760482</v>
      </c>
      <c r="G303" s="5">
        <f t="shared" si="24"/>
        <v>0.14243088444016549</v>
      </c>
    </row>
    <row r="304" spans="1:7" ht="15.75" customHeight="1">
      <c r="A304" s="3">
        <v>21853</v>
      </c>
      <c r="B304" s="4">
        <v>45</v>
      </c>
      <c r="C304">
        <f t="shared" si="20"/>
        <v>37.025502367969196</v>
      </c>
      <c r="D304" s="8">
        <f t="shared" si="21"/>
        <v>7.9744976320308041</v>
      </c>
      <c r="E304" s="8">
        <f t="shared" si="22"/>
        <v>7.9744976320308041</v>
      </c>
      <c r="F304" s="8">
        <f t="shared" si="23"/>
        <v>63.592612483264901</v>
      </c>
      <c r="G304" s="5">
        <f t="shared" si="24"/>
        <v>0.17721105848957341</v>
      </c>
    </row>
    <row r="305" spans="1:7" ht="15.75" customHeight="1">
      <c r="A305" s="3">
        <v>21854</v>
      </c>
      <c r="B305" s="4">
        <v>46</v>
      </c>
      <c r="C305">
        <f t="shared" si="20"/>
        <v>43.405100473593841</v>
      </c>
      <c r="D305" s="8">
        <f t="shared" si="21"/>
        <v>2.5948995264061594</v>
      </c>
      <c r="E305" s="8">
        <f t="shared" si="22"/>
        <v>2.5948995264061594</v>
      </c>
      <c r="F305" s="8">
        <f t="shared" si="23"/>
        <v>6.7335035521429107</v>
      </c>
      <c r="G305" s="5">
        <f t="shared" si="24"/>
        <v>5.6410859269699118E-2</v>
      </c>
    </row>
    <row r="306" spans="1:7" ht="15.75" customHeight="1">
      <c r="A306" s="3">
        <v>21855</v>
      </c>
      <c r="B306" s="4">
        <v>48</v>
      </c>
      <c r="C306">
        <f t="shared" si="20"/>
        <v>45.481020094718772</v>
      </c>
      <c r="D306" s="8">
        <f t="shared" si="21"/>
        <v>2.5189799052812276</v>
      </c>
      <c r="E306" s="8">
        <f t="shared" si="22"/>
        <v>2.5189799052812276</v>
      </c>
      <c r="F306" s="8">
        <f t="shared" si="23"/>
        <v>6.3452597632106222</v>
      </c>
      <c r="G306" s="5">
        <f t="shared" si="24"/>
        <v>5.2478748026692244E-2</v>
      </c>
    </row>
    <row r="307" spans="1:7" ht="15.75" customHeight="1">
      <c r="A307" s="3">
        <v>21856</v>
      </c>
      <c r="B307" s="4">
        <v>49</v>
      </c>
      <c r="C307">
        <f t="shared" si="20"/>
        <v>47.496204018943757</v>
      </c>
      <c r="D307" s="8">
        <f t="shared" si="21"/>
        <v>1.5037959810562427</v>
      </c>
      <c r="E307" s="8">
        <f t="shared" si="22"/>
        <v>1.5037959810562427</v>
      </c>
      <c r="F307" s="8">
        <f t="shared" si="23"/>
        <v>2.2614023526409075</v>
      </c>
      <c r="G307" s="5">
        <f t="shared" si="24"/>
        <v>3.0689713899106994E-2</v>
      </c>
    </row>
    <row r="308" spans="1:7" ht="15.75" customHeight="1">
      <c r="A308" s="3">
        <v>21857</v>
      </c>
      <c r="B308" s="4">
        <v>43</v>
      </c>
      <c r="C308">
        <f t="shared" si="20"/>
        <v>48.699240803788754</v>
      </c>
      <c r="D308" s="8">
        <f t="shared" si="21"/>
        <v>-5.6992408037887543</v>
      </c>
      <c r="E308" s="8">
        <f t="shared" si="22"/>
        <v>5.6992408037887543</v>
      </c>
      <c r="F308" s="8">
        <f t="shared" si="23"/>
        <v>32.481345739570685</v>
      </c>
      <c r="G308" s="5">
        <f t="shared" si="24"/>
        <v>0.13254048380904079</v>
      </c>
    </row>
    <row r="309" spans="1:7" ht="15.75" customHeight="1">
      <c r="A309" s="3">
        <v>21858</v>
      </c>
      <c r="B309" s="4">
        <v>42</v>
      </c>
      <c r="C309">
        <f t="shared" si="20"/>
        <v>44.139848160757751</v>
      </c>
      <c r="D309" s="8">
        <f t="shared" si="21"/>
        <v>-2.1398481607577509</v>
      </c>
      <c r="E309" s="8">
        <f t="shared" si="22"/>
        <v>2.1398481607577509</v>
      </c>
      <c r="F309" s="8">
        <f t="shared" si="23"/>
        <v>4.5789501510983293</v>
      </c>
      <c r="G309" s="5">
        <f t="shared" si="24"/>
        <v>5.09487657323274E-2</v>
      </c>
    </row>
    <row r="310" spans="1:7" ht="15.75" customHeight="1">
      <c r="A310" s="3">
        <v>21859</v>
      </c>
      <c r="B310" s="4">
        <v>59</v>
      </c>
      <c r="C310">
        <f t="shared" si="20"/>
        <v>42.427969632151552</v>
      </c>
      <c r="D310" s="8">
        <f t="shared" si="21"/>
        <v>16.572030367848448</v>
      </c>
      <c r="E310" s="8">
        <f t="shared" si="22"/>
        <v>16.572030367848448</v>
      </c>
      <c r="F310" s="8">
        <f t="shared" si="23"/>
        <v>274.63219051289116</v>
      </c>
      <c r="G310" s="5">
        <f t="shared" si="24"/>
        <v>0.28088187064149911</v>
      </c>
    </row>
    <row r="311" spans="1:7" ht="15.75" customHeight="1">
      <c r="A311" s="3">
        <v>21860</v>
      </c>
      <c r="B311" s="4">
        <v>45</v>
      </c>
      <c r="C311">
        <f t="shared" si="20"/>
        <v>55.685593926430315</v>
      </c>
      <c r="D311" s="8">
        <f t="shared" si="21"/>
        <v>-10.685593926430315</v>
      </c>
      <c r="E311" s="8">
        <f t="shared" si="22"/>
        <v>10.685593926430315</v>
      </c>
      <c r="F311" s="8">
        <f t="shared" si="23"/>
        <v>114.18191756056443</v>
      </c>
      <c r="G311" s="5">
        <f t="shared" si="24"/>
        <v>0.23745764280956255</v>
      </c>
    </row>
    <row r="312" spans="1:7" ht="15.75" customHeight="1">
      <c r="A312" s="3">
        <v>21861</v>
      </c>
      <c r="B312" s="4">
        <v>52</v>
      </c>
      <c r="C312">
        <f t="shared" si="20"/>
        <v>47.137118785286063</v>
      </c>
      <c r="D312" s="8">
        <f t="shared" si="21"/>
        <v>4.8628812147139371</v>
      </c>
      <c r="E312" s="8">
        <f t="shared" si="22"/>
        <v>4.8628812147139371</v>
      </c>
      <c r="F312" s="8">
        <f t="shared" si="23"/>
        <v>23.647613708417698</v>
      </c>
      <c r="G312" s="5">
        <f t="shared" si="24"/>
        <v>9.3516946436806483E-2</v>
      </c>
    </row>
    <row r="313" spans="1:7" ht="15.75" customHeight="1">
      <c r="A313" s="3">
        <v>21862</v>
      </c>
      <c r="B313" s="4">
        <v>46</v>
      </c>
      <c r="C313">
        <f t="shared" si="20"/>
        <v>51.027423757057214</v>
      </c>
      <c r="D313" s="8">
        <f t="shared" si="21"/>
        <v>-5.027423757057214</v>
      </c>
      <c r="E313" s="8">
        <f t="shared" si="22"/>
        <v>5.027423757057214</v>
      </c>
      <c r="F313" s="8">
        <f t="shared" si="23"/>
        <v>25.274989633023274</v>
      </c>
      <c r="G313" s="5">
        <f t="shared" si="24"/>
        <v>0.10929182080559161</v>
      </c>
    </row>
    <row r="314" spans="1:7" ht="15.75" customHeight="1">
      <c r="A314" s="3">
        <v>21863</v>
      </c>
      <c r="B314" s="4">
        <v>42</v>
      </c>
      <c r="C314">
        <f t="shared" si="20"/>
        <v>47.005484751411444</v>
      </c>
      <c r="D314" s="8">
        <f t="shared" si="21"/>
        <v>-5.0054847514114442</v>
      </c>
      <c r="E314" s="8">
        <f t="shared" si="22"/>
        <v>5.0054847514114442</v>
      </c>
      <c r="F314" s="8">
        <f t="shared" si="23"/>
        <v>25.054877596612489</v>
      </c>
      <c r="G314" s="5">
        <f t="shared" si="24"/>
        <v>0.11917820836693915</v>
      </c>
    </row>
    <row r="315" spans="1:7" ht="15.75" customHeight="1">
      <c r="A315" s="3">
        <v>21864</v>
      </c>
      <c r="B315" s="4">
        <v>40</v>
      </c>
      <c r="C315">
        <f t="shared" si="20"/>
        <v>43.001096950282289</v>
      </c>
      <c r="D315" s="8">
        <f t="shared" si="21"/>
        <v>-3.0010969502822888</v>
      </c>
      <c r="E315" s="8">
        <f t="shared" si="22"/>
        <v>3.0010969502822888</v>
      </c>
      <c r="F315" s="8">
        <f t="shared" si="23"/>
        <v>9.006582904993655</v>
      </c>
      <c r="G315" s="5">
        <f t="shared" si="24"/>
        <v>7.5027423757057218E-2</v>
      </c>
    </row>
    <row r="316" spans="1:7" ht="15.75" customHeight="1">
      <c r="A316" s="3">
        <v>21865</v>
      </c>
      <c r="B316" s="4">
        <v>40</v>
      </c>
      <c r="C316">
        <f t="shared" si="20"/>
        <v>40.600219390056459</v>
      </c>
      <c r="D316" s="8">
        <f t="shared" si="21"/>
        <v>-0.60021939005645919</v>
      </c>
      <c r="E316" s="8">
        <f t="shared" si="22"/>
        <v>0.60021939005645919</v>
      </c>
      <c r="F316" s="8">
        <f t="shared" si="23"/>
        <v>0.36026331619974789</v>
      </c>
      <c r="G316" s="5">
        <f t="shared" si="24"/>
        <v>1.5005484751411479E-2</v>
      </c>
    </row>
    <row r="317" spans="1:7" ht="15.75" customHeight="1">
      <c r="A317" s="3">
        <v>21866</v>
      </c>
      <c r="B317" s="4">
        <v>45</v>
      </c>
      <c r="C317">
        <f t="shared" si="20"/>
        <v>40.120043878011295</v>
      </c>
      <c r="D317" s="8">
        <f t="shared" si="21"/>
        <v>4.8799561219887053</v>
      </c>
      <c r="E317" s="8">
        <f t="shared" si="22"/>
        <v>4.8799561219887053</v>
      </c>
      <c r="F317" s="8">
        <f t="shared" si="23"/>
        <v>23.813971752535043</v>
      </c>
      <c r="G317" s="5">
        <f t="shared" si="24"/>
        <v>0.10844346937752679</v>
      </c>
    </row>
    <row r="318" spans="1:7" ht="15.75" customHeight="1">
      <c r="A318" s="3">
        <v>21867</v>
      </c>
      <c r="B318" s="4">
        <v>35</v>
      </c>
      <c r="C318">
        <f t="shared" si="20"/>
        <v>44.024008775602262</v>
      </c>
      <c r="D318" s="8">
        <f t="shared" si="21"/>
        <v>-9.0240087756022618</v>
      </c>
      <c r="E318" s="8">
        <f t="shared" si="22"/>
        <v>9.0240087756022618</v>
      </c>
      <c r="F318" s="8">
        <f t="shared" si="23"/>
        <v>81.432734382146634</v>
      </c>
      <c r="G318" s="5">
        <f t="shared" si="24"/>
        <v>0.25782882216006464</v>
      </c>
    </row>
    <row r="319" spans="1:7" ht="15.75" customHeight="1">
      <c r="A319" s="3">
        <v>21868</v>
      </c>
      <c r="B319" s="4">
        <v>35</v>
      </c>
      <c r="C319">
        <f t="shared" si="20"/>
        <v>36.804801755120451</v>
      </c>
      <c r="D319" s="8">
        <f t="shared" si="21"/>
        <v>-1.8048017551204509</v>
      </c>
      <c r="E319" s="8">
        <f t="shared" si="22"/>
        <v>1.8048017551204509</v>
      </c>
      <c r="F319" s="8">
        <f t="shared" si="23"/>
        <v>3.25730937528586</v>
      </c>
      <c r="G319" s="5">
        <f t="shared" si="24"/>
        <v>5.1565764432012884E-2</v>
      </c>
    </row>
    <row r="320" spans="1:7" ht="15.75" customHeight="1">
      <c r="A320" s="3">
        <v>21869</v>
      </c>
      <c r="B320" s="4">
        <v>40</v>
      </c>
      <c r="C320">
        <f t="shared" si="20"/>
        <v>35.36096035102409</v>
      </c>
      <c r="D320" s="8">
        <f t="shared" si="21"/>
        <v>4.6390396489759098</v>
      </c>
      <c r="E320" s="8">
        <f t="shared" si="22"/>
        <v>4.6390396489759098</v>
      </c>
      <c r="F320" s="8">
        <f t="shared" si="23"/>
        <v>21.520688864770534</v>
      </c>
      <c r="G320" s="5">
        <f t="shared" si="24"/>
        <v>0.11597599122439775</v>
      </c>
    </row>
    <row r="321" spans="1:7" ht="15.75" customHeight="1">
      <c r="A321" s="3">
        <v>21870</v>
      </c>
      <c r="B321" s="4">
        <v>39</v>
      </c>
      <c r="C321">
        <f t="shared" si="20"/>
        <v>39.072192070204821</v>
      </c>
      <c r="D321" s="8">
        <f t="shared" si="21"/>
        <v>-7.219207020482088E-2</v>
      </c>
      <c r="E321" s="8">
        <f t="shared" si="22"/>
        <v>7.219207020482088E-2</v>
      </c>
      <c r="F321" s="8">
        <f t="shared" si="23"/>
        <v>5.2116950004577863E-3</v>
      </c>
      <c r="G321" s="5">
        <f t="shared" si="24"/>
        <v>1.8510787232005354E-3</v>
      </c>
    </row>
    <row r="322" spans="1:7" ht="15.75" customHeight="1">
      <c r="A322" s="3">
        <v>21871</v>
      </c>
      <c r="B322" s="4">
        <v>33</v>
      </c>
      <c r="C322">
        <f t="shared" si="20"/>
        <v>39.014438414040967</v>
      </c>
      <c r="D322" s="8">
        <f t="shared" si="21"/>
        <v>-6.014438414040967</v>
      </c>
      <c r="E322" s="8">
        <f t="shared" si="22"/>
        <v>6.014438414040967</v>
      </c>
      <c r="F322" s="8">
        <f t="shared" si="23"/>
        <v>36.173469436291626</v>
      </c>
      <c r="G322" s="5">
        <f t="shared" si="24"/>
        <v>0.18225570951639294</v>
      </c>
    </row>
    <row r="323" spans="1:7" ht="15.75" customHeight="1">
      <c r="A323" s="3">
        <v>21872</v>
      </c>
      <c r="B323" s="4">
        <v>42</v>
      </c>
      <c r="C323">
        <f t="shared" si="20"/>
        <v>34.202887682808196</v>
      </c>
      <c r="D323" s="8">
        <f t="shared" si="21"/>
        <v>7.7971123171918038</v>
      </c>
      <c r="E323" s="8">
        <f t="shared" si="22"/>
        <v>7.7971123171918038</v>
      </c>
      <c r="F323" s="8">
        <f t="shared" si="23"/>
        <v>60.794960486904138</v>
      </c>
      <c r="G323" s="5">
        <f t="shared" si="24"/>
        <v>0.18564553136170961</v>
      </c>
    </row>
    <row r="324" spans="1:7" ht="15.75" customHeight="1">
      <c r="A324" s="3">
        <v>21873</v>
      </c>
      <c r="B324" s="4">
        <v>47</v>
      </c>
      <c r="C324">
        <f t="shared" ref="C324:C366" si="25">0.8*B323+0.2*C323</f>
        <v>40.440577536561641</v>
      </c>
      <c r="D324" s="8">
        <f t="shared" ref="D324:D366" si="26">B324-C324</f>
        <v>6.5594224634383593</v>
      </c>
      <c r="E324" s="8">
        <f t="shared" ref="E324:E366" si="27">ABS(D324)</f>
        <v>6.5594224634383593</v>
      </c>
      <c r="F324" s="8">
        <f t="shared" ref="F324:F366" si="28">E324^2</f>
        <v>43.026023053859753</v>
      </c>
      <c r="G324" s="5">
        <f t="shared" ref="G324:G366" si="29">E324/B324</f>
        <v>0.13956218007315657</v>
      </c>
    </row>
    <row r="325" spans="1:7" ht="15.75" customHeight="1">
      <c r="A325" s="3">
        <v>21874</v>
      </c>
      <c r="B325" s="4">
        <v>51</v>
      </c>
      <c r="C325">
        <f t="shared" si="25"/>
        <v>45.688115507312332</v>
      </c>
      <c r="D325" s="8">
        <f t="shared" si="26"/>
        <v>5.3118844926876676</v>
      </c>
      <c r="E325" s="8">
        <f t="shared" si="27"/>
        <v>5.3118844926876676</v>
      </c>
      <c r="F325" s="8">
        <f t="shared" si="28"/>
        <v>28.216116863655721</v>
      </c>
      <c r="G325" s="5">
        <f t="shared" si="29"/>
        <v>0.10415459789583661</v>
      </c>
    </row>
    <row r="326" spans="1:7" ht="15.75" customHeight="1">
      <c r="A326" s="3">
        <v>21875</v>
      </c>
      <c r="B326" s="4">
        <v>44</v>
      </c>
      <c r="C326">
        <f t="shared" si="25"/>
        <v>49.937623101462471</v>
      </c>
      <c r="D326" s="8">
        <f t="shared" si="26"/>
        <v>-5.9376231014624707</v>
      </c>
      <c r="E326" s="8">
        <f t="shared" si="27"/>
        <v>5.9376231014624707</v>
      </c>
      <c r="F326" s="8">
        <f t="shared" si="28"/>
        <v>35.255368095020813</v>
      </c>
      <c r="G326" s="5">
        <f t="shared" si="29"/>
        <v>0.1349459795786925</v>
      </c>
    </row>
    <row r="327" spans="1:7" ht="15.75" customHeight="1">
      <c r="A327" s="3">
        <v>21876</v>
      </c>
      <c r="B327" s="4">
        <v>40</v>
      </c>
      <c r="C327">
        <f t="shared" si="25"/>
        <v>45.1875246202925</v>
      </c>
      <c r="D327" s="8">
        <f t="shared" si="26"/>
        <v>-5.1875246202924998</v>
      </c>
      <c r="E327" s="8">
        <f t="shared" si="27"/>
        <v>5.1875246202924998</v>
      </c>
      <c r="F327" s="8">
        <f t="shared" si="28"/>
        <v>26.910411686140844</v>
      </c>
      <c r="G327" s="5">
        <f t="shared" si="29"/>
        <v>0.12968811550731249</v>
      </c>
    </row>
    <row r="328" spans="1:7" ht="15.75" customHeight="1">
      <c r="A328" s="3">
        <v>21877</v>
      </c>
      <c r="B328" s="4">
        <v>57</v>
      </c>
      <c r="C328">
        <f t="shared" si="25"/>
        <v>41.037504924058503</v>
      </c>
      <c r="D328" s="8">
        <f t="shared" si="26"/>
        <v>15.962495075941497</v>
      </c>
      <c r="E328" s="8">
        <f t="shared" si="27"/>
        <v>15.962495075941497</v>
      </c>
      <c r="F328" s="8">
        <f t="shared" si="28"/>
        <v>254.80124904945654</v>
      </c>
      <c r="G328" s="5">
        <f t="shared" si="29"/>
        <v>0.28004377326213153</v>
      </c>
    </row>
    <row r="329" spans="1:7" ht="15.75" customHeight="1">
      <c r="A329" s="3">
        <v>21878</v>
      </c>
      <c r="B329" s="4">
        <v>49</v>
      </c>
      <c r="C329">
        <f t="shared" si="25"/>
        <v>53.807500984811703</v>
      </c>
      <c r="D329" s="8">
        <f t="shared" si="26"/>
        <v>-4.8075009848117034</v>
      </c>
      <c r="E329" s="8">
        <f t="shared" si="27"/>
        <v>4.8075009848117034</v>
      </c>
      <c r="F329" s="8">
        <f t="shared" si="28"/>
        <v>23.112065718965496</v>
      </c>
      <c r="G329" s="5">
        <f t="shared" si="29"/>
        <v>9.8112264996157217E-2</v>
      </c>
    </row>
    <row r="330" spans="1:7" ht="15.75" customHeight="1">
      <c r="A330" s="3">
        <v>21879</v>
      </c>
      <c r="B330" s="4">
        <v>45</v>
      </c>
      <c r="C330">
        <f t="shared" si="25"/>
        <v>49.961500196962348</v>
      </c>
      <c r="D330" s="8">
        <f t="shared" si="26"/>
        <v>-4.9615001969623478</v>
      </c>
      <c r="E330" s="8">
        <f t="shared" si="27"/>
        <v>4.9615001969623478</v>
      </c>
      <c r="F330" s="8">
        <f t="shared" si="28"/>
        <v>24.616484204457414</v>
      </c>
      <c r="G330" s="5">
        <f t="shared" si="29"/>
        <v>0.11025555993249661</v>
      </c>
    </row>
    <row r="331" spans="1:7" ht="15.75" customHeight="1">
      <c r="A331" s="3">
        <v>21880</v>
      </c>
      <c r="B331" s="4">
        <v>49</v>
      </c>
      <c r="C331">
        <f t="shared" si="25"/>
        <v>45.992300039392468</v>
      </c>
      <c r="D331" s="8">
        <f t="shared" si="26"/>
        <v>3.0076999606075319</v>
      </c>
      <c r="E331" s="8">
        <f t="shared" si="27"/>
        <v>3.0076999606075319</v>
      </c>
      <c r="F331" s="8">
        <f t="shared" si="28"/>
        <v>9.0462590530385487</v>
      </c>
      <c r="G331" s="5">
        <f t="shared" si="29"/>
        <v>6.1381631849133304E-2</v>
      </c>
    </row>
    <row r="332" spans="1:7" ht="15.75" customHeight="1">
      <c r="A332" s="3">
        <v>21881</v>
      </c>
      <c r="B332" s="4">
        <v>51</v>
      </c>
      <c r="C332">
        <f t="shared" si="25"/>
        <v>48.398460007878498</v>
      </c>
      <c r="D332" s="8">
        <f t="shared" si="26"/>
        <v>2.6015399921215021</v>
      </c>
      <c r="E332" s="8">
        <f t="shared" si="27"/>
        <v>2.6015399921215021</v>
      </c>
      <c r="F332" s="8">
        <f t="shared" si="28"/>
        <v>6.7680103306075452</v>
      </c>
      <c r="G332" s="5">
        <f t="shared" si="29"/>
        <v>5.1010588080813768E-2</v>
      </c>
    </row>
    <row r="333" spans="1:7" ht="15.75" customHeight="1">
      <c r="A333" s="3">
        <v>21882</v>
      </c>
      <c r="B333" s="4">
        <v>46</v>
      </c>
      <c r="C333">
        <f t="shared" si="25"/>
        <v>50.479692001575707</v>
      </c>
      <c r="D333" s="8">
        <f t="shared" si="26"/>
        <v>-4.4796920015757067</v>
      </c>
      <c r="E333" s="8">
        <f t="shared" si="27"/>
        <v>4.4796920015757067</v>
      </c>
      <c r="F333" s="8">
        <f t="shared" si="28"/>
        <v>20.06764042898136</v>
      </c>
      <c r="G333" s="5">
        <f t="shared" si="29"/>
        <v>9.738460872990666E-2</v>
      </c>
    </row>
    <row r="334" spans="1:7" ht="15.75" customHeight="1">
      <c r="A334" s="3">
        <v>21883</v>
      </c>
      <c r="B334" s="4">
        <v>44</v>
      </c>
      <c r="C334">
        <f t="shared" si="25"/>
        <v>46.895938400315146</v>
      </c>
      <c r="D334" s="8">
        <f t="shared" si="26"/>
        <v>-2.8959384003151456</v>
      </c>
      <c r="E334" s="8">
        <f t="shared" si="27"/>
        <v>2.8959384003151456</v>
      </c>
      <c r="F334" s="8">
        <f t="shared" si="28"/>
        <v>8.3864592184198443</v>
      </c>
      <c r="G334" s="5">
        <f t="shared" si="29"/>
        <v>6.5816781825344214E-2</v>
      </c>
    </row>
    <row r="335" spans="1:7" ht="15.75" customHeight="1">
      <c r="A335" s="3">
        <v>21884</v>
      </c>
      <c r="B335" s="4">
        <v>52</v>
      </c>
      <c r="C335">
        <f t="shared" si="25"/>
        <v>44.579187680063029</v>
      </c>
      <c r="D335" s="8">
        <f t="shared" si="26"/>
        <v>7.4208123199369709</v>
      </c>
      <c r="E335" s="8">
        <f t="shared" si="27"/>
        <v>7.4208123199369709</v>
      </c>
      <c r="F335" s="8">
        <f t="shared" si="28"/>
        <v>55.068455487728329</v>
      </c>
      <c r="G335" s="5">
        <f t="shared" si="29"/>
        <v>0.14270792922955713</v>
      </c>
    </row>
    <row r="336" spans="1:7" ht="15.75" customHeight="1">
      <c r="A336" s="3">
        <v>21885</v>
      </c>
      <c r="B336" s="4">
        <v>45</v>
      </c>
      <c r="C336">
        <f t="shared" si="25"/>
        <v>50.515837536012612</v>
      </c>
      <c r="D336" s="8">
        <f t="shared" si="26"/>
        <v>-5.5158375360126115</v>
      </c>
      <c r="E336" s="8">
        <f t="shared" si="27"/>
        <v>5.5158375360126115</v>
      </c>
      <c r="F336" s="8">
        <f t="shared" si="28"/>
        <v>30.424463723685676</v>
      </c>
      <c r="G336" s="5">
        <f t="shared" si="29"/>
        <v>0.12257416746694692</v>
      </c>
    </row>
    <row r="337" spans="1:7" ht="15.75" customHeight="1">
      <c r="A337" s="3">
        <v>21886</v>
      </c>
      <c r="B337" s="4">
        <v>32</v>
      </c>
      <c r="C337">
        <f t="shared" si="25"/>
        <v>46.103167507202521</v>
      </c>
      <c r="D337" s="8">
        <f t="shared" si="26"/>
        <v>-14.103167507202521</v>
      </c>
      <c r="E337" s="8">
        <f t="shared" si="27"/>
        <v>14.103167507202521</v>
      </c>
      <c r="F337" s="8">
        <f t="shared" si="28"/>
        <v>198.89933373621298</v>
      </c>
      <c r="G337" s="5">
        <f t="shared" si="29"/>
        <v>0.44072398460007878</v>
      </c>
    </row>
    <row r="338" spans="1:7" ht="15.75" customHeight="1">
      <c r="A338" s="3">
        <v>21887</v>
      </c>
      <c r="B338" s="4">
        <v>46</v>
      </c>
      <c r="C338">
        <f t="shared" si="25"/>
        <v>34.820633501440504</v>
      </c>
      <c r="D338" s="8">
        <f t="shared" si="26"/>
        <v>11.179366498559496</v>
      </c>
      <c r="E338" s="8">
        <f t="shared" si="27"/>
        <v>11.179366498559496</v>
      </c>
      <c r="F338" s="8">
        <f t="shared" si="28"/>
        <v>124.9782353091144</v>
      </c>
      <c r="G338" s="5">
        <f t="shared" si="29"/>
        <v>0.24302970649042382</v>
      </c>
    </row>
    <row r="339" spans="1:7" ht="15.75" customHeight="1">
      <c r="A339" s="3">
        <v>21888</v>
      </c>
      <c r="B339" s="4">
        <v>41</v>
      </c>
      <c r="C339">
        <f t="shared" si="25"/>
        <v>43.764126700288102</v>
      </c>
      <c r="D339" s="8">
        <f t="shared" si="26"/>
        <v>-2.7641267002881023</v>
      </c>
      <c r="E339" s="8">
        <f t="shared" si="27"/>
        <v>2.7641267002881023</v>
      </c>
      <c r="F339" s="8">
        <f t="shared" si="28"/>
        <v>7.6403964152455925</v>
      </c>
      <c r="G339" s="5">
        <f t="shared" si="29"/>
        <v>6.7417724397270784E-2</v>
      </c>
    </row>
    <row r="340" spans="1:7" ht="15.75" customHeight="1">
      <c r="A340" s="3">
        <v>21889</v>
      </c>
      <c r="B340" s="4">
        <v>34</v>
      </c>
      <c r="C340">
        <f t="shared" si="25"/>
        <v>41.552825340057623</v>
      </c>
      <c r="D340" s="8">
        <f t="shared" si="26"/>
        <v>-7.5528253400576233</v>
      </c>
      <c r="E340" s="8">
        <f t="shared" si="27"/>
        <v>7.5528253400576233</v>
      </c>
      <c r="F340" s="8">
        <f t="shared" si="28"/>
        <v>57.045170617416552</v>
      </c>
      <c r="G340" s="5">
        <f t="shared" si="29"/>
        <v>0.22214192176640069</v>
      </c>
    </row>
    <row r="341" spans="1:7" ht="15.75" customHeight="1">
      <c r="A341" s="3">
        <v>21890</v>
      </c>
      <c r="B341" s="4">
        <v>33</v>
      </c>
      <c r="C341">
        <f t="shared" si="25"/>
        <v>35.51056506801153</v>
      </c>
      <c r="D341" s="8">
        <f t="shared" si="26"/>
        <v>-2.5105650680115303</v>
      </c>
      <c r="E341" s="8">
        <f t="shared" si="27"/>
        <v>2.5105650680115303</v>
      </c>
      <c r="F341" s="8">
        <f t="shared" si="28"/>
        <v>6.3029369607197401</v>
      </c>
      <c r="G341" s="5">
        <f t="shared" si="29"/>
        <v>7.6077729333682731E-2</v>
      </c>
    </row>
    <row r="342" spans="1:7" ht="15.75" customHeight="1">
      <c r="A342" s="3">
        <v>21891</v>
      </c>
      <c r="B342" s="4">
        <v>36</v>
      </c>
      <c r="C342">
        <f t="shared" si="25"/>
        <v>33.502113013602312</v>
      </c>
      <c r="D342" s="8">
        <f t="shared" si="26"/>
        <v>2.4978869863976882</v>
      </c>
      <c r="E342" s="8">
        <f t="shared" si="27"/>
        <v>2.4978869863976882</v>
      </c>
      <c r="F342" s="8">
        <f t="shared" si="28"/>
        <v>6.2394393968149249</v>
      </c>
      <c r="G342" s="5">
        <f t="shared" si="29"/>
        <v>6.9385749622158002E-2</v>
      </c>
    </row>
    <row r="343" spans="1:7" ht="15.75" customHeight="1">
      <c r="A343" s="3">
        <v>21892</v>
      </c>
      <c r="B343" s="4">
        <v>49</v>
      </c>
      <c r="C343">
        <f t="shared" si="25"/>
        <v>35.500422602720462</v>
      </c>
      <c r="D343" s="8">
        <f t="shared" si="26"/>
        <v>13.499577397279538</v>
      </c>
      <c r="E343" s="8">
        <f t="shared" si="27"/>
        <v>13.499577397279538</v>
      </c>
      <c r="F343" s="8">
        <f t="shared" si="28"/>
        <v>182.23858990514057</v>
      </c>
      <c r="G343" s="5">
        <f t="shared" si="29"/>
        <v>0.2755015795363171</v>
      </c>
    </row>
    <row r="344" spans="1:7" ht="15.75" customHeight="1">
      <c r="A344" s="3">
        <v>21893</v>
      </c>
      <c r="B344" s="4">
        <v>43</v>
      </c>
      <c r="C344">
        <f t="shared" si="25"/>
        <v>46.300084520544097</v>
      </c>
      <c r="D344" s="8">
        <f t="shared" si="26"/>
        <v>-3.3000845205440967</v>
      </c>
      <c r="E344" s="8">
        <f t="shared" si="27"/>
        <v>3.3000845205440967</v>
      </c>
      <c r="F344" s="8">
        <f t="shared" si="28"/>
        <v>10.890557842734761</v>
      </c>
      <c r="G344" s="5">
        <f t="shared" si="29"/>
        <v>7.6746151640560395E-2</v>
      </c>
    </row>
    <row r="345" spans="1:7" ht="15.75" customHeight="1">
      <c r="A345" s="3">
        <v>21894</v>
      </c>
      <c r="B345" s="4">
        <v>43</v>
      </c>
      <c r="C345">
        <f t="shared" si="25"/>
        <v>43.660016904108815</v>
      </c>
      <c r="D345" s="8">
        <f t="shared" si="26"/>
        <v>-0.66001690410881508</v>
      </c>
      <c r="E345" s="8">
        <f t="shared" si="27"/>
        <v>0.66001690410881508</v>
      </c>
      <c r="F345" s="8">
        <f t="shared" si="28"/>
        <v>0.43562231370938481</v>
      </c>
      <c r="G345" s="5">
        <f t="shared" si="29"/>
        <v>1.5349230328111979E-2</v>
      </c>
    </row>
    <row r="346" spans="1:7" ht="15.75" customHeight="1">
      <c r="A346" s="3">
        <v>21895</v>
      </c>
      <c r="B346" s="4">
        <v>34</v>
      </c>
      <c r="C346">
        <f t="shared" si="25"/>
        <v>43.132003380821764</v>
      </c>
      <c r="D346" s="8">
        <f t="shared" si="26"/>
        <v>-9.1320033808217644</v>
      </c>
      <c r="E346" s="8">
        <f t="shared" si="27"/>
        <v>9.1320033808217644</v>
      </c>
      <c r="F346" s="8">
        <f t="shared" si="28"/>
        <v>83.393485747340137</v>
      </c>
      <c r="G346" s="5">
        <f t="shared" si="29"/>
        <v>0.26858833473005189</v>
      </c>
    </row>
    <row r="347" spans="1:7" ht="15.75" customHeight="1">
      <c r="A347" s="3">
        <v>21896</v>
      </c>
      <c r="B347" s="4">
        <v>39</v>
      </c>
      <c r="C347">
        <f t="shared" si="25"/>
        <v>35.826400676164354</v>
      </c>
      <c r="D347" s="8">
        <f t="shared" si="26"/>
        <v>3.1735993238356457</v>
      </c>
      <c r="E347" s="8">
        <f t="shared" si="27"/>
        <v>3.1735993238356457</v>
      </c>
      <c r="F347" s="8">
        <f t="shared" si="28"/>
        <v>10.071732668250068</v>
      </c>
      <c r="G347" s="5">
        <f t="shared" si="29"/>
        <v>8.1374341636811426E-2</v>
      </c>
    </row>
    <row r="348" spans="1:7" ht="15.75" customHeight="1">
      <c r="A348" s="3">
        <v>21897</v>
      </c>
      <c r="B348" s="4">
        <v>35</v>
      </c>
      <c r="C348">
        <f t="shared" si="25"/>
        <v>38.365280135232872</v>
      </c>
      <c r="D348" s="8">
        <f t="shared" si="26"/>
        <v>-3.3652801352328723</v>
      </c>
      <c r="E348" s="8">
        <f t="shared" si="27"/>
        <v>3.3652801352328723</v>
      </c>
      <c r="F348" s="8">
        <f t="shared" si="28"/>
        <v>11.325110388592979</v>
      </c>
      <c r="G348" s="5">
        <f t="shared" si="29"/>
        <v>9.6150861006653487E-2</v>
      </c>
    </row>
    <row r="349" spans="1:7" ht="15.75" customHeight="1">
      <c r="A349" s="3">
        <v>21898</v>
      </c>
      <c r="B349" s="4">
        <v>52</v>
      </c>
      <c r="C349">
        <f t="shared" si="25"/>
        <v>35.673056027046577</v>
      </c>
      <c r="D349" s="8">
        <f t="shared" si="26"/>
        <v>16.326943972953423</v>
      </c>
      <c r="E349" s="8">
        <f t="shared" si="27"/>
        <v>16.326943972953423</v>
      </c>
      <c r="F349" s="8">
        <f t="shared" si="28"/>
        <v>266.56909949596007</v>
      </c>
      <c r="G349" s="5">
        <f t="shared" si="29"/>
        <v>0.3139796917875658</v>
      </c>
    </row>
    <row r="350" spans="1:7" ht="15.75" customHeight="1">
      <c r="A350" s="3">
        <v>21899</v>
      </c>
      <c r="B350" s="4">
        <v>47</v>
      </c>
      <c r="C350">
        <f t="shared" si="25"/>
        <v>48.734611205409315</v>
      </c>
      <c r="D350" s="8">
        <f t="shared" si="26"/>
        <v>-1.7346112054093155</v>
      </c>
      <c r="E350" s="8">
        <f t="shared" si="27"/>
        <v>1.7346112054093155</v>
      </c>
      <c r="F350" s="8">
        <f t="shared" si="28"/>
        <v>3.0088760339315583</v>
      </c>
      <c r="G350" s="5">
        <f t="shared" si="29"/>
        <v>3.6906621391687565E-2</v>
      </c>
    </row>
    <row r="351" spans="1:7" ht="15.75" customHeight="1">
      <c r="A351" s="3">
        <v>21900</v>
      </c>
      <c r="B351" s="4">
        <v>52</v>
      </c>
      <c r="C351">
        <f t="shared" si="25"/>
        <v>47.346922241081863</v>
      </c>
      <c r="D351" s="8">
        <f t="shared" si="26"/>
        <v>4.6530777589181369</v>
      </c>
      <c r="E351" s="8">
        <f t="shared" si="27"/>
        <v>4.6530777589181369</v>
      </c>
      <c r="F351" s="8">
        <f t="shared" si="28"/>
        <v>21.65113263053863</v>
      </c>
      <c r="G351" s="5">
        <f t="shared" si="29"/>
        <v>8.9482264594579558E-2</v>
      </c>
    </row>
    <row r="352" spans="1:7" ht="15.75" customHeight="1">
      <c r="A352" s="3">
        <v>21901</v>
      </c>
      <c r="B352" s="4">
        <v>39</v>
      </c>
      <c r="C352">
        <f t="shared" si="25"/>
        <v>51.069384448216375</v>
      </c>
      <c r="D352" s="8">
        <f t="shared" si="26"/>
        <v>-12.069384448216375</v>
      </c>
      <c r="E352" s="8">
        <f t="shared" si="27"/>
        <v>12.069384448216375</v>
      </c>
      <c r="F352" s="8">
        <f t="shared" si="28"/>
        <v>145.6700409588473</v>
      </c>
      <c r="G352" s="5">
        <f t="shared" si="29"/>
        <v>0.3094713961081122</v>
      </c>
    </row>
    <row r="353" spans="1:7" ht="15.75" customHeight="1">
      <c r="A353" s="3">
        <v>21902</v>
      </c>
      <c r="B353" s="4">
        <v>40</v>
      </c>
      <c r="C353">
        <f t="shared" si="25"/>
        <v>41.413876889643277</v>
      </c>
      <c r="D353" s="8">
        <f t="shared" si="26"/>
        <v>-1.4138768896432765</v>
      </c>
      <c r="E353" s="8">
        <f t="shared" si="27"/>
        <v>1.4138768896432765</v>
      </c>
      <c r="F353" s="8">
        <f t="shared" si="28"/>
        <v>1.9990478590673459</v>
      </c>
      <c r="G353" s="5">
        <f t="shared" si="29"/>
        <v>3.5346922241081914E-2</v>
      </c>
    </row>
    <row r="354" spans="1:7" ht="15.75" customHeight="1">
      <c r="A354" s="3">
        <v>21903</v>
      </c>
      <c r="B354" s="4">
        <v>42</v>
      </c>
      <c r="C354">
        <f t="shared" si="25"/>
        <v>40.282775377928658</v>
      </c>
      <c r="D354" s="8">
        <f t="shared" si="26"/>
        <v>1.7172246220713419</v>
      </c>
      <c r="E354" s="8">
        <f t="shared" si="27"/>
        <v>1.7172246220713419</v>
      </c>
      <c r="F354" s="8">
        <f t="shared" si="28"/>
        <v>2.9488604026480627</v>
      </c>
      <c r="G354" s="5">
        <f t="shared" si="29"/>
        <v>4.0886300525508137E-2</v>
      </c>
    </row>
    <row r="355" spans="1:7" ht="15.75" customHeight="1">
      <c r="A355" s="3">
        <v>21904</v>
      </c>
      <c r="B355" s="4">
        <v>42</v>
      </c>
      <c r="C355">
        <f t="shared" si="25"/>
        <v>41.656555075585736</v>
      </c>
      <c r="D355" s="8">
        <f t="shared" si="26"/>
        <v>0.34344492441426411</v>
      </c>
      <c r="E355" s="8">
        <f t="shared" si="27"/>
        <v>0.34344492441426411</v>
      </c>
      <c r="F355" s="8">
        <f t="shared" si="28"/>
        <v>0.11795441610591959</v>
      </c>
      <c r="G355" s="5">
        <f t="shared" si="29"/>
        <v>8.1772601051015269E-3</v>
      </c>
    </row>
    <row r="356" spans="1:7" ht="15.75" customHeight="1">
      <c r="A356" s="3">
        <v>21905</v>
      </c>
      <c r="B356" s="4">
        <v>53</v>
      </c>
      <c r="C356">
        <f t="shared" si="25"/>
        <v>41.931311015117146</v>
      </c>
      <c r="D356" s="8">
        <f t="shared" si="26"/>
        <v>11.068688984882854</v>
      </c>
      <c r="E356" s="8">
        <f t="shared" si="27"/>
        <v>11.068688984882854</v>
      </c>
      <c r="F356" s="8">
        <f t="shared" si="28"/>
        <v>122.51587584406703</v>
      </c>
      <c r="G356" s="5">
        <f t="shared" si="29"/>
        <v>0.20884318839401611</v>
      </c>
    </row>
    <row r="357" spans="1:7" ht="15.75" customHeight="1">
      <c r="A357" s="3">
        <v>21906</v>
      </c>
      <c r="B357" s="4">
        <v>39</v>
      </c>
      <c r="C357">
        <f t="shared" si="25"/>
        <v>50.786262203023433</v>
      </c>
      <c r="D357" s="8">
        <f t="shared" si="26"/>
        <v>-11.786262203023433</v>
      </c>
      <c r="E357" s="8">
        <f t="shared" si="27"/>
        <v>11.786262203023433</v>
      </c>
      <c r="F357" s="8">
        <f t="shared" si="28"/>
        <v>138.91597671841879</v>
      </c>
      <c r="G357" s="5">
        <f t="shared" si="29"/>
        <v>0.30221185135957523</v>
      </c>
    </row>
    <row r="358" spans="1:7" ht="15.75" customHeight="1">
      <c r="A358" s="3">
        <v>21907</v>
      </c>
      <c r="B358" s="4">
        <v>40</v>
      </c>
      <c r="C358">
        <f t="shared" si="25"/>
        <v>41.35725244060469</v>
      </c>
      <c r="D358" s="8">
        <f t="shared" si="26"/>
        <v>-1.3572524406046895</v>
      </c>
      <c r="E358" s="8">
        <f t="shared" si="27"/>
        <v>1.3572524406046895</v>
      </c>
      <c r="F358" s="8">
        <f t="shared" si="28"/>
        <v>1.8421341875273862</v>
      </c>
      <c r="G358" s="5">
        <f t="shared" si="29"/>
        <v>3.393131101511724E-2</v>
      </c>
    </row>
    <row r="359" spans="1:7" ht="15.75" customHeight="1">
      <c r="A359" s="3">
        <v>21908</v>
      </c>
      <c r="B359" s="4">
        <v>38</v>
      </c>
      <c r="C359">
        <f t="shared" si="25"/>
        <v>40.271450488120941</v>
      </c>
      <c r="D359" s="8">
        <f t="shared" si="26"/>
        <v>-2.2714504881209407</v>
      </c>
      <c r="E359" s="8">
        <f t="shared" si="27"/>
        <v>2.2714504881209407</v>
      </c>
      <c r="F359" s="8">
        <f t="shared" si="28"/>
        <v>5.1594873199848603</v>
      </c>
      <c r="G359" s="5">
        <f t="shared" si="29"/>
        <v>5.9775012845287911E-2</v>
      </c>
    </row>
    <row r="360" spans="1:7" ht="15.75" customHeight="1">
      <c r="A360" s="3">
        <v>21909</v>
      </c>
      <c r="B360" s="4">
        <v>44</v>
      </c>
      <c r="C360">
        <f t="shared" si="25"/>
        <v>38.454290097624188</v>
      </c>
      <c r="D360" s="8">
        <f t="shared" si="26"/>
        <v>5.5457099023758119</v>
      </c>
      <c r="E360" s="8">
        <f t="shared" si="27"/>
        <v>5.5457099023758119</v>
      </c>
      <c r="F360" s="8">
        <f t="shared" si="28"/>
        <v>30.754898321309138</v>
      </c>
      <c r="G360" s="5">
        <f t="shared" si="29"/>
        <v>0.1260388614176321</v>
      </c>
    </row>
    <row r="361" spans="1:7" ht="15.75" customHeight="1">
      <c r="A361" s="3">
        <v>21910</v>
      </c>
      <c r="B361" s="4">
        <v>34</v>
      </c>
      <c r="C361">
        <f t="shared" si="25"/>
        <v>42.890858019524842</v>
      </c>
      <c r="D361" s="8">
        <f t="shared" si="26"/>
        <v>-8.8908580195248419</v>
      </c>
      <c r="E361" s="8">
        <f t="shared" si="27"/>
        <v>8.8908580195248419</v>
      </c>
      <c r="F361" s="8">
        <f t="shared" si="28"/>
        <v>79.047356323349192</v>
      </c>
      <c r="G361" s="5">
        <f t="shared" si="29"/>
        <v>0.26149582410367184</v>
      </c>
    </row>
    <row r="362" spans="1:7" ht="15.75" customHeight="1">
      <c r="A362" s="3">
        <v>21911</v>
      </c>
      <c r="B362" s="4">
        <v>37</v>
      </c>
      <c r="C362">
        <f t="shared" si="25"/>
        <v>35.778171603904973</v>
      </c>
      <c r="D362" s="8">
        <f t="shared" si="26"/>
        <v>1.2218283960950274</v>
      </c>
      <c r="E362" s="8">
        <f t="shared" si="27"/>
        <v>1.2218283960950274</v>
      </c>
      <c r="F362" s="8">
        <f t="shared" si="28"/>
        <v>1.492864629504147</v>
      </c>
      <c r="G362" s="5">
        <f t="shared" si="29"/>
        <v>3.3022389083649385E-2</v>
      </c>
    </row>
    <row r="363" spans="1:7" ht="15.75" customHeight="1">
      <c r="A363" s="3">
        <v>21912</v>
      </c>
      <c r="B363" s="4">
        <v>52</v>
      </c>
      <c r="C363">
        <f t="shared" si="25"/>
        <v>36.755634320780999</v>
      </c>
      <c r="D363" s="8">
        <f t="shared" si="26"/>
        <v>15.244365679219001</v>
      </c>
      <c r="E363" s="8">
        <f t="shared" si="27"/>
        <v>15.244365679219001</v>
      </c>
      <c r="F363" s="8">
        <f t="shared" si="28"/>
        <v>232.3906849617502</v>
      </c>
      <c r="G363" s="5">
        <f t="shared" si="29"/>
        <v>0.29316087844651928</v>
      </c>
    </row>
    <row r="364" spans="1:7" ht="15.75" customHeight="1">
      <c r="A364" s="3">
        <v>21913</v>
      </c>
      <c r="B364" s="4">
        <v>48</v>
      </c>
      <c r="C364">
        <f t="shared" si="25"/>
        <v>48.951126864156201</v>
      </c>
      <c r="D364" s="8">
        <f t="shared" si="26"/>
        <v>-0.95112686415620118</v>
      </c>
      <c r="E364" s="8">
        <f t="shared" si="27"/>
        <v>0.95112686415620118</v>
      </c>
      <c r="F364" s="8">
        <f t="shared" si="28"/>
        <v>0.90464231171960874</v>
      </c>
      <c r="G364" s="5">
        <f t="shared" si="29"/>
        <v>1.9815143003254192E-2</v>
      </c>
    </row>
    <row r="365" spans="1:7" ht="15.75" customHeight="1">
      <c r="A365" s="3">
        <v>21914</v>
      </c>
      <c r="B365" s="4">
        <v>55</v>
      </c>
      <c r="C365">
        <f t="shared" si="25"/>
        <v>48.19022537283125</v>
      </c>
      <c r="D365" s="8">
        <f t="shared" si="26"/>
        <v>6.8097746271687498</v>
      </c>
      <c r="E365" s="8">
        <f t="shared" si="27"/>
        <v>6.8097746271687498</v>
      </c>
      <c r="F365" s="8">
        <f t="shared" si="28"/>
        <v>46.373030472831289</v>
      </c>
      <c r="G365" s="5">
        <f t="shared" si="29"/>
        <v>0.12381408413034091</v>
      </c>
    </row>
    <row r="366" spans="1:7" ht="15.75" customHeight="1">
      <c r="A366" s="3">
        <v>21915</v>
      </c>
      <c r="B366" s="4">
        <v>50</v>
      </c>
      <c r="C366">
        <f t="shared" si="25"/>
        <v>53.63804507456625</v>
      </c>
      <c r="D366" s="8">
        <f t="shared" si="26"/>
        <v>-3.63804507456625</v>
      </c>
      <c r="E366" s="8">
        <f t="shared" si="27"/>
        <v>3.63804507456625</v>
      </c>
      <c r="F366" s="8">
        <f t="shared" si="28"/>
        <v>13.235371964575751</v>
      </c>
      <c r="G366" s="5">
        <f t="shared" si="29"/>
        <v>7.2760901491324997E-2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B78C-1785-41FA-A937-E09CA0812F10}">
  <dimension ref="A1:K1000"/>
  <sheetViews>
    <sheetView workbookViewId="0">
      <selection activeCell="C4" sqref="C4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8.699218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13.69921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0.7*B3+0.3*C3</f>
        <v>32.9</v>
      </c>
      <c r="D4" s="8">
        <f t="shared" ref="D4:D67" si="1">B4-C4</f>
        <v>-2.8999999999999986</v>
      </c>
      <c r="E4" s="8">
        <f t="shared" ref="E4:E67" si="2">ABS(D4)</f>
        <v>2.8999999999999986</v>
      </c>
      <c r="F4" s="8">
        <f t="shared" ref="F4:F67" si="3">E4^2</f>
        <v>8.4099999999999913</v>
      </c>
      <c r="G4" s="5">
        <f t="shared" ref="G4:G67" si="4">E4/B4</f>
        <v>9.6666666666666623E-2</v>
      </c>
    </row>
    <row r="5" spans="1:11" ht="15.75" customHeight="1">
      <c r="A5" s="3">
        <v>21554</v>
      </c>
      <c r="B5" s="4">
        <v>31</v>
      </c>
      <c r="C5">
        <f t="shared" si="0"/>
        <v>30.869999999999997</v>
      </c>
      <c r="D5" s="8">
        <f t="shared" si="1"/>
        <v>0.13000000000000256</v>
      </c>
      <c r="E5" s="8">
        <f t="shared" si="2"/>
        <v>0.13000000000000256</v>
      </c>
      <c r="F5" s="8">
        <f t="shared" si="3"/>
        <v>1.6900000000000664E-2</v>
      </c>
      <c r="G5" s="5">
        <f t="shared" si="4"/>
        <v>4.1935483870968564E-3</v>
      </c>
    </row>
    <row r="6" spans="1:11" ht="15.75" customHeight="1">
      <c r="A6" s="3">
        <v>21555</v>
      </c>
      <c r="B6" s="4">
        <v>44</v>
      </c>
      <c r="C6">
        <f t="shared" si="0"/>
        <v>30.960999999999999</v>
      </c>
      <c r="D6" s="8">
        <f t="shared" si="1"/>
        <v>13.039000000000001</v>
      </c>
      <c r="E6" s="8">
        <f t="shared" si="2"/>
        <v>13.039000000000001</v>
      </c>
      <c r="F6" s="8">
        <f t="shared" si="3"/>
        <v>170.01552100000004</v>
      </c>
      <c r="G6" s="5">
        <f t="shared" si="4"/>
        <v>0.2963409090909091</v>
      </c>
    </row>
    <row r="7" spans="1:11" ht="15.75" customHeight="1">
      <c r="A7" s="3">
        <v>21556</v>
      </c>
      <c r="B7" s="4">
        <v>29</v>
      </c>
      <c r="C7">
        <f t="shared" si="0"/>
        <v>40.088299999999997</v>
      </c>
      <c r="D7" s="8">
        <f t="shared" si="1"/>
        <v>-11.088299999999997</v>
      </c>
      <c r="E7" s="8">
        <f t="shared" si="2"/>
        <v>11.088299999999997</v>
      </c>
      <c r="F7" s="8">
        <f t="shared" si="3"/>
        <v>122.95039688999992</v>
      </c>
      <c r="G7" s="5">
        <f t="shared" si="4"/>
        <v>0.38235517241379297</v>
      </c>
    </row>
    <row r="8" spans="1:11" ht="15.75" customHeight="1">
      <c r="A8" s="3">
        <v>21557</v>
      </c>
      <c r="B8" s="4">
        <v>45</v>
      </c>
      <c r="C8">
        <f t="shared" si="0"/>
        <v>32.326489999999993</v>
      </c>
      <c r="D8" s="8">
        <f t="shared" si="1"/>
        <v>12.673510000000007</v>
      </c>
      <c r="E8" s="8">
        <f t="shared" si="2"/>
        <v>12.673510000000007</v>
      </c>
      <c r="F8" s="8">
        <f t="shared" si="3"/>
        <v>160.61785572010018</v>
      </c>
      <c r="G8" s="5">
        <f t="shared" si="4"/>
        <v>0.28163355555555569</v>
      </c>
      <c r="J8" s="2" t="s">
        <v>7</v>
      </c>
      <c r="K8" s="8">
        <f>AVERAGE(E3:E366)</f>
        <v>6.4889480262429782</v>
      </c>
    </row>
    <row r="9" spans="1:11" ht="15.75" customHeight="1">
      <c r="A9" s="3">
        <v>21558</v>
      </c>
      <c r="B9" s="4">
        <v>43</v>
      </c>
      <c r="C9">
        <f t="shared" si="0"/>
        <v>41.197946999999992</v>
      </c>
      <c r="D9" s="8">
        <f t="shared" si="1"/>
        <v>1.8020530000000079</v>
      </c>
      <c r="E9" s="8">
        <f t="shared" si="2"/>
        <v>1.8020530000000079</v>
      </c>
      <c r="F9" s="8">
        <f t="shared" si="3"/>
        <v>3.2473950148090283</v>
      </c>
      <c r="G9" s="5">
        <f t="shared" si="4"/>
        <v>4.1908209302325763E-2</v>
      </c>
      <c r="J9" s="2" t="s">
        <v>8</v>
      </c>
      <c r="K9" s="8">
        <f>AVERAGE(F3:F366)</f>
        <v>66.569454284561743</v>
      </c>
    </row>
    <row r="10" spans="1:11" ht="15.75" customHeight="1" thickBot="1">
      <c r="A10" s="3">
        <v>21559</v>
      </c>
      <c r="B10" s="4">
        <v>38</v>
      </c>
      <c r="C10">
        <f t="shared" si="0"/>
        <v>42.459384099999994</v>
      </c>
      <c r="D10" s="8">
        <f t="shared" si="1"/>
        <v>-4.4593840999999941</v>
      </c>
      <c r="E10" s="8">
        <f t="shared" si="2"/>
        <v>4.4593840999999941</v>
      </c>
      <c r="F10" s="8">
        <f t="shared" si="3"/>
        <v>19.886106551332759</v>
      </c>
      <c r="G10" s="5">
        <f t="shared" si="4"/>
        <v>0.11735221315789458</v>
      </c>
      <c r="J10" s="9" t="s">
        <v>9</v>
      </c>
      <c r="K10" s="10">
        <f>AVERAGE(G3:G366)</f>
        <v>0.15720860261612712</v>
      </c>
    </row>
    <row r="11" spans="1:11" ht="15.75" customHeight="1" thickTop="1">
      <c r="A11" s="3">
        <v>21560</v>
      </c>
      <c r="B11" s="4">
        <v>27</v>
      </c>
      <c r="C11">
        <f t="shared" si="0"/>
        <v>39.337815229999997</v>
      </c>
      <c r="D11" s="8">
        <f t="shared" si="1"/>
        <v>-12.337815229999997</v>
      </c>
      <c r="E11" s="8">
        <f t="shared" si="2"/>
        <v>12.337815229999997</v>
      </c>
      <c r="F11" s="8">
        <f t="shared" si="3"/>
        <v>152.22168464961987</v>
      </c>
      <c r="G11" s="5">
        <f t="shared" si="4"/>
        <v>0.45695611962962951</v>
      </c>
      <c r="J11" s="2" t="s">
        <v>10</v>
      </c>
      <c r="K11" s="5">
        <f>100%-K10</f>
        <v>0.84279139738387288</v>
      </c>
    </row>
    <row r="12" spans="1:11" ht="15.75" customHeight="1">
      <c r="A12" s="3">
        <v>21561</v>
      </c>
      <c r="B12" s="4">
        <v>38</v>
      </c>
      <c r="C12">
        <f t="shared" si="0"/>
        <v>30.701344569</v>
      </c>
      <c r="D12" s="8">
        <f t="shared" si="1"/>
        <v>7.2986554310000002</v>
      </c>
      <c r="E12" s="8">
        <f t="shared" si="2"/>
        <v>7.2986554310000002</v>
      </c>
      <c r="F12" s="8">
        <f t="shared" si="3"/>
        <v>53.270371100465802</v>
      </c>
      <c r="G12" s="5">
        <f t="shared" si="4"/>
        <v>0.1920698797631579</v>
      </c>
    </row>
    <row r="13" spans="1:11" ht="15.75" customHeight="1">
      <c r="A13" s="3">
        <v>21562</v>
      </c>
      <c r="B13" s="4">
        <v>33</v>
      </c>
      <c r="C13">
        <f t="shared" si="0"/>
        <v>35.810403370700001</v>
      </c>
      <c r="D13" s="8">
        <f t="shared" si="1"/>
        <v>-2.8104033707000013</v>
      </c>
      <c r="E13" s="8">
        <f t="shared" si="2"/>
        <v>2.8104033707000013</v>
      </c>
      <c r="F13" s="8">
        <f t="shared" si="3"/>
        <v>7.8983671060419294</v>
      </c>
      <c r="G13" s="5">
        <f t="shared" si="4"/>
        <v>8.5163738506060641E-2</v>
      </c>
    </row>
    <row r="14" spans="1:11" ht="15.75" customHeight="1">
      <c r="A14" s="3">
        <v>21563</v>
      </c>
      <c r="B14" s="4">
        <v>55</v>
      </c>
      <c r="C14">
        <f t="shared" si="0"/>
        <v>33.843121011210002</v>
      </c>
      <c r="D14" s="8">
        <f t="shared" si="1"/>
        <v>21.156878988789998</v>
      </c>
      <c r="E14" s="8">
        <f t="shared" si="2"/>
        <v>21.156878988789998</v>
      </c>
      <c r="F14" s="8">
        <f t="shared" si="3"/>
        <v>447.61352854630371</v>
      </c>
      <c r="G14" s="5">
        <f t="shared" si="4"/>
        <v>0.38467052706890908</v>
      </c>
    </row>
    <row r="15" spans="1:11" ht="15.75" customHeight="1">
      <c r="A15" s="3">
        <v>21564</v>
      </c>
      <c r="B15" s="4">
        <v>47</v>
      </c>
      <c r="C15">
        <f t="shared" si="0"/>
        <v>48.652936303362999</v>
      </c>
      <c r="D15" s="8">
        <f t="shared" si="1"/>
        <v>-1.6529363033629991</v>
      </c>
      <c r="E15" s="8">
        <f t="shared" si="2"/>
        <v>1.6529363033629991</v>
      </c>
      <c r="F15" s="8">
        <f t="shared" si="3"/>
        <v>2.7321984229753369</v>
      </c>
      <c r="G15" s="5">
        <f t="shared" si="4"/>
        <v>3.5168857518361685E-2</v>
      </c>
    </row>
    <row r="16" spans="1:11" ht="15.75" customHeight="1">
      <c r="A16" s="3">
        <v>21565</v>
      </c>
      <c r="B16" s="4">
        <v>45</v>
      </c>
      <c r="C16">
        <f t="shared" si="0"/>
        <v>47.495880891008895</v>
      </c>
      <c r="D16" s="8">
        <f t="shared" si="1"/>
        <v>-2.4958808910088948</v>
      </c>
      <c r="E16" s="8">
        <f t="shared" si="2"/>
        <v>2.4958808910088948</v>
      </c>
      <c r="F16" s="8">
        <f t="shared" si="3"/>
        <v>6.2294214221033544</v>
      </c>
      <c r="G16" s="5">
        <f t="shared" si="4"/>
        <v>5.5464019800197661E-2</v>
      </c>
    </row>
    <row r="17" spans="1:7" ht="15.75" customHeight="1">
      <c r="A17" s="3">
        <v>21566</v>
      </c>
      <c r="B17" s="4">
        <v>37</v>
      </c>
      <c r="C17">
        <f t="shared" si="0"/>
        <v>45.748764267302661</v>
      </c>
      <c r="D17" s="8">
        <f t="shared" si="1"/>
        <v>-8.7487642673026613</v>
      </c>
      <c r="E17" s="8">
        <f t="shared" si="2"/>
        <v>8.7487642673026613</v>
      </c>
      <c r="F17" s="8">
        <f t="shared" si="3"/>
        <v>76.540876204831875</v>
      </c>
      <c r="G17" s="5">
        <f t="shared" si="4"/>
        <v>0.23645308830547734</v>
      </c>
    </row>
    <row r="18" spans="1:7" ht="15.75" customHeight="1">
      <c r="A18" s="3">
        <v>21567</v>
      </c>
      <c r="B18" s="4">
        <v>50</v>
      </c>
      <c r="C18">
        <f t="shared" si="0"/>
        <v>39.624629280190796</v>
      </c>
      <c r="D18" s="8">
        <f t="shared" si="1"/>
        <v>10.375370719809204</v>
      </c>
      <c r="E18" s="8">
        <f t="shared" si="2"/>
        <v>10.375370719809204</v>
      </c>
      <c r="F18" s="8">
        <f t="shared" si="3"/>
        <v>107.64831757347417</v>
      </c>
      <c r="G18" s="5">
        <f t="shared" si="4"/>
        <v>0.20750741439618409</v>
      </c>
    </row>
    <row r="19" spans="1:7" ht="15.75" customHeight="1">
      <c r="A19" s="3">
        <v>21568</v>
      </c>
      <c r="B19" s="4">
        <v>43</v>
      </c>
      <c r="C19">
        <f t="shared" si="0"/>
        <v>46.887388784057237</v>
      </c>
      <c r="D19" s="8">
        <f t="shared" si="1"/>
        <v>-3.8873887840572365</v>
      </c>
      <c r="E19" s="8">
        <f t="shared" si="2"/>
        <v>3.8873887840572365</v>
      </c>
      <c r="F19" s="8">
        <f t="shared" si="3"/>
        <v>15.111791558414</v>
      </c>
      <c r="G19" s="5">
        <f t="shared" si="4"/>
        <v>9.0404390326912484E-2</v>
      </c>
    </row>
    <row r="20" spans="1:7" ht="15.75" customHeight="1">
      <c r="A20" s="3">
        <v>21569</v>
      </c>
      <c r="B20" s="4">
        <v>41</v>
      </c>
      <c r="C20">
        <f t="shared" si="0"/>
        <v>44.166216635217168</v>
      </c>
      <c r="D20" s="8">
        <f t="shared" si="1"/>
        <v>-3.1662166352171681</v>
      </c>
      <c r="E20" s="8">
        <f t="shared" si="2"/>
        <v>3.1662166352171681</v>
      </c>
      <c r="F20" s="8">
        <f t="shared" si="3"/>
        <v>10.024927781125927</v>
      </c>
      <c r="G20" s="5">
        <f t="shared" si="4"/>
        <v>7.7224795980906535E-2</v>
      </c>
    </row>
    <row r="21" spans="1:7" ht="15.75" customHeight="1">
      <c r="A21" s="3">
        <v>21570</v>
      </c>
      <c r="B21" s="4">
        <v>52</v>
      </c>
      <c r="C21">
        <f t="shared" si="0"/>
        <v>41.949864990565146</v>
      </c>
      <c r="D21" s="8">
        <f t="shared" si="1"/>
        <v>10.050135009434854</v>
      </c>
      <c r="E21" s="8">
        <f t="shared" si="2"/>
        <v>10.050135009434854</v>
      </c>
      <c r="F21" s="8">
        <f t="shared" si="3"/>
        <v>101.00521370786811</v>
      </c>
      <c r="G21" s="5">
        <f t="shared" si="4"/>
        <v>0.19327182710451643</v>
      </c>
    </row>
    <row r="22" spans="1:7" ht="15.75" customHeight="1">
      <c r="A22" s="3">
        <v>21571</v>
      </c>
      <c r="B22" s="4">
        <v>34</v>
      </c>
      <c r="C22">
        <f t="shared" si="0"/>
        <v>48.984959497169541</v>
      </c>
      <c r="D22" s="8">
        <f t="shared" si="1"/>
        <v>-14.984959497169541</v>
      </c>
      <c r="E22" s="8">
        <f t="shared" si="2"/>
        <v>14.984959497169541</v>
      </c>
      <c r="F22" s="8">
        <f t="shared" si="3"/>
        <v>224.54901113181162</v>
      </c>
      <c r="G22" s="5">
        <f t="shared" si="4"/>
        <v>0.44073410285792769</v>
      </c>
    </row>
    <row r="23" spans="1:7" ht="15.75" customHeight="1">
      <c r="A23" s="3">
        <v>21572</v>
      </c>
      <c r="B23" s="4">
        <v>53</v>
      </c>
      <c r="C23">
        <f t="shared" si="0"/>
        <v>38.495487849150862</v>
      </c>
      <c r="D23" s="8">
        <f t="shared" si="1"/>
        <v>14.504512150849138</v>
      </c>
      <c r="E23" s="8">
        <f t="shared" si="2"/>
        <v>14.504512150849138</v>
      </c>
      <c r="F23" s="8">
        <f t="shared" si="3"/>
        <v>210.38087273413029</v>
      </c>
      <c r="G23" s="5">
        <f t="shared" si="4"/>
        <v>0.27367004058205918</v>
      </c>
    </row>
    <row r="24" spans="1:7" ht="15.75" customHeight="1">
      <c r="A24" s="3">
        <v>21573</v>
      </c>
      <c r="B24" s="4">
        <v>39</v>
      </c>
      <c r="C24">
        <f t="shared" si="0"/>
        <v>48.648646354745253</v>
      </c>
      <c r="D24" s="8">
        <f t="shared" si="1"/>
        <v>-9.648646354745253</v>
      </c>
      <c r="E24" s="8">
        <f t="shared" si="2"/>
        <v>9.648646354745253</v>
      </c>
      <c r="F24" s="8">
        <f t="shared" si="3"/>
        <v>93.096376478938865</v>
      </c>
      <c r="G24" s="5">
        <f t="shared" si="4"/>
        <v>0.24740118858321161</v>
      </c>
    </row>
    <row r="25" spans="1:7" ht="15.75" customHeight="1">
      <c r="A25" s="3">
        <v>21574</v>
      </c>
      <c r="B25" s="4">
        <v>32</v>
      </c>
      <c r="C25">
        <f t="shared" si="0"/>
        <v>41.894593906423573</v>
      </c>
      <c r="D25" s="8">
        <f t="shared" si="1"/>
        <v>-9.8945939064235731</v>
      </c>
      <c r="E25" s="8">
        <f t="shared" si="2"/>
        <v>9.8945939064235731</v>
      </c>
      <c r="F25" s="8">
        <f t="shared" si="3"/>
        <v>97.902988573034506</v>
      </c>
      <c r="G25" s="5">
        <f t="shared" si="4"/>
        <v>0.30920605957573666</v>
      </c>
    </row>
    <row r="26" spans="1:7" ht="15.75" customHeight="1">
      <c r="A26" s="3">
        <v>21575</v>
      </c>
      <c r="B26" s="4">
        <v>37</v>
      </c>
      <c r="C26">
        <f t="shared" si="0"/>
        <v>34.968378171927071</v>
      </c>
      <c r="D26" s="8">
        <f t="shared" si="1"/>
        <v>2.0316218280729288</v>
      </c>
      <c r="E26" s="8">
        <f t="shared" si="2"/>
        <v>2.0316218280729288</v>
      </c>
      <c r="F26" s="8">
        <f t="shared" si="3"/>
        <v>4.1274872523023891</v>
      </c>
      <c r="G26" s="5">
        <f t="shared" si="4"/>
        <v>5.49086980560251E-2</v>
      </c>
    </row>
    <row r="27" spans="1:7" ht="15.75" customHeight="1">
      <c r="A27" s="3">
        <v>21576</v>
      </c>
      <c r="B27" s="4">
        <v>43</v>
      </c>
      <c r="C27">
        <f t="shared" si="0"/>
        <v>36.390513451578116</v>
      </c>
      <c r="D27" s="8">
        <f t="shared" si="1"/>
        <v>6.6094865484218843</v>
      </c>
      <c r="E27" s="8">
        <f t="shared" si="2"/>
        <v>6.6094865484218843</v>
      </c>
      <c r="F27" s="8">
        <f t="shared" si="3"/>
        <v>43.68531243376983</v>
      </c>
      <c r="G27" s="5">
        <f t="shared" si="4"/>
        <v>0.15370898949818335</v>
      </c>
    </row>
    <row r="28" spans="1:7" ht="15.75" customHeight="1">
      <c r="A28" s="3">
        <v>21577</v>
      </c>
      <c r="B28" s="4">
        <v>39</v>
      </c>
      <c r="C28">
        <f t="shared" si="0"/>
        <v>41.017154035473432</v>
      </c>
      <c r="D28" s="8">
        <f t="shared" si="1"/>
        <v>-2.0171540354734319</v>
      </c>
      <c r="E28" s="8">
        <f t="shared" si="2"/>
        <v>2.0171540354734319</v>
      </c>
      <c r="F28" s="8">
        <f t="shared" si="3"/>
        <v>4.0689104028267513</v>
      </c>
      <c r="G28" s="5">
        <f t="shared" si="4"/>
        <v>5.1721898345472611E-2</v>
      </c>
    </row>
    <row r="29" spans="1:7" ht="15.75" customHeight="1">
      <c r="A29" s="3">
        <v>21578</v>
      </c>
      <c r="B29" s="4">
        <v>35</v>
      </c>
      <c r="C29">
        <f t="shared" si="0"/>
        <v>39.605146210642026</v>
      </c>
      <c r="D29" s="8">
        <f t="shared" si="1"/>
        <v>-4.605146210642026</v>
      </c>
      <c r="E29" s="8">
        <f t="shared" si="2"/>
        <v>4.605146210642026</v>
      </c>
      <c r="F29" s="8">
        <f t="shared" si="3"/>
        <v>21.20737162139061</v>
      </c>
      <c r="G29" s="5">
        <f t="shared" si="4"/>
        <v>0.13157560601834359</v>
      </c>
    </row>
    <row r="30" spans="1:7" ht="15.75" customHeight="1">
      <c r="A30" s="3">
        <v>21579</v>
      </c>
      <c r="B30" s="4">
        <v>44</v>
      </c>
      <c r="C30">
        <f t="shared" si="0"/>
        <v>36.381543863192604</v>
      </c>
      <c r="D30" s="8">
        <f t="shared" si="1"/>
        <v>7.6184561368073958</v>
      </c>
      <c r="E30" s="8">
        <f t="shared" si="2"/>
        <v>7.6184561368073958</v>
      </c>
      <c r="F30" s="8">
        <f t="shared" si="3"/>
        <v>58.040873908458266</v>
      </c>
      <c r="G30" s="5">
        <f t="shared" si="4"/>
        <v>0.17314673038198627</v>
      </c>
    </row>
    <row r="31" spans="1:7" ht="15.75" customHeight="1">
      <c r="A31" s="3">
        <v>21580</v>
      </c>
      <c r="B31" s="4">
        <v>38</v>
      </c>
      <c r="C31">
        <f t="shared" si="0"/>
        <v>41.714463158957777</v>
      </c>
      <c r="D31" s="8">
        <f t="shared" si="1"/>
        <v>-3.714463158957777</v>
      </c>
      <c r="E31" s="8">
        <f t="shared" si="2"/>
        <v>3.714463158957777</v>
      </c>
      <c r="F31" s="8">
        <f t="shared" si="3"/>
        <v>13.797236559254587</v>
      </c>
      <c r="G31" s="5">
        <f t="shared" si="4"/>
        <v>9.7749030498888875E-2</v>
      </c>
    </row>
    <row r="32" spans="1:7" ht="15.75" customHeight="1">
      <c r="A32" s="3">
        <v>21581</v>
      </c>
      <c r="B32" s="4">
        <v>24</v>
      </c>
      <c r="C32">
        <f t="shared" si="0"/>
        <v>39.11433894768733</v>
      </c>
      <c r="D32" s="8">
        <f t="shared" si="1"/>
        <v>-15.11433894768733</v>
      </c>
      <c r="E32" s="8">
        <f t="shared" si="2"/>
        <v>15.11433894768733</v>
      </c>
      <c r="F32" s="8">
        <f t="shared" si="3"/>
        <v>228.44324182557813</v>
      </c>
      <c r="G32" s="5">
        <f t="shared" si="4"/>
        <v>0.62976412282030536</v>
      </c>
    </row>
    <row r="33" spans="1:7" ht="15.75" customHeight="1">
      <c r="A33" s="3">
        <v>21582</v>
      </c>
      <c r="B33" s="4">
        <v>23</v>
      </c>
      <c r="C33">
        <f t="shared" si="0"/>
        <v>28.534301684306193</v>
      </c>
      <c r="D33" s="8">
        <f t="shared" si="1"/>
        <v>-5.5343016843061932</v>
      </c>
      <c r="E33" s="8">
        <f t="shared" si="2"/>
        <v>5.5343016843061932</v>
      </c>
      <c r="F33" s="8">
        <f t="shared" si="3"/>
        <v>30.628495132914367</v>
      </c>
      <c r="G33" s="5">
        <f t="shared" si="4"/>
        <v>0.24062181236113883</v>
      </c>
    </row>
    <row r="34" spans="1:7" ht="15.75" customHeight="1">
      <c r="A34" s="3">
        <v>21583</v>
      </c>
      <c r="B34" s="4">
        <v>31</v>
      </c>
      <c r="C34">
        <f t="shared" si="0"/>
        <v>24.660290505291854</v>
      </c>
      <c r="D34" s="8">
        <f t="shared" si="1"/>
        <v>6.3397094947081456</v>
      </c>
      <c r="E34" s="8">
        <f t="shared" si="2"/>
        <v>6.3397094947081456</v>
      </c>
      <c r="F34" s="8">
        <f t="shared" si="3"/>
        <v>40.191916477292608</v>
      </c>
      <c r="G34" s="5">
        <f t="shared" si="4"/>
        <v>0.20450675789381115</v>
      </c>
    </row>
    <row r="35" spans="1:7" ht="15.75" customHeight="1">
      <c r="A35" s="3">
        <v>21584</v>
      </c>
      <c r="B35" s="4">
        <v>44</v>
      </c>
      <c r="C35">
        <f t="shared" si="0"/>
        <v>29.098087151587556</v>
      </c>
      <c r="D35" s="8">
        <f t="shared" si="1"/>
        <v>14.901912848412444</v>
      </c>
      <c r="E35" s="8">
        <f t="shared" si="2"/>
        <v>14.901912848412444</v>
      </c>
      <c r="F35" s="8">
        <f t="shared" si="3"/>
        <v>222.06700654167986</v>
      </c>
      <c r="G35" s="5">
        <f t="shared" si="4"/>
        <v>0.33867983746391916</v>
      </c>
    </row>
    <row r="36" spans="1:7" ht="15.75" customHeight="1">
      <c r="A36" s="3">
        <v>21585</v>
      </c>
      <c r="B36" s="4">
        <v>38</v>
      </c>
      <c r="C36">
        <f t="shared" si="0"/>
        <v>39.529426145476265</v>
      </c>
      <c r="D36" s="8">
        <f t="shared" si="1"/>
        <v>-1.5294261454762648</v>
      </c>
      <c r="E36" s="8">
        <f t="shared" si="2"/>
        <v>1.5294261454762648</v>
      </c>
      <c r="F36" s="8">
        <f t="shared" si="3"/>
        <v>2.3391443344663845</v>
      </c>
      <c r="G36" s="5">
        <f t="shared" si="4"/>
        <v>4.0248056459901704E-2</v>
      </c>
    </row>
    <row r="37" spans="1:7" ht="15.75" customHeight="1">
      <c r="A37" s="3">
        <v>21586</v>
      </c>
      <c r="B37" s="4">
        <v>50</v>
      </c>
      <c r="C37">
        <f t="shared" si="0"/>
        <v>38.458827843642879</v>
      </c>
      <c r="D37" s="8">
        <f t="shared" si="1"/>
        <v>11.541172156357121</v>
      </c>
      <c r="E37" s="8">
        <f t="shared" si="2"/>
        <v>11.541172156357121</v>
      </c>
      <c r="F37" s="8">
        <f t="shared" si="3"/>
        <v>133.19865474267286</v>
      </c>
      <c r="G37" s="5">
        <f t="shared" si="4"/>
        <v>0.23082344312714242</v>
      </c>
    </row>
    <row r="38" spans="1:7" ht="15.75" customHeight="1">
      <c r="A38" s="3">
        <v>21587</v>
      </c>
      <c r="B38" s="4">
        <v>38</v>
      </c>
      <c r="C38">
        <f t="shared" si="0"/>
        <v>46.537648353092862</v>
      </c>
      <c r="D38" s="8">
        <f t="shared" si="1"/>
        <v>-8.5376483530928624</v>
      </c>
      <c r="E38" s="8">
        <f t="shared" si="2"/>
        <v>8.5376483530928624</v>
      </c>
      <c r="F38" s="8">
        <f t="shared" si="3"/>
        <v>72.891439401069263</v>
      </c>
      <c r="G38" s="5">
        <f t="shared" si="4"/>
        <v>0.22467495666033849</v>
      </c>
    </row>
    <row r="39" spans="1:7" ht="15.75" customHeight="1">
      <c r="A39" s="3">
        <v>21588</v>
      </c>
      <c r="B39" s="4">
        <v>51</v>
      </c>
      <c r="C39">
        <f t="shared" si="0"/>
        <v>40.561294505927854</v>
      </c>
      <c r="D39" s="8">
        <f t="shared" si="1"/>
        <v>10.438705494072146</v>
      </c>
      <c r="E39" s="8">
        <f t="shared" si="2"/>
        <v>10.438705494072146</v>
      </c>
      <c r="F39" s="8">
        <f t="shared" si="3"/>
        <v>108.96657239197199</v>
      </c>
      <c r="G39" s="5">
        <f t="shared" si="4"/>
        <v>0.20468049988376755</v>
      </c>
    </row>
    <row r="40" spans="1:7" ht="15.75" customHeight="1">
      <c r="A40" s="3">
        <v>21589</v>
      </c>
      <c r="B40" s="4">
        <v>31</v>
      </c>
      <c r="C40">
        <f t="shared" si="0"/>
        <v>47.86838835177835</v>
      </c>
      <c r="D40" s="8">
        <f t="shared" si="1"/>
        <v>-16.86838835177835</v>
      </c>
      <c r="E40" s="8">
        <f t="shared" si="2"/>
        <v>16.86838835177835</v>
      </c>
      <c r="F40" s="8">
        <f t="shared" si="3"/>
        <v>284.5425255864115</v>
      </c>
      <c r="G40" s="5">
        <f t="shared" si="4"/>
        <v>0.54414155973478551</v>
      </c>
    </row>
    <row r="41" spans="1:7" ht="15.75" customHeight="1">
      <c r="A41" s="3">
        <v>21590</v>
      </c>
      <c r="B41" s="4">
        <v>31</v>
      </c>
      <c r="C41">
        <f t="shared" si="0"/>
        <v>36.060516505533506</v>
      </c>
      <c r="D41" s="8">
        <f t="shared" si="1"/>
        <v>-5.0605165055335064</v>
      </c>
      <c r="E41" s="8">
        <f t="shared" si="2"/>
        <v>5.0605165055335064</v>
      </c>
      <c r="F41" s="8">
        <f t="shared" si="3"/>
        <v>25.608827302777051</v>
      </c>
      <c r="G41" s="5">
        <f t="shared" si="4"/>
        <v>0.1632424679204357</v>
      </c>
    </row>
    <row r="42" spans="1:7" ht="15.75" customHeight="1">
      <c r="A42" s="3">
        <v>21591</v>
      </c>
      <c r="B42" s="4">
        <v>51</v>
      </c>
      <c r="C42">
        <f t="shared" si="0"/>
        <v>32.518154951660051</v>
      </c>
      <c r="D42" s="8">
        <f t="shared" si="1"/>
        <v>18.481845048339949</v>
      </c>
      <c r="E42" s="8">
        <f t="shared" si="2"/>
        <v>18.481845048339949</v>
      </c>
      <c r="F42" s="8">
        <f t="shared" si="3"/>
        <v>341.57859639084791</v>
      </c>
      <c r="G42" s="5">
        <f t="shared" si="4"/>
        <v>0.36238911859490097</v>
      </c>
    </row>
    <row r="43" spans="1:7" ht="15.75" customHeight="1">
      <c r="A43" s="3">
        <v>21592</v>
      </c>
      <c r="B43" s="4">
        <v>36</v>
      </c>
      <c r="C43">
        <f t="shared" si="0"/>
        <v>45.455446485498008</v>
      </c>
      <c r="D43" s="8">
        <f t="shared" si="1"/>
        <v>-9.4554464854980083</v>
      </c>
      <c r="E43" s="8">
        <f t="shared" si="2"/>
        <v>9.4554464854980083</v>
      </c>
      <c r="F43" s="8">
        <f t="shared" si="3"/>
        <v>89.405468240116633</v>
      </c>
      <c r="G43" s="5">
        <f t="shared" si="4"/>
        <v>0.26265129126383358</v>
      </c>
    </row>
    <row r="44" spans="1:7" ht="15.75" customHeight="1">
      <c r="A44" s="3">
        <v>21593</v>
      </c>
      <c r="B44" s="4">
        <v>45</v>
      </c>
      <c r="C44">
        <f t="shared" si="0"/>
        <v>38.836633945649403</v>
      </c>
      <c r="D44" s="8">
        <f t="shared" si="1"/>
        <v>6.1633660543505968</v>
      </c>
      <c r="E44" s="8">
        <f t="shared" si="2"/>
        <v>6.1633660543505968</v>
      </c>
      <c r="F44" s="8">
        <f t="shared" si="3"/>
        <v>37.987081119921243</v>
      </c>
      <c r="G44" s="5">
        <f t="shared" si="4"/>
        <v>0.13696369009667994</v>
      </c>
    </row>
    <row r="45" spans="1:7" ht="15.75" customHeight="1">
      <c r="A45" s="3">
        <v>21594</v>
      </c>
      <c r="B45" s="4">
        <v>51</v>
      </c>
      <c r="C45">
        <f t="shared" si="0"/>
        <v>43.150990183694816</v>
      </c>
      <c r="D45" s="8">
        <f t="shared" si="1"/>
        <v>7.849009816305184</v>
      </c>
      <c r="E45" s="8">
        <f t="shared" si="2"/>
        <v>7.849009816305184</v>
      </c>
      <c r="F45" s="8">
        <f t="shared" si="3"/>
        <v>61.606955096455138</v>
      </c>
      <c r="G45" s="5">
        <f t="shared" si="4"/>
        <v>0.15390215326088597</v>
      </c>
    </row>
    <row r="46" spans="1:7" ht="15.75" customHeight="1">
      <c r="A46" s="3">
        <v>21595</v>
      </c>
      <c r="B46" s="4">
        <v>34</v>
      </c>
      <c r="C46">
        <f t="shared" si="0"/>
        <v>48.645297055108443</v>
      </c>
      <c r="D46" s="8">
        <f t="shared" si="1"/>
        <v>-14.645297055108443</v>
      </c>
      <c r="E46" s="8">
        <f t="shared" si="2"/>
        <v>14.645297055108443</v>
      </c>
      <c r="F46" s="8">
        <f t="shared" si="3"/>
        <v>214.48472583236804</v>
      </c>
      <c r="G46" s="5">
        <f t="shared" si="4"/>
        <v>0.43074403103260128</v>
      </c>
    </row>
    <row r="47" spans="1:7" ht="15.75" customHeight="1">
      <c r="A47" s="3">
        <v>21596</v>
      </c>
      <c r="B47" s="4">
        <v>52</v>
      </c>
      <c r="C47">
        <f t="shared" si="0"/>
        <v>38.393589116532532</v>
      </c>
      <c r="D47" s="8">
        <f t="shared" si="1"/>
        <v>13.606410883467468</v>
      </c>
      <c r="E47" s="8">
        <f t="shared" si="2"/>
        <v>13.606410883467468</v>
      </c>
      <c r="F47" s="8">
        <f t="shared" si="3"/>
        <v>185.13441712974196</v>
      </c>
      <c r="G47" s="5">
        <f t="shared" si="4"/>
        <v>0.26166174775898976</v>
      </c>
    </row>
    <row r="48" spans="1:7" ht="15.75" customHeight="1">
      <c r="A48" s="3">
        <v>21597</v>
      </c>
      <c r="B48" s="4">
        <v>47</v>
      </c>
      <c r="C48">
        <f t="shared" si="0"/>
        <v>47.918076734959755</v>
      </c>
      <c r="D48" s="8">
        <f t="shared" si="1"/>
        <v>-0.9180767349597545</v>
      </c>
      <c r="E48" s="8">
        <f t="shared" si="2"/>
        <v>0.9180767349597545</v>
      </c>
      <c r="F48" s="8">
        <f t="shared" si="3"/>
        <v>0.84286489127436337</v>
      </c>
      <c r="G48" s="5">
        <f t="shared" si="4"/>
        <v>1.9533547552335204E-2</v>
      </c>
    </row>
    <row r="49" spans="1:7" ht="15.75" customHeight="1">
      <c r="A49" s="3">
        <v>21598</v>
      </c>
      <c r="B49" s="4">
        <v>45</v>
      </c>
      <c r="C49">
        <f t="shared" si="0"/>
        <v>47.275423020487921</v>
      </c>
      <c r="D49" s="8">
        <f t="shared" si="1"/>
        <v>-2.2754230204879207</v>
      </c>
      <c r="E49" s="8">
        <f t="shared" si="2"/>
        <v>2.2754230204879207</v>
      </c>
      <c r="F49" s="8">
        <f t="shared" si="3"/>
        <v>5.1775499221663726</v>
      </c>
      <c r="G49" s="5">
        <f t="shared" si="4"/>
        <v>5.0564956010842682E-2</v>
      </c>
    </row>
    <row r="50" spans="1:7" ht="15.75" customHeight="1">
      <c r="A50" s="3">
        <v>21599</v>
      </c>
      <c r="B50" s="4">
        <v>46</v>
      </c>
      <c r="C50">
        <f t="shared" si="0"/>
        <v>45.682626906146375</v>
      </c>
      <c r="D50" s="8">
        <f t="shared" si="1"/>
        <v>0.31737309385362522</v>
      </c>
      <c r="E50" s="8">
        <f t="shared" si="2"/>
        <v>0.31737309385362522</v>
      </c>
      <c r="F50" s="8">
        <f t="shared" si="3"/>
        <v>0.100725680702222</v>
      </c>
      <c r="G50" s="5">
        <f t="shared" si="4"/>
        <v>6.8994150837744612E-3</v>
      </c>
    </row>
    <row r="51" spans="1:7" ht="15.75" customHeight="1">
      <c r="A51" s="3">
        <v>21600</v>
      </c>
      <c r="B51" s="4">
        <v>39</v>
      </c>
      <c r="C51">
        <f t="shared" si="0"/>
        <v>45.90478807184391</v>
      </c>
      <c r="D51" s="8">
        <f t="shared" si="1"/>
        <v>-6.9047880718439103</v>
      </c>
      <c r="E51" s="8">
        <f t="shared" si="2"/>
        <v>6.9047880718439103</v>
      </c>
      <c r="F51" s="8">
        <f t="shared" si="3"/>
        <v>47.676098317077944</v>
      </c>
      <c r="G51" s="5">
        <f t="shared" si="4"/>
        <v>0.17704584799599771</v>
      </c>
    </row>
    <row r="52" spans="1:7" ht="15.75" customHeight="1">
      <c r="A52" s="3">
        <v>21601</v>
      </c>
      <c r="B52" s="4">
        <v>48</v>
      </c>
      <c r="C52">
        <f t="shared" si="0"/>
        <v>41.071436421553173</v>
      </c>
      <c r="D52" s="8">
        <f t="shared" si="1"/>
        <v>6.9285635784468269</v>
      </c>
      <c r="E52" s="8">
        <f t="shared" si="2"/>
        <v>6.9285635784468269</v>
      </c>
      <c r="F52" s="8">
        <f t="shared" si="3"/>
        <v>48.004993260579901</v>
      </c>
      <c r="G52" s="5">
        <f t="shared" si="4"/>
        <v>0.14434507455097556</v>
      </c>
    </row>
    <row r="53" spans="1:7" ht="15.75" customHeight="1">
      <c r="A53" s="3">
        <v>21602</v>
      </c>
      <c r="B53" s="4">
        <v>37</v>
      </c>
      <c r="C53">
        <f t="shared" si="0"/>
        <v>45.921430926465945</v>
      </c>
      <c r="D53" s="8">
        <f t="shared" si="1"/>
        <v>-8.9214309264659448</v>
      </c>
      <c r="E53" s="8">
        <f t="shared" si="2"/>
        <v>8.9214309264659448</v>
      </c>
      <c r="F53" s="8">
        <f t="shared" si="3"/>
        <v>79.591929775703008</v>
      </c>
      <c r="G53" s="5">
        <f t="shared" si="4"/>
        <v>0.24111975476934985</v>
      </c>
    </row>
    <row r="54" spans="1:7" ht="15.75" customHeight="1">
      <c r="A54" s="3">
        <v>21603</v>
      </c>
      <c r="B54" s="4">
        <v>35</v>
      </c>
      <c r="C54">
        <f t="shared" si="0"/>
        <v>39.676429277939782</v>
      </c>
      <c r="D54" s="8">
        <f t="shared" si="1"/>
        <v>-4.676429277939782</v>
      </c>
      <c r="E54" s="8">
        <f t="shared" si="2"/>
        <v>4.676429277939782</v>
      </c>
      <c r="F54" s="8">
        <f t="shared" si="3"/>
        <v>21.86899079157239</v>
      </c>
      <c r="G54" s="5">
        <f t="shared" si="4"/>
        <v>0.13361226508399376</v>
      </c>
    </row>
    <row r="55" spans="1:7" ht="15.75" customHeight="1">
      <c r="A55" s="3">
        <v>21604</v>
      </c>
      <c r="B55" s="4">
        <v>52</v>
      </c>
      <c r="C55">
        <f t="shared" si="0"/>
        <v>36.402928783381938</v>
      </c>
      <c r="D55" s="8">
        <f t="shared" si="1"/>
        <v>15.597071216618062</v>
      </c>
      <c r="E55" s="8">
        <f t="shared" si="2"/>
        <v>15.597071216618062</v>
      </c>
      <c r="F55" s="8">
        <f t="shared" si="3"/>
        <v>243.26863053625561</v>
      </c>
      <c r="G55" s="5">
        <f t="shared" si="4"/>
        <v>0.29994367724265503</v>
      </c>
    </row>
    <row r="56" spans="1:7" ht="15.75" customHeight="1">
      <c r="A56" s="3">
        <v>21605</v>
      </c>
      <c r="B56" s="4">
        <v>42</v>
      </c>
      <c r="C56">
        <f t="shared" si="0"/>
        <v>47.32087863501458</v>
      </c>
      <c r="D56" s="8">
        <f t="shared" si="1"/>
        <v>-5.32087863501458</v>
      </c>
      <c r="E56" s="8">
        <f t="shared" si="2"/>
        <v>5.32087863501458</v>
      </c>
      <c r="F56" s="8">
        <f t="shared" si="3"/>
        <v>28.311749448554622</v>
      </c>
      <c r="G56" s="5">
        <f t="shared" si="4"/>
        <v>0.12668758654796619</v>
      </c>
    </row>
    <row r="57" spans="1:7" ht="15.75" customHeight="1">
      <c r="A57" s="3">
        <v>21606</v>
      </c>
      <c r="B57" s="4">
        <v>45</v>
      </c>
      <c r="C57">
        <f t="shared" si="0"/>
        <v>43.596263590504371</v>
      </c>
      <c r="D57" s="8">
        <f t="shared" si="1"/>
        <v>1.4037364094956288</v>
      </c>
      <c r="E57" s="8">
        <f t="shared" si="2"/>
        <v>1.4037364094956288</v>
      </c>
      <c r="F57" s="8">
        <f t="shared" si="3"/>
        <v>1.9704759073436797</v>
      </c>
      <c r="G57" s="5">
        <f t="shared" si="4"/>
        <v>3.1194142433236198E-2</v>
      </c>
    </row>
    <row r="58" spans="1:7" ht="15.75" customHeight="1">
      <c r="A58" s="3">
        <v>21607</v>
      </c>
      <c r="B58" s="4">
        <v>39</v>
      </c>
      <c r="C58">
        <f t="shared" si="0"/>
        <v>44.578879077151306</v>
      </c>
      <c r="D58" s="8">
        <f t="shared" si="1"/>
        <v>-5.5788790771513064</v>
      </c>
      <c r="E58" s="8">
        <f t="shared" si="2"/>
        <v>5.5788790771513064</v>
      </c>
      <c r="F58" s="8">
        <f t="shared" si="3"/>
        <v>31.123891757476613</v>
      </c>
      <c r="G58" s="5">
        <f t="shared" si="4"/>
        <v>0.14304818146541812</v>
      </c>
    </row>
    <row r="59" spans="1:7" ht="15.75" customHeight="1">
      <c r="A59" s="3">
        <v>21608</v>
      </c>
      <c r="B59" s="4">
        <v>37</v>
      </c>
      <c r="C59">
        <f t="shared" si="0"/>
        <v>40.673663723145388</v>
      </c>
      <c r="D59" s="8">
        <f t="shared" si="1"/>
        <v>-3.6736637231453884</v>
      </c>
      <c r="E59" s="8">
        <f t="shared" si="2"/>
        <v>3.6736637231453884</v>
      </c>
      <c r="F59" s="8">
        <f t="shared" si="3"/>
        <v>13.495805150754437</v>
      </c>
      <c r="G59" s="5">
        <f t="shared" si="4"/>
        <v>9.928820873365915E-2</v>
      </c>
    </row>
    <row r="60" spans="1:7" ht="15.75" customHeight="1">
      <c r="A60" s="3">
        <v>21609</v>
      </c>
      <c r="B60" s="4">
        <v>30</v>
      </c>
      <c r="C60">
        <f t="shared" si="0"/>
        <v>38.102099116943613</v>
      </c>
      <c r="D60" s="8">
        <f t="shared" si="1"/>
        <v>-8.102099116943613</v>
      </c>
      <c r="E60" s="8">
        <f t="shared" si="2"/>
        <v>8.102099116943613</v>
      </c>
      <c r="F60" s="8">
        <f t="shared" si="3"/>
        <v>65.644010100778473</v>
      </c>
      <c r="G60" s="5">
        <f t="shared" si="4"/>
        <v>0.2700699705647871</v>
      </c>
    </row>
    <row r="61" spans="1:7" ht="15.75" customHeight="1">
      <c r="A61" s="3">
        <v>21610</v>
      </c>
      <c r="B61" s="4">
        <v>35</v>
      </c>
      <c r="C61">
        <f t="shared" si="0"/>
        <v>32.430629735083087</v>
      </c>
      <c r="D61" s="8">
        <f t="shared" si="1"/>
        <v>2.5693702649169126</v>
      </c>
      <c r="E61" s="8">
        <f t="shared" si="2"/>
        <v>2.5693702649169126</v>
      </c>
      <c r="F61" s="8">
        <f t="shared" si="3"/>
        <v>6.6016635582392054</v>
      </c>
      <c r="G61" s="5">
        <f t="shared" si="4"/>
        <v>7.3410578997626069E-2</v>
      </c>
    </row>
    <row r="62" spans="1:7" ht="15.75" customHeight="1">
      <c r="A62" s="3">
        <v>21611</v>
      </c>
      <c r="B62" s="4">
        <v>28</v>
      </c>
      <c r="C62">
        <f t="shared" si="0"/>
        <v>34.229188920524926</v>
      </c>
      <c r="D62" s="8">
        <f t="shared" si="1"/>
        <v>-6.2291889205249262</v>
      </c>
      <c r="E62" s="8">
        <f t="shared" si="2"/>
        <v>6.2291889205249262</v>
      </c>
      <c r="F62" s="8">
        <f t="shared" si="3"/>
        <v>38.802794607590499</v>
      </c>
      <c r="G62" s="5">
        <f t="shared" si="4"/>
        <v>0.22247103287589023</v>
      </c>
    </row>
    <row r="63" spans="1:7" ht="15.75" customHeight="1">
      <c r="A63" s="3">
        <v>21612</v>
      </c>
      <c r="B63" s="4">
        <v>45</v>
      </c>
      <c r="C63">
        <f t="shared" si="0"/>
        <v>29.868756676157474</v>
      </c>
      <c r="D63" s="8">
        <f t="shared" si="1"/>
        <v>15.131243323842526</v>
      </c>
      <c r="E63" s="8">
        <f t="shared" si="2"/>
        <v>15.131243323842526</v>
      </c>
      <c r="F63" s="8">
        <f t="shared" si="3"/>
        <v>228.95452452532899</v>
      </c>
      <c r="G63" s="5">
        <f t="shared" si="4"/>
        <v>0.33624985164094501</v>
      </c>
    </row>
    <row r="64" spans="1:7" ht="15.75" customHeight="1">
      <c r="A64" s="3">
        <v>21613</v>
      </c>
      <c r="B64" s="4">
        <v>34</v>
      </c>
      <c r="C64">
        <f t="shared" si="0"/>
        <v>40.460627002847239</v>
      </c>
      <c r="D64" s="8">
        <f t="shared" si="1"/>
        <v>-6.4606270028472395</v>
      </c>
      <c r="E64" s="8">
        <f t="shared" si="2"/>
        <v>6.4606270028472395</v>
      </c>
      <c r="F64" s="8">
        <f t="shared" si="3"/>
        <v>41.739701269918903</v>
      </c>
      <c r="G64" s="5">
        <f t="shared" si="4"/>
        <v>0.19001844126021292</v>
      </c>
    </row>
    <row r="65" spans="1:7" ht="15.75" customHeight="1">
      <c r="A65" s="3">
        <v>21614</v>
      </c>
      <c r="B65" s="4">
        <v>36</v>
      </c>
      <c r="C65">
        <f t="shared" si="0"/>
        <v>35.93818810085417</v>
      </c>
      <c r="D65" s="8">
        <f t="shared" si="1"/>
        <v>6.1811899145830296E-2</v>
      </c>
      <c r="E65" s="8">
        <f t="shared" si="2"/>
        <v>6.1811899145830296E-2</v>
      </c>
      <c r="F65" s="8">
        <f t="shared" si="3"/>
        <v>3.820710876014296E-3</v>
      </c>
      <c r="G65" s="5">
        <f t="shared" si="4"/>
        <v>1.716997198495286E-3</v>
      </c>
    </row>
    <row r="66" spans="1:7" ht="15.75" customHeight="1">
      <c r="A66" s="3">
        <v>21615</v>
      </c>
      <c r="B66" s="4">
        <v>50</v>
      </c>
      <c r="C66">
        <f t="shared" si="0"/>
        <v>35.981456430256252</v>
      </c>
      <c r="D66" s="8">
        <f t="shared" si="1"/>
        <v>14.018543569743748</v>
      </c>
      <c r="E66" s="8">
        <f t="shared" si="2"/>
        <v>14.018543569743748</v>
      </c>
      <c r="F66" s="8">
        <f t="shared" si="3"/>
        <v>196.51956381680378</v>
      </c>
      <c r="G66" s="5">
        <f t="shared" si="4"/>
        <v>0.28037087139487499</v>
      </c>
    </row>
    <row r="67" spans="1:7" ht="15.75" customHeight="1">
      <c r="A67" s="3">
        <v>21616</v>
      </c>
      <c r="B67" s="4">
        <v>44</v>
      </c>
      <c r="C67">
        <f t="shared" si="0"/>
        <v>45.794436929076873</v>
      </c>
      <c r="D67" s="8">
        <f t="shared" si="1"/>
        <v>-1.7944369290768734</v>
      </c>
      <c r="E67" s="8">
        <f t="shared" si="2"/>
        <v>1.7944369290768734</v>
      </c>
      <c r="F67" s="8">
        <f t="shared" si="3"/>
        <v>3.22000389243484</v>
      </c>
      <c r="G67" s="5">
        <f t="shared" si="4"/>
        <v>4.0782657479019851E-2</v>
      </c>
    </row>
    <row r="68" spans="1:7" ht="15.75" customHeight="1">
      <c r="A68" s="3">
        <v>21617</v>
      </c>
      <c r="B68" s="4">
        <v>39</v>
      </c>
      <c r="C68">
        <f t="shared" ref="C68:C131" si="5">0.7*B67+0.3*C67</f>
        <v>44.538331078723061</v>
      </c>
      <c r="D68" s="8">
        <f t="shared" ref="D68:D131" si="6">B68-C68</f>
        <v>-5.5383310787230613</v>
      </c>
      <c r="E68" s="8">
        <f t="shared" ref="E68:E131" si="7">ABS(D68)</f>
        <v>5.5383310787230613</v>
      </c>
      <c r="F68" s="8">
        <f t="shared" ref="F68:F131" si="8">E68^2</f>
        <v>30.673111137549746</v>
      </c>
      <c r="G68" s="5">
        <f t="shared" ref="G68:G131" si="9">E68/B68</f>
        <v>0.14200848919802722</v>
      </c>
    </row>
    <row r="69" spans="1:7" ht="15.75" customHeight="1">
      <c r="A69" s="3">
        <v>21618</v>
      </c>
      <c r="B69" s="4">
        <v>32</v>
      </c>
      <c r="C69">
        <f t="shared" si="5"/>
        <v>40.661499323616916</v>
      </c>
      <c r="D69" s="8">
        <f t="shared" si="6"/>
        <v>-8.6614993236169155</v>
      </c>
      <c r="E69" s="8">
        <f t="shared" si="7"/>
        <v>8.6614993236169155</v>
      </c>
      <c r="F69" s="8">
        <f t="shared" si="8"/>
        <v>75.021570533016288</v>
      </c>
      <c r="G69" s="5">
        <f t="shared" si="9"/>
        <v>0.27067185386302861</v>
      </c>
    </row>
    <row r="70" spans="1:7" ht="15.75" customHeight="1">
      <c r="A70" s="3">
        <v>21619</v>
      </c>
      <c r="B70" s="4">
        <v>39</v>
      </c>
      <c r="C70">
        <f t="shared" si="5"/>
        <v>34.598449797085074</v>
      </c>
      <c r="D70" s="8">
        <f t="shared" si="6"/>
        <v>4.401550202914926</v>
      </c>
      <c r="E70" s="8">
        <f t="shared" si="7"/>
        <v>4.401550202914926</v>
      </c>
      <c r="F70" s="8">
        <f t="shared" si="8"/>
        <v>19.373644188780428</v>
      </c>
      <c r="G70" s="5">
        <f t="shared" si="9"/>
        <v>0.11286026161320323</v>
      </c>
    </row>
    <row r="71" spans="1:7" ht="15.75" customHeight="1">
      <c r="A71" s="3">
        <v>21620</v>
      </c>
      <c r="B71" s="4">
        <v>45</v>
      </c>
      <c r="C71">
        <f t="shared" si="5"/>
        <v>37.679534939125517</v>
      </c>
      <c r="D71" s="8">
        <f t="shared" si="6"/>
        <v>7.3204650608744828</v>
      </c>
      <c r="E71" s="8">
        <f t="shared" si="7"/>
        <v>7.3204650608744828</v>
      </c>
      <c r="F71" s="8">
        <f t="shared" si="8"/>
        <v>53.589208707484048</v>
      </c>
      <c r="G71" s="5">
        <f t="shared" si="9"/>
        <v>0.16267700135276628</v>
      </c>
    </row>
    <row r="72" spans="1:7" ht="15.75" customHeight="1">
      <c r="A72" s="3">
        <v>21621</v>
      </c>
      <c r="B72" s="4">
        <v>43</v>
      </c>
      <c r="C72">
        <f t="shared" si="5"/>
        <v>42.803860481737651</v>
      </c>
      <c r="D72" s="8">
        <f t="shared" si="6"/>
        <v>0.1961395182623491</v>
      </c>
      <c r="E72" s="8">
        <f t="shared" si="7"/>
        <v>0.1961395182623491</v>
      </c>
      <c r="F72" s="8">
        <f t="shared" si="8"/>
        <v>3.8470710624186374E-2</v>
      </c>
      <c r="G72" s="5">
        <f t="shared" si="9"/>
        <v>4.5613841456360257E-3</v>
      </c>
    </row>
    <row r="73" spans="1:7" ht="15.75" customHeight="1">
      <c r="A73" s="3">
        <v>21622</v>
      </c>
      <c r="B73" s="4">
        <v>39</v>
      </c>
      <c r="C73">
        <f t="shared" si="5"/>
        <v>42.941158144521296</v>
      </c>
      <c r="D73" s="8">
        <f t="shared" si="6"/>
        <v>-3.941158144521296</v>
      </c>
      <c r="E73" s="8">
        <f t="shared" si="7"/>
        <v>3.941158144521296</v>
      </c>
      <c r="F73" s="8">
        <f t="shared" si="8"/>
        <v>15.532727520126544</v>
      </c>
      <c r="G73" s="5">
        <f t="shared" si="9"/>
        <v>0.10105533703900758</v>
      </c>
    </row>
    <row r="74" spans="1:7" ht="15.75" customHeight="1">
      <c r="A74" s="3">
        <v>21623</v>
      </c>
      <c r="B74" s="4">
        <v>31</v>
      </c>
      <c r="C74">
        <f t="shared" si="5"/>
        <v>40.182347443356385</v>
      </c>
      <c r="D74" s="8">
        <f t="shared" si="6"/>
        <v>-9.1823474433563845</v>
      </c>
      <c r="E74" s="8">
        <f t="shared" si="7"/>
        <v>9.1823474433563845</v>
      </c>
      <c r="F74" s="8">
        <f t="shared" si="8"/>
        <v>84.315504570513525</v>
      </c>
      <c r="G74" s="5">
        <f t="shared" si="9"/>
        <v>0.29620475623730275</v>
      </c>
    </row>
    <row r="75" spans="1:7" ht="15.75" customHeight="1">
      <c r="A75" s="3">
        <v>21624</v>
      </c>
      <c r="B75" s="4">
        <v>27</v>
      </c>
      <c r="C75">
        <f t="shared" si="5"/>
        <v>33.754704233006912</v>
      </c>
      <c r="D75" s="8">
        <f t="shared" si="6"/>
        <v>-6.7547042330069118</v>
      </c>
      <c r="E75" s="8">
        <f t="shared" si="7"/>
        <v>6.7547042330069118</v>
      </c>
      <c r="F75" s="8">
        <f t="shared" si="8"/>
        <v>45.626029275401493</v>
      </c>
      <c r="G75" s="5">
        <f t="shared" si="9"/>
        <v>0.25017423085210783</v>
      </c>
    </row>
    <row r="76" spans="1:7" ht="15.75" customHeight="1">
      <c r="A76" s="3">
        <v>21625</v>
      </c>
      <c r="B76" s="4">
        <v>30</v>
      </c>
      <c r="C76">
        <f t="shared" si="5"/>
        <v>29.02641126990207</v>
      </c>
      <c r="D76" s="8">
        <f t="shared" si="6"/>
        <v>0.97358873009793001</v>
      </c>
      <c r="E76" s="8">
        <f t="shared" si="7"/>
        <v>0.97358873009793001</v>
      </c>
      <c r="F76" s="8">
        <f t="shared" si="8"/>
        <v>0.9478750153737</v>
      </c>
      <c r="G76" s="5">
        <f t="shared" si="9"/>
        <v>3.2452957669930997E-2</v>
      </c>
    </row>
    <row r="77" spans="1:7" ht="15.75" customHeight="1">
      <c r="A77" s="3">
        <v>21626</v>
      </c>
      <c r="B77" s="4">
        <v>42</v>
      </c>
      <c r="C77">
        <f t="shared" si="5"/>
        <v>29.70792338097062</v>
      </c>
      <c r="D77" s="8">
        <f t="shared" si="6"/>
        <v>12.29207661902938</v>
      </c>
      <c r="E77" s="8">
        <f t="shared" si="7"/>
        <v>12.29207661902938</v>
      </c>
      <c r="F77" s="8">
        <f t="shared" si="8"/>
        <v>151.09514760808875</v>
      </c>
      <c r="G77" s="5">
        <f t="shared" si="9"/>
        <v>0.29266849092927094</v>
      </c>
    </row>
    <row r="78" spans="1:7" ht="15.75" customHeight="1">
      <c r="A78" s="3">
        <v>21627</v>
      </c>
      <c r="B78" s="4">
        <v>46</v>
      </c>
      <c r="C78">
        <f t="shared" si="5"/>
        <v>38.312377014291187</v>
      </c>
      <c r="D78" s="8">
        <f t="shared" si="6"/>
        <v>7.6876229857088134</v>
      </c>
      <c r="E78" s="8">
        <f t="shared" si="7"/>
        <v>7.6876229857088134</v>
      </c>
      <c r="F78" s="8">
        <f t="shared" si="8"/>
        <v>59.099547170398488</v>
      </c>
      <c r="G78" s="5">
        <f t="shared" si="9"/>
        <v>0.16712223881975682</v>
      </c>
    </row>
    <row r="79" spans="1:7" ht="15.75" customHeight="1">
      <c r="A79" s="3">
        <v>21628</v>
      </c>
      <c r="B79" s="4">
        <v>41</v>
      </c>
      <c r="C79">
        <f t="shared" si="5"/>
        <v>43.693713104287355</v>
      </c>
      <c r="D79" s="8">
        <f t="shared" si="6"/>
        <v>-2.6937131042873546</v>
      </c>
      <c r="E79" s="8">
        <f t="shared" si="7"/>
        <v>2.6937131042873546</v>
      </c>
      <c r="F79" s="8">
        <f t="shared" si="8"/>
        <v>7.2560902882094167</v>
      </c>
      <c r="G79" s="5">
        <f t="shared" si="9"/>
        <v>6.5700319616764744E-2</v>
      </c>
    </row>
    <row r="80" spans="1:7" ht="15.75" customHeight="1">
      <c r="A80" s="3">
        <v>21629</v>
      </c>
      <c r="B80" s="4">
        <v>36</v>
      </c>
      <c r="C80">
        <f t="shared" si="5"/>
        <v>41.808113931286208</v>
      </c>
      <c r="D80" s="8">
        <f t="shared" si="6"/>
        <v>-5.8081139312862078</v>
      </c>
      <c r="E80" s="8">
        <f t="shared" si="7"/>
        <v>5.8081139312862078</v>
      </c>
      <c r="F80" s="8">
        <f t="shared" si="8"/>
        <v>33.73418743880093</v>
      </c>
      <c r="G80" s="5">
        <f t="shared" si="9"/>
        <v>0.16133649809128356</v>
      </c>
    </row>
    <row r="81" spans="1:7" ht="15.75" customHeight="1">
      <c r="A81" s="3">
        <v>21630</v>
      </c>
      <c r="B81" s="4">
        <v>45</v>
      </c>
      <c r="C81">
        <f t="shared" si="5"/>
        <v>37.74243417938586</v>
      </c>
      <c r="D81" s="8">
        <f t="shared" si="6"/>
        <v>7.2575658206141398</v>
      </c>
      <c r="E81" s="8">
        <f t="shared" si="7"/>
        <v>7.2575658206141398</v>
      </c>
      <c r="F81" s="8">
        <f t="shared" si="8"/>
        <v>52.672261640546594</v>
      </c>
      <c r="G81" s="5">
        <f t="shared" si="9"/>
        <v>0.161279240458092</v>
      </c>
    </row>
    <row r="82" spans="1:7" ht="15.75" customHeight="1">
      <c r="A82" s="3">
        <v>21631</v>
      </c>
      <c r="B82" s="4">
        <v>46</v>
      </c>
      <c r="C82">
        <f t="shared" si="5"/>
        <v>42.822730253815756</v>
      </c>
      <c r="D82" s="8">
        <f t="shared" si="6"/>
        <v>3.1772697461842441</v>
      </c>
      <c r="E82" s="8">
        <f t="shared" si="7"/>
        <v>3.1772697461842441</v>
      </c>
      <c r="F82" s="8">
        <f t="shared" si="8"/>
        <v>10.095043040017691</v>
      </c>
      <c r="G82" s="5">
        <f t="shared" si="9"/>
        <v>6.9071081438787915E-2</v>
      </c>
    </row>
    <row r="83" spans="1:7" ht="15.75" customHeight="1">
      <c r="A83" s="3">
        <v>21632</v>
      </c>
      <c r="B83" s="4">
        <v>43</v>
      </c>
      <c r="C83">
        <f t="shared" si="5"/>
        <v>45.046819076144722</v>
      </c>
      <c r="D83" s="8">
        <f t="shared" si="6"/>
        <v>-2.0468190761447218</v>
      </c>
      <c r="E83" s="8">
        <f t="shared" si="7"/>
        <v>2.0468190761447218</v>
      </c>
      <c r="F83" s="8">
        <f t="shared" si="8"/>
        <v>4.1894683304699321</v>
      </c>
      <c r="G83" s="5">
        <f t="shared" si="9"/>
        <v>4.7600443631272603E-2</v>
      </c>
    </row>
    <row r="84" spans="1:7" ht="15.75" customHeight="1">
      <c r="A84" s="3">
        <v>21633</v>
      </c>
      <c r="B84" s="4">
        <v>38</v>
      </c>
      <c r="C84">
        <f t="shared" si="5"/>
        <v>43.614045722843414</v>
      </c>
      <c r="D84" s="8">
        <f t="shared" si="6"/>
        <v>-5.6140457228434144</v>
      </c>
      <c r="E84" s="8">
        <f t="shared" si="7"/>
        <v>5.6140457228434144</v>
      </c>
      <c r="F84" s="8">
        <f t="shared" si="8"/>
        <v>31.517509378176435</v>
      </c>
      <c r="G84" s="5">
        <f t="shared" si="9"/>
        <v>0.1477380453379846</v>
      </c>
    </row>
    <row r="85" spans="1:7" ht="15.75" customHeight="1">
      <c r="A85" s="3">
        <v>21634</v>
      </c>
      <c r="B85" s="4">
        <v>34</v>
      </c>
      <c r="C85">
        <f t="shared" si="5"/>
        <v>39.684213716853023</v>
      </c>
      <c r="D85" s="8">
        <f t="shared" si="6"/>
        <v>-5.6842137168530229</v>
      </c>
      <c r="E85" s="8">
        <f t="shared" si="7"/>
        <v>5.6842137168530229</v>
      </c>
      <c r="F85" s="8">
        <f t="shared" si="8"/>
        <v>32.310285578860061</v>
      </c>
      <c r="G85" s="5">
        <f t="shared" si="9"/>
        <v>0.1671827563780301</v>
      </c>
    </row>
    <row r="86" spans="1:7" ht="15.75" customHeight="1">
      <c r="A86" s="3">
        <v>21635</v>
      </c>
      <c r="B86" s="4">
        <v>35</v>
      </c>
      <c r="C86">
        <f t="shared" si="5"/>
        <v>35.705264115055904</v>
      </c>
      <c r="D86" s="8">
        <f t="shared" si="6"/>
        <v>-0.70526411505590403</v>
      </c>
      <c r="E86" s="8">
        <f t="shared" si="7"/>
        <v>0.70526411505590403</v>
      </c>
      <c r="F86" s="8">
        <f t="shared" si="8"/>
        <v>0.49739747198558742</v>
      </c>
      <c r="G86" s="5">
        <f t="shared" si="9"/>
        <v>2.0150403287311543E-2</v>
      </c>
    </row>
    <row r="87" spans="1:7" ht="15.75" customHeight="1">
      <c r="A87" s="3">
        <v>21636</v>
      </c>
      <c r="B87" s="4">
        <v>56</v>
      </c>
      <c r="C87">
        <f t="shared" si="5"/>
        <v>35.211579234516769</v>
      </c>
      <c r="D87" s="8">
        <f t="shared" si="6"/>
        <v>20.788420765483231</v>
      </c>
      <c r="E87" s="8">
        <f t="shared" si="7"/>
        <v>20.788420765483231</v>
      </c>
      <c r="F87" s="8">
        <f t="shared" si="8"/>
        <v>432.1584379227744</v>
      </c>
      <c r="G87" s="5">
        <f t="shared" si="9"/>
        <v>0.37122179938362915</v>
      </c>
    </row>
    <row r="88" spans="1:7" ht="15.75" customHeight="1">
      <c r="A88" s="3">
        <v>21637</v>
      </c>
      <c r="B88" s="4">
        <v>36</v>
      </c>
      <c r="C88">
        <f t="shared" si="5"/>
        <v>49.763473770355027</v>
      </c>
      <c r="D88" s="8">
        <f t="shared" si="6"/>
        <v>-13.763473770355027</v>
      </c>
      <c r="E88" s="8">
        <f t="shared" si="7"/>
        <v>13.763473770355027</v>
      </c>
      <c r="F88" s="8">
        <f t="shared" si="8"/>
        <v>189.43321022725084</v>
      </c>
      <c r="G88" s="5">
        <f t="shared" si="9"/>
        <v>0.38231871584319521</v>
      </c>
    </row>
    <row r="89" spans="1:7" ht="15.75" customHeight="1">
      <c r="A89" s="3">
        <v>21638</v>
      </c>
      <c r="B89" s="4">
        <v>32</v>
      </c>
      <c r="C89">
        <f t="shared" si="5"/>
        <v>40.129042131106509</v>
      </c>
      <c r="D89" s="8">
        <f t="shared" si="6"/>
        <v>-8.1290421311065089</v>
      </c>
      <c r="E89" s="8">
        <f t="shared" si="7"/>
        <v>8.1290421311065089</v>
      </c>
      <c r="F89" s="8">
        <f t="shared" si="8"/>
        <v>66.081325969304658</v>
      </c>
      <c r="G89" s="5">
        <f t="shared" si="9"/>
        <v>0.2540325665970784</v>
      </c>
    </row>
    <row r="90" spans="1:7" ht="15.75" customHeight="1">
      <c r="A90" s="3">
        <v>21639</v>
      </c>
      <c r="B90" s="4">
        <v>50</v>
      </c>
      <c r="C90">
        <f t="shared" si="5"/>
        <v>34.438712639331953</v>
      </c>
      <c r="D90" s="8">
        <f t="shared" si="6"/>
        <v>15.561287360668047</v>
      </c>
      <c r="E90" s="8">
        <f t="shared" si="7"/>
        <v>15.561287360668047</v>
      </c>
      <c r="F90" s="8">
        <f t="shared" si="8"/>
        <v>242.1536643212871</v>
      </c>
      <c r="G90" s="5">
        <f t="shared" si="9"/>
        <v>0.31122574721336094</v>
      </c>
    </row>
    <row r="91" spans="1:7" ht="15.75" customHeight="1">
      <c r="A91" s="3">
        <v>21640</v>
      </c>
      <c r="B91" s="4">
        <v>41</v>
      </c>
      <c r="C91">
        <f t="shared" si="5"/>
        <v>45.331613791799583</v>
      </c>
      <c r="D91" s="8">
        <f t="shared" si="6"/>
        <v>-4.3316137917995832</v>
      </c>
      <c r="E91" s="8">
        <f t="shared" si="7"/>
        <v>4.3316137917995832</v>
      </c>
      <c r="F91" s="8">
        <f t="shared" si="8"/>
        <v>18.762878041308362</v>
      </c>
      <c r="G91" s="5">
        <f t="shared" si="9"/>
        <v>0.10564911687316056</v>
      </c>
    </row>
    <row r="92" spans="1:7" ht="15.75" customHeight="1">
      <c r="A92" s="3">
        <v>21641</v>
      </c>
      <c r="B92" s="4">
        <v>39</v>
      </c>
      <c r="C92">
        <f t="shared" si="5"/>
        <v>42.299484137539878</v>
      </c>
      <c r="D92" s="8">
        <f t="shared" si="6"/>
        <v>-3.2994841375398778</v>
      </c>
      <c r="E92" s="8">
        <f t="shared" si="7"/>
        <v>3.2994841375398778</v>
      </c>
      <c r="F92" s="8">
        <f t="shared" si="8"/>
        <v>10.886595573877271</v>
      </c>
      <c r="G92" s="5">
        <f t="shared" si="9"/>
        <v>8.4602157372817385E-2</v>
      </c>
    </row>
    <row r="93" spans="1:7" ht="15.75" customHeight="1">
      <c r="A93" s="3">
        <v>21642</v>
      </c>
      <c r="B93" s="4">
        <v>41</v>
      </c>
      <c r="C93">
        <f t="shared" si="5"/>
        <v>39.98984524126196</v>
      </c>
      <c r="D93" s="8">
        <f t="shared" si="6"/>
        <v>1.0101547587380395</v>
      </c>
      <c r="E93" s="8">
        <f t="shared" si="7"/>
        <v>1.0101547587380395</v>
      </c>
      <c r="F93" s="8">
        <f t="shared" si="8"/>
        <v>1.0204126366011068</v>
      </c>
      <c r="G93" s="5">
        <f t="shared" si="9"/>
        <v>2.4637920944830232E-2</v>
      </c>
    </row>
    <row r="94" spans="1:7" ht="15.75" customHeight="1">
      <c r="A94" s="3">
        <v>21643</v>
      </c>
      <c r="B94" s="4">
        <v>47</v>
      </c>
      <c r="C94">
        <f t="shared" si="5"/>
        <v>40.69695357237859</v>
      </c>
      <c r="D94" s="8">
        <f t="shared" si="6"/>
        <v>6.3030464276214104</v>
      </c>
      <c r="E94" s="8">
        <f t="shared" si="7"/>
        <v>6.3030464276214104</v>
      </c>
      <c r="F94" s="8">
        <f t="shared" si="8"/>
        <v>39.728394268751025</v>
      </c>
      <c r="G94" s="5">
        <f t="shared" si="9"/>
        <v>0.13410737080045554</v>
      </c>
    </row>
    <row r="95" spans="1:7" ht="15.75" customHeight="1">
      <c r="A95" s="3">
        <v>21644</v>
      </c>
      <c r="B95" s="4">
        <v>34</v>
      </c>
      <c r="C95">
        <f t="shared" si="5"/>
        <v>45.109086071713577</v>
      </c>
      <c r="D95" s="8">
        <f t="shared" si="6"/>
        <v>-11.109086071713577</v>
      </c>
      <c r="E95" s="8">
        <f t="shared" si="7"/>
        <v>11.109086071713577</v>
      </c>
      <c r="F95" s="8">
        <f t="shared" si="8"/>
        <v>123.41179334874059</v>
      </c>
      <c r="G95" s="5">
        <f t="shared" si="9"/>
        <v>0.32673782563863463</v>
      </c>
    </row>
    <row r="96" spans="1:7" ht="15.75" customHeight="1">
      <c r="A96" s="3">
        <v>21645</v>
      </c>
      <c r="B96" s="4">
        <v>36</v>
      </c>
      <c r="C96">
        <f t="shared" si="5"/>
        <v>37.332725821514067</v>
      </c>
      <c r="D96" s="8">
        <f t="shared" si="6"/>
        <v>-1.3327258215140674</v>
      </c>
      <c r="E96" s="8">
        <f t="shared" si="7"/>
        <v>1.3327258215140674</v>
      </c>
      <c r="F96" s="8">
        <f t="shared" si="8"/>
        <v>1.7761581153303458</v>
      </c>
      <c r="G96" s="5">
        <f t="shared" si="9"/>
        <v>3.7020161708724096E-2</v>
      </c>
    </row>
    <row r="97" spans="1:7" ht="15.75" customHeight="1">
      <c r="A97" s="3">
        <v>21646</v>
      </c>
      <c r="B97" s="4">
        <v>33</v>
      </c>
      <c r="C97">
        <f t="shared" si="5"/>
        <v>36.399817746454218</v>
      </c>
      <c r="D97" s="8">
        <f t="shared" si="6"/>
        <v>-3.3998177464542181</v>
      </c>
      <c r="E97" s="8">
        <f t="shared" si="7"/>
        <v>3.3998177464542181</v>
      </c>
      <c r="F97" s="8">
        <f t="shared" si="8"/>
        <v>11.558760709105037</v>
      </c>
      <c r="G97" s="5">
        <f t="shared" si="9"/>
        <v>0.10302478019558237</v>
      </c>
    </row>
    <row r="98" spans="1:7" ht="15.75" customHeight="1">
      <c r="A98" s="3">
        <v>21647</v>
      </c>
      <c r="B98" s="4">
        <v>35</v>
      </c>
      <c r="C98">
        <f t="shared" si="5"/>
        <v>34.019945323936263</v>
      </c>
      <c r="D98" s="8">
        <f t="shared" si="6"/>
        <v>0.98005467606373742</v>
      </c>
      <c r="E98" s="8">
        <f t="shared" si="7"/>
        <v>0.98005467606373742</v>
      </c>
      <c r="F98" s="8">
        <f t="shared" si="8"/>
        <v>0.96050716807439729</v>
      </c>
      <c r="G98" s="5">
        <f t="shared" si="9"/>
        <v>2.8001562173249641E-2</v>
      </c>
    </row>
    <row r="99" spans="1:7" ht="15.75" customHeight="1">
      <c r="A99" s="3">
        <v>21648</v>
      </c>
      <c r="B99" s="4">
        <v>38</v>
      </c>
      <c r="C99">
        <f t="shared" si="5"/>
        <v>34.705983597180875</v>
      </c>
      <c r="D99" s="8">
        <f t="shared" si="6"/>
        <v>3.2940164028191248</v>
      </c>
      <c r="E99" s="8">
        <f t="shared" si="7"/>
        <v>3.2940164028191248</v>
      </c>
      <c r="F99" s="8">
        <f t="shared" si="8"/>
        <v>10.850544062041447</v>
      </c>
      <c r="G99" s="5">
        <f t="shared" si="9"/>
        <v>8.6684642179450655E-2</v>
      </c>
    </row>
    <row r="100" spans="1:7" ht="15.75" customHeight="1">
      <c r="A100" s="3">
        <v>21649</v>
      </c>
      <c r="B100" s="4">
        <v>38</v>
      </c>
      <c r="C100">
        <f t="shared" si="5"/>
        <v>37.011795079154261</v>
      </c>
      <c r="D100" s="8">
        <f t="shared" si="6"/>
        <v>0.98820492084573885</v>
      </c>
      <c r="E100" s="8">
        <f t="shared" si="7"/>
        <v>0.98820492084573885</v>
      </c>
      <c r="F100" s="8">
        <f t="shared" si="8"/>
        <v>0.97654896558373294</v>
      </c>
      <c r="G100" s="5">
        <f t="shared" si="9"/>
        <v>2.6005392653835235E-2</v>
      </c>
    </row>
    <row r="101" spans="1:7" ht="15.75" customHeight="1">
      <c r="A101" s="3">
        <v>21650</v>
      </c>
      <c r="B101" s="4">
        <v>34</v>
      </c>
      <c r="C101">
        <f t="shared" si="5"/>
        <v>37.703538523746275</v>
      </c>
      <c r="D101" s="8">
        <f t="shared" si="6"/>
        <v>-3.7035385237462748</v>
      </c>
      <c r="E101" s="8">
        <f t="shared" si="7"/>
        <v>3.7035385237462748</v>
      </c>
      <c r="F101" s="8">
        <f t="shared" si="8"/>
        <v>13.716197596872737</v>
      </c>
      <c r="G101" s="5">
        <f t="shared" si="9"/>
        <v>0.10892760363959632</v>
      </c>
    </row>
    <row r="102" spans="1:7" ht="15.75" customHeight="1">
      <c r="A102" s="3">
        <v>21651</v>
      </c>
      <c r="B102" s="4">
        <v>53</v>
      </c>
      <c r="C102">
        <f t="shared" si="5"/>
        <v>35.111061557123875</v>
      </c>
      <c r="D102" s="8">
        <f t="shared" si="6"/>
        <v>17.888938442876125</v>
      </c>
      <c r="E102" s="8">
        <f t="shared" si="7"/>
        <v>17.888938442876125</v>
      </c>
      <c r="F102" s="8">
        <f t="shared" si="8"/>
        <v>320.01411861301125</v>
      </c>
      <c r="G102" s="5">
        <f t="shared" si="9"/>
        <v>0.33752714043162502</v>
      </c>
    </row>
    <row r="103" spans="1:7" ht="15.75" customHeight="1">
      <c r="A103" s="3">
        <v>21652</v>
      </c>
      <c r="B103" s="4">
        <v>34</v>
      </c>
      <c r="C103">
        <f t="shared" si="5"/>
        <v>47.633318467137158</v>
      </c>
      <c r="D103" s="8">
        <f t="shared" si="6"/>
        <v>-13.633318467137158</v>
      </c>
      <c r="E103" s="8">
        <f t="shared" si="7"/>
        <v>13.633318467137158</v>
      </c>
      <c r="F103" s="8">
        <f t="shared" si="8"/>
        <v>185.86737242638307</v>
      </c>
      <c r="G103" s="5">
        <f t="shared" si="9"/>
        <v>0.4009799549157988</v>
      </c>
    </row>
    <row r="104" spans="1:7" ht="15.75" customHeight="1">
      <c r="A104" s="3">
        <v>21653</v>
      </c>
      <c r="B104" s="4">
        <v>34</v>
      </c>
      <c r="C104">
        <f t="shared" si="5"/>
        <v>38.089995540141146</v>
      </c>
      <c r="D104" s="8">
        <f t="shared" si="6"/>
        <v>-4.0899955401411461</v>
      </c>
      <c r="E104" s="8">
        <f t="shared" si="7"/>
        <v>4.0899955401411461</v>
      </c>
      <c r="F104" s="8">
        <f t="shared" si="8"/>
        <v>16.728063518374466</v>
      </c>
      <c r="G104" s="5">
        <f t="shared" si="9"/>
        <v>0.12029398647473959</v>
      </c>
    </row>
    <row r="105" spans="1:7" ht="15.75" customHeight="1">
      <c r="A105" s="3">
        <v>21654</v>
      </c>
      <c r="B105" s="4">
        <v>38</v>
      </c>
      <c r="C105">
        <f t="shared" si="5"/>
        <v>35.226998662042341</v>
      </c>
      <c r="D105" s="8">
        <f t="shared" si="6"/>
        <v>2.773001337957659</v>
      </c>
      <c r="E105" s="8">
        <f t="shared" si="7"/>
        <v>2.773001337957659</v>
      </c>
      <c r="F105" s="8">
        <f t="shared" si="8"/>
        <v>7.6895364203149672</v>
      </c>
      <c r="G105" s="5">
        <f t="shared" si="9"/>
        <v>7.2973719419938396E-2</v>
      </c>
    </row>
    <row r="106" spans="1:7" ht="15.75" customHeight="1">
      <c r="A106" s="3">
        <v>21655</v>
      </c>
      <c r="B106" s="4">
        <v>35</v>
      </c>
      <c r="C106">
        <f t="shared" si="5"/>
        <v>37.168099598612699</v>
      </c>
      <c r="D106" s="8">
        <f t="shared" si="6"/>
        <v>-2.1680995986126987</v>
      </c>
      <c r="E106" s="8">
        <f t="shared" si="7"/>
        <v>2.1680995986126987</v>
      </c>
      <c r="F106" s="8">
        <f t="shared" si="8"/>
        <v>4.7006558695045451</v>
      </c>
      <c r="G106" s="5">
        <f t="shared" si="9"/>
        <v>6.194570281750568E-2</v>
      </c>
    </row>
    <row r="107" spans="1:7" ht="15.75" customHeight="1">
      <c r="A107" s="3">
        <v>21656</v>
      </c>
      <c r="B107" s="4">
        <v>32</v>
      </c>
      <c r="C107">
        <f t="shared" si="5"/>
        <v>35.650429879583811</v>
      </c>
      <c r="D107" s="8">
        <f t="shared" si="6"/>
        <v>-3.650429879583811</v>
      </c>
      <c r="E107" s="8">
        <f t="shared" si="7"/>
        <v>3.650429879583811</v>
      </c>
      <c r="F107" s="8">
        <f t="shared" si="8"/>
        <v>13.325638305758277</v>
      </c>
      <c r="G107" s="5">
        <f t="shared" si="9"/>
        <v>0.1140759337369941</v>
      </c>
    </row>
    <row r="108" spans="1:7" ht="15.75" customHeight="1">
      <c r="A108" s="3">
        <v>21657</v>
      </c>
      <c r="B108" s="4">
        <v>42</v>
      </c>
      <c r="C108">
        <f t="shared" si="5"/>
        <v>33.09512896387514</v>
      </c>
      <c r="D108" s="8">
        <f t="shared" si="6"/>
        <v>8.9048710361248595</v>
      </c>
      <c r="E108" s="8">
        <f t="shared" si="7"/>
        <v>8.9048710361248595</v>
      </c>
      <c r="F108" s="8">
        <f t="shared" si="8"/>
        <v>79.296728170015427</v>
      </c>
      <c r="G108" s="5">
        <f t="shared" si="9"/>
        <v>0.21202073895535381</v>
      </c>
    </row>
    <row r="109" spans="1:7" ht="15.75" customHeight="1">
      <c r="A109" s="3">
        <v>21658</v>
      </c>
      <c r="B109" s="4">
        <v>34</v>
      </c>
      <c r="C109">
        <f t="shared" si="5"/>
        <v>39.328538689162542</v>
      </c>
      <c r="D109" s="8">
        <f t="shared" si="6"/>
        <v>-5.3285386891625421</v>
      </c>
      <c r="E109" s="8">
        <f t="shared" si="7"/>
        <v>5.3285386891625421</v>
      </c>
      <c r="F109" s="8">
        <f t="shared" si="8"/>
        <v>28.393324561902062</v>
      </c>
      <c r="G109" s="5">
        <f t="shared" si="9"/>
        <v>0.15672172615183946</v>
      </c>
    </row>
    <row r="110" spans="1:7" ht="15.75" customHeight="1">
      <c r="A110" s="3">
        <v>21659</v>
      </c>
      <c r="B110" s="4">
        <v>46</v>
      </c>
      <c r="C110">
        <f t="shared" si="5"/>
        <v>35.59856160674876</v>
      </c>
      <c r="D110" s="8">
        <f t="shared" si="6"/>
        <v>10.40143839325124</v>
      </c>
      <c r="E110" s="8">
        <f t="shared" si="7"/>
        <v>10.40143839325124</v>
      </c>
      <c r="F110" s="8">
        <f t="shared" si="8"/>
        <v>108.18992064860095</v>
      </c>
      <c r="G110" s="5">
        <f t="shared" si="9"/>
        <v>0.22611822594024436</v>
      </c>
    </row>
    <row r="111" spans="1:7" ht="15.75" customHeight="1">
      <c r="A111" s="3">
        <v>21660</v>
      </c>
      <c r="B111" s="4">
        <v>30</v>
      </c>
      <c r="C111">
        <f t="shared" si="5"/>
        <v>42.879568482024624</v>
      </c>
      <c r="D111" s="8">
        <f t="shared" si="6"/>
        <v>-12.879568482024624</v>
      </c>
      <c r="E111" s="8">
        <f t="shared" si="7"/>
        <v>12.879568482024624</v>
      </c>
      <c r="F111" s="8">
        <f t="shared" si="8"/>
        <v>165.88328428316206</v>
      </c>
      <c r="G111" s="5">
        <f t="shared" si="9"/>
        <v>0.42931894940082077</v>
      </c>
    </row>
    <row r="112" spans="1:7" ht="15.75" customHeight="1">
      <c r="A112" s="3">
        <v>21661</v>
      </c>
      <c r="B112" s="4">
        <v>46</v>
      </c>
      <c r="C112">
        <f t="shared" si="5"/>
        <v>33.863870544607387</v>
      </c>
      <c r="D112" s="8">
        <f t="shared" si="6"/>
        <v>12.136129455392613</v>
      </c>
      <c r="E112" s="8">
        <f t="shared" si="7"/>
        <v>12.136129455392613</v>
      </c>
      <c r="F112" s="8">
        <f t="shared" si="8"/>
        <v>147.28563815804819</v>
      </c>
      <c r="G112" s="5">
        <f t="shared" si="9"/>
        <v>0.26382890120418723</v>
      </c>
    </row>
    <row r="113" spans="1:7" ht="15.75" customHeight="1">
      <c r="A113" s="3">
        <v>21662</v>
      </c>
      <c r="B113" s="4">
        <v>45</v>
      </c>
      <c r="C113">
        <f t="shared" si="5"/>
        <v>42.359161163382211</v>
      </c>
      <c r="D113" s="8">
        <f t="shared" si="6"/>
        <v>2.6408388366177888</v>
      </c>
      <c r="E113" s="8">
        <f t="shared" si="7"/>
        <v>2.6408388366177888</v>
      </c>
      <c r="F113" s="8">
        <f t="shared" si="8"/>
        <v>6.9740297609887962</v>
      </c>
      <c r="G113" s="5">
        <f t="shared" si="9"/>
        <v>5.8685307480395306E-2</v>
      </c>
    </row>
    <row r="114" spans="1:7" ht="15.75" customHeight="1">
      <c r="A114" s="3">
        <v>21663</v>
      </c>
      <c r="B114" s="4">
        <v>54</v>
      </c>
      <c r="C114">
        <f t="shared" si="5"/>
        <v>44.207748349014658</v>
      </c>
      <c r="D114" s="8">
        <f t="shared" si="6"/>
        <v>9.7922516509853423</v>
      </c>
      <c r="E114" s="8">
        <f t="shared" si="7"/>
        <v>9.7922516509853423</v>
      </c>
      <c r="F114" s="8">
        <f t="shared" si="8"/>
        <v>95.888192396225165</v>
      </c>
      <c r="G114" s="5">
        <f t="shared" si="9"/>
        <v>0.18133799353676561</v>
      </c>
    </row>
    <row r="115" spans="1:7" ht="15.75" customHeight="1">
      <c r="A115" s="3">
        <v>21664</v>
      </c>
      <c r="B115" s="4">
        <v>34</v>
      </c>
      <c r="C115">
        <f t="shared" si="5"/>
        <v>51.062324504704392</v>
      </c>
      <c r="D115" s="8">
        <f t="shared" si="6"/>
        <v>-17.062324504704392</v>
      </c>
      <c r="E115" s="8">
        <f t="shared" si="7"/>
        <v>17.062324504704392</v>
      </c>
      <c r="F115" s="8">
        <f t="shared" si="8"/>
        <v>291.12291750383599</v>
      </c>
      <c r="G115" s="5">
        <f t="shared" si="9"/>
        <v>0.5018330736677763</v>
      </c>
    </row>
    <row r="116" spans="1:7" ht="15.75" customHeight="1">
      <c r="A116" s="3">
        <v>21665</v>
      </c>
      <c r="B116" s="4">
        <v>37</v>
      </c>
      <c r="C116">
        <f t="shared" si="5"/>
        <v>39.118697351411313</v>
      </c>
      <c r="D116" s="8">
        <f t="shared" si="6"/>
        <v>-2.1186973514113134</v>
      </c>
      <c r="E116" s="8">
        <f t="shared" si="7"/>
        <v>2.1186973514113134</v>
      </c>
      <c r="F116" s="8">
        <f t="shared" si="8"/>
        <v>4.4888784668773143</v>
      </c>
      <c r="G116" s="5">
        <f t="shared" si="9"/>
        <v>5.7262090578684144E-2</v>
      </c>
    </row>
    <row r="117" spans="1:7" ht="15.75" customHeight="1">
      <c r="A117" s="3">
        <v>21666</v>
      </c>
      <c r="B117" s="4">
        <v>35</v>
      </c>
      <c r="C117">
        <f t="shared" si="5"/>
        <v>37.635609205423393</v>
      </c>
      <c r="D117" s="8">
        <f t="shared" si="6"/>
        <v>-2.6356092054233926</v>
      </c>
      <c r="E117" s="8">
        <f t="shared" si="7"/>
        <v>2.6356092054233926</v>
      </c>
      <c r="F117" s="8">
        <f t="shared" si="8"/>
        <v>6.9464358837125273</v>
      </c>
      <c r="G117" s="5">
        <f t="shared" si="9"/>
        <v>7.5303120154954079E-2</v>
      </c>
    </row>
    <row r="118" spans="1:7" ht="15.75" customHeight="1">
      <c r="A118" s="3">
        <v>21667</v>
      </c>
      <c r="B118" s="4">
        <v>40</v>
      </c>
      <c r="C118">
        <f t="shared" si="5"/>
        <v>35.790682761627018</v>
      </c>
      <c r="D118" s="8">
        <f t="shared" si="6"/>
        <v>4.2093172383729822</v>
      </c>
      <c r="E118" s="8">
        <f t="shared" si="7"/>
        <v>4.2093172383729822</v>
      </c>
      <c r="F118" s="8">
        <f t="shared" si="8"/>
        <v>17.718351613263948</v>
      </c>
      <c r="G118" s="5">
        <f t="shared" si="9"/>
        <v>0.10523293095932455</v>
      </c>
    </row>
    <row r="119" spans="1:7" ht="15.75" customHeight="1">
      <c r="A119" s="3">
        <v>21668</v>
      </c>
      <c r="B119" s="4">
        <v>42</v>
      </c>
      <c r="C119">
        <f t="shared" si="5"/>
        <v>38.737204828488103</v>
      </c>
      <c r="D119" s="8">
        <f t="shared" si="6"/>
        <v>3.2627951715118968</v>
      </c>
      <c r="E119" s="8">
        <f t="shared" si="7"/>
        <v>3.2627951715118968</v>
      </c>
      <c r="F119" s="8">
        <f t="shared" si="8"/>
        <v>10.645832331241348</v>
      </c>
      <c r="G119" s="5">
        <f t="shared" si="9"/>
        <v>7.7685599321711832E-2</v>
      </c>
    </row>
    <row r="120" spans="1:7" ht="15.75" customHeight="1">
      <c r="A120" s="3">
        <v>21669</v>
      </c>
      <c r="B120" s="4">
        <v>58</v>
      </c>
      <c r="C120">
        <f t="shared" si="5"/>
        <v>41.02116144854643</v>
      </c>
      <c r="D120" s="8">
        <f t="shared" si="6"/>
        <v>16.97883855145357</v>
      </c>
      <c r="E120" s="8">
        <f t="shared" si="7"/>
        <v>16.97883855145357</v>
      </c>
      <c r="F120" s="8">
        <f t="shared" si="8"/>
        <v>288.28095855632597</v>
      </c>
      <c r="G120" s="5">
        <f t="shared" si="9"/>
        <v>0.29273859571471672</v>
      </c>
    </row>
    <row r="121" spans="1:7" ht="15.75" customHeight="1">
      <c r="A121" s="3">
        <v>21670</v>
      </c>
      <c r="B121" s="4">
        <v>51</v>
      </c>
      <c r="C121">
        <f t="shared" si="5"/>
        <v>52.906348434563924</v>
      </c>
      <c r="D121" s="8">
        <f t="shared" si="6"/>
        <v>-1.9063484345639239</v>
      </c>
      <c r="E121" s="8">
        <f t="shared" si="7"/>
        <v>1.9063484345639239</v>
      </c>
      <c r="F121" s="8">
        <f t="shared" si="8"/>
        <v>3.6341643539643234</v>
      </c>
      <c r="G121" s="5">
        <f t="shared" si="9"/>
        <v>3.7379381069880861E-2</v>
      </c>
    </row>
    <row r="122" spans="1:7" ht="15.75" customHeight="1">
      <c r="A122" s="3">
        <v>21671</v>
      </c>
      <c r="B122" s="4">
        <v>32</v>
      </c>
      <c r="C122">
        <f t="shared" si="5"/>
        <v>51.571904530369174</v>
      </c>
      <c r="D122" s="8">
        <f t="shared" si="6"/>
        <v>-19.571904530369174</v>
      </c>
      <c r="E122" s="8">
        <f t="shared" si="7"/>
        <v>19.571904530369174</v>
      </c>
      <c r="F122" s="8">
        <f t="shared" si="8"/>
        <v>383.05944694588538</v>
      </c>
      <c r="G122" s="5">
        <f t="shared" si="9"/>
        <v>0.6116220165740367</v>
      </c>
    </row>
    <row r="123" spans="1:7" ht="15.75" customHeight="1">
      <c r="A123" s="3">
        <v>21672</v>
      </c>
      <c r="B123" s="4">
        <v>35</v>
      </c>
      <c r="C123">
        <f t="shared" si="5"/>
        <v>37.871571359110746</v>
      </c>
      <c r="D123" s="8">
        <f t="shared" si="6"/>
        <v>-2.8715713591107459</v>
      </c>
      <c r="E123" s="8">
        <f t="shared" si="7"/>
        <v>2.8715713591107459</v>
      </c>
      <c r="F123" s="8">
        <f t="shared" si="8"/>
        <v>8.2459220704651361</v>
      </c>
      <c r="G123" s="5">
        <f t="shared" si="9"/>
        <v>8.2044895974592746E-2</v>
      </c>
    </row>
    <row r="124" spans="1:7" ht="15.75" customHeight="1">
      <c r="A124" s="3">
        <v>21673</v>
      </c>
      <c r="B124" s="4">
        <v>38</v>
      </c>
      <c r="C124">
        <f t="shared" si="5"/>
        <v>35.86147140773322</v>
      </c>
      <c r="D124" s="8">
        <f t="shared" si="6"/>
        <v>2.1385285922667805</v>
      </c>
      <c r="E124" s="8">
        <f t="shared" si="7"/>
        <v>2.1385285922667805</v>
      </c>
      <c r="F124" s="8">
        <f t="shared" si="8"/>
        <v>4.573304539942538</v>
      </c>
      <c r="G124" s="5">
        <f t="shared" si="9"/>
        <v>5.6277068217546855E-2</v>
      </c>
    </row>
    <row r="125" spans="1:7" ht="15.75" customHeight="1">
      <c r="A125" s="3">
        <v>21674</v>
      </c>
      <c r="B125" s="4">
        <v>33</v>
      </c>
      <c r="C125">
        <f t="shared" si="5"/>
        <v>37.358441422319963</v>
      </c>
      <c r="D125" s="8">
        <f t="shared" si="6"/>
        <v>-4.358441422319963</v>
      </c>
      <c r="E125" s="8">
        <f t="shared" si="7"/>
        <v>4.358441422319963</v>
      </c>
      <c r="F125" s="8">
        <f t="shared" si="8"/>
        <v>18.996011631794463</v>
      </c>
      <c r="G125" s="5">
        <f t="shared" si="9"/>
        <v>0.13207398249454433</v>
      </c>
    </row>
    <row r="126" spans="1:7" ht="15.75" customHeight="1">
      <c r="A126" s="3">
        <v>21675</v>
      </c>
      <c r="B126" s="4">
        <v>39</v>
      </c>
      <c r="C126">
        <f t="shared" si="5"/>
        <v>34.307532426695985</v>
      </c>
      <c r="D126" s="8">
        <f t="shared" si="6"/>
        <v>4.6924675733040146</v>
      </c>
      <c r="E126" s="8">
        <f t="shared" si="7"/>
        <v>4.6924675733040146</v>
      </c>
      <c r="F126" s="8">
        <f t="shared" si="8"/>
        <v>22.019251926509668</v>
      </c>
      <c r="G126" s="5">
        <f t="shared" si="9"/>
        <v>0.12031968136676961</v>
      </c>
    </row>
    <row r="127" spans="1:7" ht="15.75" customHeight="1">
      <c r="A127" s="3">
        <v>21676</v>
      </c>
      <c r="B127" s="4">
        <v>47</v>
      </c>
      <c r="C127">
        <f t="shared" si="5"/>
        <v>37.592259728008791</v>
      </c>
      <c r="D127" s="8">
        <f t="shared" si="6"/>
        <v>9.4077402719912087</v>
      </c>
      <c r="E127" s="8">
        <f t="shared" si="7"/>
        <v>9.4077402719912087</v>
      </c>
      <c r="F127" s="8">
        <f t="shared" si="8"/>
        <v>88.505577025245216</v>
      </c>
      <c r="G127" s="5">
        <f t="shared" si="9"/>
        <v>0.20016468663811082</v>
      </c>
    </row>
    <row r="128" spans="1:7" ht="15.75" customHeight="1">
      <c r="A128" s="3">
        <v>21677</v>
      </c>
      <c r="B128" s="4">
        <v>38</v>
      </c>
      <c r="C128">
        <f t="shared" si="5"/>
        <v>44.177677918402637</v>
      </c>
      <c r="D128" s="8">
        <f t="shared" si="6"/>
        <v>-6.1776779184026367</v>
      </c>
      <c r="E128" s="8">
        <f t="shared" si="7"/>
        <v>6.1776779184026367</v>
      </c>
      <c r="F128" s="8">
        <f t="shared" si="8"/>
        <v>38.163704463519537</v>
      </c>
      <c r="G128" s="5">
        <f t="shared" si="9"/>
        <v>0.16257047153691148</v>
      </c>
    </row>
    <row r="129" spans="1:7" ht="15.75" customHeight="1">
      <c r="A129" s="3">
        <v>21678</v>
      </c>
      <c r="B129" s="4">
        <v>52</v>
      </c>
      <c r="C129">
        <f t="shared" si="5"/>
        <v>39.853303375520788</v>
      </c>
      <c r="D129" s="8">
        <f t="shared" si="6"/>
        <v>12.146696624479212</v>
      </c>
      <c r="E129" s="8">
        <f t="shared" si="7"/>
        <v>12.146696624479212</v>
      </c>
      <c r="F129" s="8">
        <f t="shared" si="8"/>
        <v>147.54223888713469</v>
      </c>
      <c r="G129" s="5">
        <f t="shared" si="9"/>
        <v>0.2335903197015233</v>
      </c>
    </row>
    <row r="130" spans="1:7" ht="15.75" customHeight="1">
      <c r="A130" s="3">
        <v>21679</v>
      </c>
      <c r="B130" s="4">
        <v>30</v>
      </c>
      <c r="C130">
        <f t="shared" si="5"/>
        <v>48.355991012656233</v>
      </c>
      <c r="D130" s="8">
        <f t="shared" si="6"/>
        <v>-18.355991012656233</v>
      </c>
      <c r="E130" s="8">
        <f t="shared" si="7"/>
        <v>18.355991012656233</v>
      </c>
      <c r="F130" s="8">
        <f t="shared" si="8"/>
        <v>336.94240605671638</v>
      </c>
      <c r="G130" s="5">
        <f t="shared" si="9"/>
        <v>0.61186636708854114</v>
      </c>
    </row>
    <row r="131" spans="1:7" ht="15.75" customHeight="1">
      <c r="A131" s="3">
        <v>21680</v>
      </c>
      <c r="B131" s="4">
        <v>34</v>
      </c>
      <c r="C131">
        <f t="shared" si="5"/>
        <v>35.506797303796873</v>
      </c>
      <c r="D131" s="8">
        <f t="shared" si="6"/>
        <v>-1.5067973037968727</v>
      </c>
      <c r="E131" s="8">
        <f t="shared" si="7"/>
        <v>1.5067973037968727</v>
      </c>
      <c r="F131" s="8">
        <f t="shared" si="8"/>
        <v>2.2704381147295249</v>
      </c>
      <c r="G131" s="5">
        <f t="shared" si="9"/>
        <v>4.4317567758731552E-2</v>
      </c>
    </row>
    <row r="132" spans="1:7" ht="15.75" customHeight="1">
      <c r="A132" s="3">
        <v>21681</v>
      </c>
      <c r="B132" s="4">
        <v>40</v>
      </c>
      <c r="C132">
        <f t="shared" ref="C132:C195" si="10">0.7*B131+0.3*C131</f>
        <v>34.452039191139058</v>
      </c>
      <c r="D132" s="8">
        <f t="shared" ref="D132:D195" si="11">B132-C132</f>
        <v>5.5479608088609424</v>
      </c>
      <c r="E132" s="8">
        <f t="shared" ref="E132:E195" si="12">ABS(D132)</f>
        <v>5.5479608088609424</v>
      </c>
      <c r="F132" s="8">
        <f t="shared" ref="F132:F195" si="13">E132^2</f>
        <v>30.779869136656963</v>
      </c>
      <c r="G132" s="5">
        <f t="shared" ref="G132:G195" si="14">E132/B132</f>
        <v>0.13869902022152356</v>
      </c>
    </row>
    <row r="133" spans="1:7" ht="15.75" customHeight="1">
      <c r="A133" s="3">
        <v>21682</v>
      </c>
      <c r="B133" s="4">
        <v>35</v>
      </c>
      <c r="C133">
        <f t="shared" si="10"/>
        <v>38.335611757341717</v>
      </c>
      <c r="D133" s="8">
        <f t="shared" si="11"/>
        <v>-3.3356117573417166</v>
      </c>
      <c r="E133" s="8">
        <f t="shared" si="12"/>
        <v>3.3356117573417166</v>
      </c>
      <c r="F133" s="8">
        <f t="shared" si="13"/>
        <v>11.126305795716295</v>
      </c>
      <c r="G133" s="5">
        <f t="shared" si="14"/>
        <v>9.5303193066906183E-2</v>
      </c>
    </row>
    <row r="134" spans="1:7" ht="15.75" customHeight="1">
      <c r="A134" s="3">
        <v>21683</v>
      </c>
      <c r="B134" s="4">
        <v>42</v>
      </c>
      <c r="C134">
        <f t="shared" si="10"/>
        <v>36.000683527202511</v>
      </c>
      <c r="D134" s="8">
        <f t="shared" si="11"/>
        <v>5.9993164727974886</v>
      </c>
      <c r="E134" s="8">
        <f t="shared" si="12"/>
        <v>5.9993164727974886</v>
      </c>
      <c r="F134" s="8">
        <f t="shared" si="13"/>
        <v>35.991798140779302</v>
      </c>
      <c r="G134" s="5">
        <f t="shared" si="14"/>
        <v>0.1428408683999402</v>
      </c>
    </row>
    <row r="135" spans="1:7" ht="15.75" customHeight="1">
      <c r="A135" s="3">
        <v>21684</v>
      </c>
      <c r="B135" s="4">
        <v>41</v>
      </c>
      <c r="C135">
        <f t="shared" si="10"/>
        <v>40.200205058160748</v>
      </c>
      <c r="D135" s="8">
        <f t="shared" si="11"/>
        <v>0.79979494183925226</v>
      </c>
      <c r="E135" s="8">
        <f t="shared" si="12"/>
        <v>0.79979494183925226</v>
      </c>
      <c r="F135" s="8">
        <f t="shared" si="13"/>
        <v>0.63967194899165292</v>
      </c>
      <c r="G135" s="5">
        <f t="shared" si="14"/>
        <v>1.9507193703396396E-2</v>
      </c>
    </row>
    <row r="136" spans="1:7" ht="15.75" customHeight="1">
      <c r="A136" s="3">
        <v>21685</v>
      </c>
      <c r="B136" s="4">
        <v>42</v>
      </c>
      <c r="C136">
        <f t="shared" si="10"/>
        <v>40.760061517448221</v>
      </c>
      <c r="D136" s="8">
        <f t="shared" si="11"/>
        <v>1.2399384825517785</v>
      </c>
      <c r="E136" s="8">
        <f t="shared" si="12"/>
        <v>1.2399384825517785</v>
      </c>
      <c r="F136" s="8">
        <f t="shared" si="13"/>
        <v>1.5374474405128071</v>
      </c>
      <c r="G136" s="5">
        <f t="shared" si="14"/>
        <v>2.9522344822661393E-2</v>
      </c>
    </row>
    <row r="137" spans="1:7" ht="15.75" customHeight="1">
      <c r="A137" s="3">
        <v>21686</v>
      </c>
      <c r="B137" s="4">
        <v>38</v>
      </c>
      <c r="C137">
        <f t="shared" si="10"/>
        <v>41.628018455234468</v>
      </c>
      <c r="D137" s="8">
        <f t="shared" si="11"/>
        <v>-3.6280184552344679</v>
      </c>
      <c r="E137" s="8">
        <f t="shared" si="12"/>
        <v>3.6280184552344679</v>
      </c>
      <c r="F137" s="8">
        <f t="shared" si="13"/>
        <v>13.162517911521894</v>
      </c>
      <c r="G137" s="5">
        <f t="shared" si="14"/>
        <v>9.5474169874591258E-2</v>
      </c>
    </row>
    <row r="138" spans="1:7" ht="15.75" customHeight="1">
      <c r="A138" s="3">
        <v>21687</v>
      </c>
      <c r="B138" s="4">
        <v>24</v>
      </c>
      <c r="C138">
        <f t="shared" si="10"/>
        <v>39.088405536570335</v>
      </c>
      <c r="D138" s="8">
        <f t="shared" si="11"/>
        <v>-15.088405536570335</v>
      </c>
      <c r="E138" s="8">
        <f t="shared" si="12"/>
        <v>15.088405536570335</v>
      </c>
      <c r="F138" s="8">
        <f t="shared" si="13"/>
        <v>227.65998163600634</v>
      </c>
      <c r="G138" s="5">
        <f t="shared" si="14"/>
        <v>0.62868356402376391</v>
      </c>
    </row>
    <row r="139" spans="1:7" ht="15.75" customHeight="1">
      <c r="A139" s="3">
        <v>21688</v>
      </c>
      <c r="B139" s="4">
        <v>34</v>
      </c>
      <c r="C139">
        <f t="shared" si="10"/>
        <v>28.526521660971099</v>
      </c>
      <c r="D139" s="8">
        <f t="shared" si="11"/>
        <v>5.473478339028901</v>
      </c>
      <c r="E139" s="8">
        <f t="shared" si="12"/>
        <v>5.473478339028901</v>
      </c>
      <c r="F139" s="8">
        <f t="shared" si="13"/>
        <v>29.958965127818576</v>
      </c>
      <c r="G139" s="5">
        <f t="shared" si="14"/>
        <v>0.1609846570302618</v>
      </c>
    </row>
    <row r="140" spans="1:7" ht="15.75" customHeight="1">
      <c r="A140" s="3">
        <v>21689</v>
      </c>
      <c r="B140" s="4">
        <v>43</v>
      </c>
      <c r="C140">
        <f t="shared" si="10"/>
        <v>32.35795649829133</v>
      </c>
      <c r="D140" s="8">
        <f t="shared" si="11"/>
        <v>10.64204350170867</v>
      </c>
      <c r="E140" s="8">
        <f t="shared" si="12"/>
        <v>10.64204350170867</v>
      </c>
      <c r="F140" s="8">
        <f t="shared" si="13"/>
        <v>113.25308989225974</v>
      </c>
      <c r="G140" s="5">
        <f t="shared" si="14"/>
        <v>0.24748938376066676</v>
      </c>
    </row>
    <row r="141" spans="1:7" ht="15.75" customHeight="1">
      <c r="A141" s="3">
        <v>21690</v>
      </c>
      <c r="B141" s="4">
        <v>36</v>
      </c>
      <c r="C141">
        <f t="shared" si="10"/>
        <v>39.807386949487395</v>
      </c>
      <c r="D141" s="8">
        <f t="shared" si="11"/>
        <v>-3.8073869494873946</v>
      </c>
      <c r="E141" s="8">
        <f t="shared" si="12"/>
        <v>3.8073869494873946</v>
      </c>
      <c r="F141" s="8">
        <f t="shared" si="13"/>
        <v>14.496195383126929</v>
      </c>
      <c r="G141" s="5">
        <f t="shared" si="14"/>
        <v>0.10576074859687207</v>
      </c>
    </row>
    <row r="142" spans="1:7" ht="15.75" customHeight="1">
      <c r="A142" s="3">
        <v>21691</v>
      </c>
      <c r="B142" s="4">
        <v>55</v>
      </c>
      <c r="C142">
        <f t="shared" si="10"/>
        <v>37.142216084846218</v>
      </c>
      <c r="D142" s="8">
        <f t="shared" si="11"/>
        <v>17.857783915153782</v>
      </c>
      <c r="E142" s="8">
        <f t="shared" si="12"/>
        <v>17.857783915153782</v>
      </c>
      <c r="F142" s="8">
        <f t="shared" si="13"/>
        <v>318.90044636032513</v>
      </c>
      <c r="G142" s="5">
        <f t="shared" si="14"/>
        <v>0.32468698027552328</v>
      </c>
    </row>
    <row r="143" spans="1:7" ht="15.75" customHeight="1">
      <c r="A143" s="3">
        <v>21692</v>
      </c>
      <c r="B143" s="4">
        <v>41</v>
      </c>
      <c r="C143">
        <f t="shared" si="10"/>
        <v>49.642664825453863</v>
      </c>
      <c r="D143" s="8">
        <f t="shared" si="11"/>
        <v>-8.6426648254538634</v>
      </c>
      <c r="E143" s="8">
        <f t="shared" si="12"/>
        <v>8.6426648254538634</v>
      </c>
      <c r="F143" s="8">
        <f t="shared" si="13"/>
        <v>74.695655285137462</v>
      </c>
      <c r="G143" s="5">
        <f t="shared" si="14"/>
        <v>0.21079670305985032</v>
      </c>
    </row>
    <row r="144" spans="1:7" ht="15.75" customHeight="1">
      <c r="A144" s="3">
        <v>21693</v>
      </c>
      <c r="B144" s="4">
        <v>45</v>
      </c>
      <c r="C144">
        <f t="shared" si="10"/>
        <v>43.592799447636153</v>
      </c>
      <c r="D144" s="8">
        <f t="shared" si="11"/>
        <v>1.4072005523638467</v>
      </c>
      <c r="E144" s="8">
        <f t="shared" si="12"/>
        <v>1.4072005523638467</v>
      </c>
      <c r="F144" s="8">
        <f t="shared" si="13"/>
        <v>1.9802133945731151</v>
      </c>
      <c r="G144" s="5">
        <f t="shared" si="14"/>
        <v>3.1271123385863256E-2</v>
      </c>
    </row>
    <row r="145" spans="1:7" ht="15.75" customHeight="1">
      <c r="A145" s="3">
        <v>21694</v>
      </c>
      <c r="B145" s="4">
        <v>41</v>
      </c>
      <c r="C145">
        <f t="shared" si="10"/>
        <v>44.577839834290842</v>
      </c>
      <c r="D145" s="8">
        <f t="shared" si="11"/>
        <v>-3.5778398342908417</v>
      </c>
      <c r="E145" s="8">
        <f t="shared" si="12"/>
        <v>3.5778398342908417</v>
      </c>
      <c r="F145" s="8">
        <f t="shared" si="13"/>
        <v>12.800937879838317</v>
      </c>
      <c r="G145" s="5">
        <f t="shared" si="14"/>
        <v>8.7264386202215646E-2</v>
      </c>
    </row>
    <row r="146" spans="1:7" ht="15.75" customHeight="1">
      <c r="A146" s="3">
        <v>21695</v>
      </c>
      <c r="B146" s="4">
        <v>37</v>
      </c>
      <c r="C146">
        <f t="shared" si="10"/>
        <v>42.073351950287254</v>
      </c>
      <c r="D146" s="8">
        <f t="shared" si="11"/>
        <v>-5.0733519502872539</v>
      </c>
      <c r="E146" s="8">
        <f t="shared" si="12"/>
        <v>5.0733519502872539</v>
      </c>
      <c r="F146" s="8">
        <f t="shared" si="13"/>
        <v>25.738900011483484</v>
      </c>
      <c r="G146" s="5">
        <f t="shared" si="14"/>
        <v>0.1371176202780339</v>
      </c>
    </row>
    <row r="147" spans="1:7" ht="15.75" customHeight="1">
      <c r="A147" s="3">
        <v>21696</v>
      </c>
      <c r="B147" s="4">
        <v>43</v>
      </c>
      <c r="C147">
        <f t="shared" si="10"/>
        <v>38.522005585086177</v>
      </c>
      <c r="D147" s="8">
        <f t="shared" si="11"/>
        <v>4.4779944149138231</v>
      </c>
      <c r="E147" s="8">
        <f t="shared" si="12"/>
        <v>4.4779944149138231</v>
      </c>
      <c r="F147" s="8">
        <f t="shared" si="13"/>
        <v>20.052433979999392</v>
      </c>
      <c r="G147" s="5">
        <f t="shared" si="14"/>
        <v>0.10413940499799589</v>
      </c>
    </row>
    <row r="148" spans="1:7" ht="15.75" customHeight="1">
      <c r="A148" s="3">
        <v>21697</v>
      </c>
      <c r="B148" s="4">
        <v>39</v>
      </c>
      <c r="C148">
        <f t="shared" si="10"/>
        <v>41.656601675525849</v>
      </c>
      <c r="D148" s="8">
        <f t="shared" si="11"/>
        <v>-2.6566016755258488</v>
      </c>
      <c r="E148" s="8">
        <f t="shared" si="12"/>
        <v>2.6566016755258488</v>
      </c>
      <c r="F148" s="8">
        <f t="shared" si="13"/>
        <v>7.0575324624067477</v>
      </c>
      <c r="G148" s="5">
        <f t="shared" si="14"/>
        <v>6.8117991680149967E-2</v>
      </c>
    </row>
    <row r="149" spans="1:7" ht="15.75" customHeight="1">
      <c r="A149" s="3">
        <v>21698</v>
      </c>
      <c r="B149" s="4">
        <v>33</v>
      </c>
      <c r="C149">
        <f t="shared" si="10"/>
        <v>39.796980502657753</v>
      </c>
      <c r="D149" s="8">
        <f t="shared" si="11"/>
        <v>-6.7969805026577532</v>
      </c>
      <c r="E149" s="8">
        <f t="shared" si="12"/>
        <v>6.7969805026577532</v>
      </c>
      <c r="F149" s="8">
        <f t="shared" si="13"/>
        <v>46.198943953509641</v>
      </c>
      <c r="G149" s="5">
        <f t="shared" si="14"/>
        <v>0.20596910614114403</v>
      </c>
    </row>
    <row r="150" spans="1:7" ht="15.75" customHeight="1">
      <c r="A150" s="3">
        <v>21699</v>
      </c>
      <c r="B150" s="4">
        <v>43</v>
      </c>
      <c r="C150">
        <f t="shared" si="10"/>
        <v>35.039094150797325</v>
      </c>
      <c r="D150" s="8">
        <f t="shared" si="11"/>
        <v>7.9609058492026747</v>
      </c>
      <c r="E150" s="8">
        <f t="shared" si="12"/>
        <v>7.9609058492026747</v>
      </c>
      <c r="F150" s="8">
        <f t="shared" si="13"/>
        <v>63.376021939869361</v>
      </c>
      <c r="G150" s="5">
        <f t="shared" si="14"/>
        <v>0.18513734533029477</v>
      </c>
    </row>
    <row r="151" spans="1:7" ht="15.75" customHeight="1">
      <c r="A151" s="3">
        <v>21700</v>
      </c>
      <c r="B151" s="4">
        <v>40</v>
      </c>
      <c r="C151">
        <f t="shared" si="10"/>
        <v>40.611728245239192</v>
      </c>
      <c r="D151" s="8">
        <f t="shared" si="11"/>
        <v>-0.61172824523919189</v>
      </c>
      <c r="E151" s="8">
        <f t="shared" si="12"/>
        <v>0.61172824523919189</v>
      </c>
      <c r="F151" s="8">
        <f t="shared" si="13"/>
        <v>0.37421144602342088</v>
      </c>
      <c r="G151" s="5">
        <f t="shared" si="14"/>
        <v>1.5293206130979797E-2</v>
      </c>
    </row>
    <row r="152" spans="1:7" ht="15.75" customHeight="1">
      <c r="A152" s="3">
        <v>21701</v>
      </c>
      <c r="B152" s="4">
        <v>38</v>
      </c>
      <c r="C152">
        <f t="shared" si="10"/>
        <v>40.183518473571759</v>
      </c>
      <c r="D152" s="8">
        <f t="shared" si="11"/>
        <v>-2.183518473571759</v>
      </c>
      <c r="E152" s="8">
        <f t="shared" si="12"/>
        <v>2.183518473571759</v>
      </c>
      <c r="F152" s="8">
        <f t="shared" si="13"/>
        <v>4.7677529244291446</v>
      </c>
      <c r="G152" s="5">
        <f t="shared" si="14"/>
        <v>5.746101246241471E-2</v>
      </c>
    </row>
    <row r="153" spans="1:7" ht="15.75" customHeight="1">
      <c r="A153" s="3">
        <v>21702</v>
      </c>
      <c r="B153" s="4">
        <v>45</v>
      </c>
      <c r="C153">
        <f t="shared" si="10"/>
        <v>38.655055542071523</v>
      </c>
      <c r="D153" s="8">
        <f t="shared" si="11"/>
        <v>6.3449444579284773</v>
      </c>
      <c r="E153" s="8">
        <f t="shared" si="12"/>
        <v>6.3449444579284773</v>
      </c>
      <c r="F153" s="8">
        <f t="shared" si="13"/>
        <v>40.258320174197301</v>
      </c>
      <c r="G153" s="5">
        <f t="shared" si="14"/>
        <v>0.14099876573174394</v>
      </c>
    </row>
    <row r="154" spans="1:7" ht="15.75" customHeight="1">
      <c r="A154" s="3">
        <v>21703</v>
      </c>
      <c r="B154" s="4">
        <v>46</v>
      </c>
      <c r="C154">
        <f t="shared" si="10"/>
        <v>43.096516662621454</v>
      </c>
      <c r="D154" s="8">
        <f t="shared" si="11"/>
        <v>2.903483337378546</v>
      </c>
      <c r="E154" s="8">
        <f t="shared" si="12"/>
        <v>2.903483337378546</v>
      </c>
      <c r="F154" s="8">
        <f t="shared" si="13"/>
        <v>8.4302154904348594</v>
      </c>
      <c r="G154" s="5">
        <f t="shared" si="14"/>
        <v>6.3119202986490125E-2</v>
      </c>
    </row>
    <row r="155" spans="1:7" ht="15.75" customHeight="1">
      <c r="A155" s="3">
        <v>21704</v>
      </c>
      <c r="B155" s="4">
        <v>34</v>
      </c>
      <c r="C155">
        <f t="shared" si="10"/>
        <v>45.128954998786433</v>
      </c>
      <c r="D155" s="8">
        <f t="shared" si="11"/>
        <v>-11.128954998786433</v>
      </c>
      <c r="E155" s="8">
        <f t="shared" si="12"/>
        <v>11.128954998786433</v>
      </c>
      <c r="F155" s="8">
        <f t="shared" si="13"/>
        <v>123.85363936501355</v>
      </c>
      <c r="G155" s="5">
        <f t="shared" si="14"/>
        <v>0.32732220584665983</v>
      </c>
    </row>
    <row r="156" spans="1:7" ht="15.75" customHeight="1">
      <c r="A156" s="3">
        <v>21705</v>
      </c>
      <c r="B156" s="4">
        <v>35</v>
      </c>
      <c r="C156">
        <f t="shared" si="10"/>
        <v>37.338686499635926</v>
      </c>
      <c r="D156" s="8">
        <f t="shared" si="11"/>
        <v>-2.3386864996359265</v>
      </c>
      <c r="E156" s="8">
        <f t="shared" si="12"/>
        <v>2.3386864996359265</v>
      </c>
      <c r="F156" s="8">
        <f t="shared" si="13"/>
        <v>5.4694545435793422</v>
      </c>
      <c r="G156" s="5">
        <f t="shared" si="14"/>
        <v>6.6819614275312189E-2</v>
      </c>
    </row>
    <row r="157" spans="1:7" ht="15.75" customHeight="1">
      <c r="A157" s="3">
        <v>21706</v>
      </c>
      <c r="B157" s="4">
        <v>48</v>
      </c>
      <c r="C157">
        <f t="shared" si="10"/>
        <v>35.701605949890777</v>
      </c>
      <c r="D157" s="8">
        <f t="shared" si="11"/>
        <v>12.298394050109223</v>
      </c>
      <c r="E157" s="8">
        <f t="shared" si="12"/>
        <v>12.298394050109223</v>
      </c>
      <c r="F157" s="8">
        <f t="shared" si="13"/>
        <v>151.25049621176194</v>
      </c>
      <c r="G157" s="5">
        <f t="shared" si="14"/>
        <v>0.25621654271060884</v>
      </c>
    </row>
    <row r="158" spans="1:7" ht="15.75" customHeight="1">
      <c r="A158" s="3">
        <v>21707</v>
      </c>
      <c r="B158" s="4">
        <v>51</v>
      </c>
      <c r="C158">
        <f t="shared" si="10"/>
        <v>44.310481784967223</v>
      </c>
      <c r="D158" s="8">
        <f t="shared" si="11"/>
        <v>6.689518215032777</v>
      </c>
      <c r="E158" s="8">
        <f t="shared" si="12"/>
        <v>6.689518215032777</v>
      </c>
      <c r="F158" s="8">
        <f t="shared" si="13"/>
        <v>44.749653949255311</v>
      </c>
      <c r="G158" s="5">
        <f t="shared" si="14"/>
        <v>0.13116702382417209</v>
      </c>
    </row>
    <row r="159" spans="1:7" ht="15.75" customHeight="1">
      <c r="A159" s="3">
        <v>21708</v>
      </c>
      <c r="B159" s="4">
        <v>36</v>
      </c>
      <c r="C159">
        <f t="shared" si="10"/>
        <v>48.99314453549016</v>
      </c>
      <c r="D159" s="8">
        <f t="shared" si="11"/>
        <v>-12.99314453549016</v>
      </c>
      <c r="E159" s="8">
        <f t="shared" si="12"/>
        <v>12.99314453549016</v>
      </c>
      <c r="F159" s="8">
        <f t="shared" si="13"/>
        <v>168.82180492013779</v>
      </c>
      <c r="G159" s="5">
        <f t="shared" si="14"/>
        <v>0.36092068154139334</v>
      </c>
    </row>
    <row r="160" spans="1:7" ht="15.75" customHeight="1">
      <c r="A160" s="3">
        <v>21709</v>
      </c>
      <c r="B160" s="4">
        <v>33</v>
      </c>
      <c r="C160">
        <f t="shared" si="10"/>
        <v>39.897943360647048</v>
      </c>
      <c r="D160" s="8">
        <f t="shared" si="11"/>
        <v>-6.8979433606470479</v>
      </c>
      <c r="E160" s="8">
        <f t="shared" si="12"/>
        <v>6.8979433606470479</v>
      </c>
      <c r="F160" s="8">
        <f t="shared" si="13"/>
        <v>47.581622606694687</v>
      </c>
      <c r="G160" s="5">
        <f t="shared" si="14"/>
        <v>0.20902858668627419</v>
      </c>
    </row>
    <row r="161" spans="1:7" ht="15.75" customHeight="1">
      <c r="A161" s="3">
        <v>21710</v>
      </c>
      <c r="B161" s="4">
        <v>46</v>
      </c>
      <c r="C161">
        <f t="shared" si="10"/>
        <v>35.069383008194109</v>
      </c>
      <c r="D161" s="8">
        <f t="shared" si="11"/>
        <v>10.930616991805891</v>
      </c>
      <c r="E161" s="8">
        <f t="shared" si="12"/>
        <v>10.930616991805891</v>
      </c>
      <c r="F161" s="8">
        <f t="shared" si="13"/>
        <v>119.47838782155567</v>
      </c>
      <c r="G161" s="5">
        <f t="shared" si="14"/>
        <v>0.23762210851751939</v>
      </c>
    </row>
    <row r="162" spans="1:7" ht="15.75" customHeight="1">
      <c r="A162" s="3">
        <v>21711</v>
      </c>
      <c r="B162" s="4">
        <v>42</v>
      </c>
      <c r="C162">
        <f t="shared" si="10"/>
        <v>42.72081490245823</v>
      </c>
      <c r="D162" s="8">
        <f t="shared" si="11"/>
        <v>-0.72081490245822977</v>
      </c>
      <c r="E162" s="8">
        <f t="shared" si="12"/>
        <v>0.72081490245822977</v>
      </c>
      <c r="F162" s="8">
        <f t="shared" si="13"/>
        <v>0.5195741236058673</v>
      </c>
      <c r="G162" s="5">
        <f t="shared" si="14"/>
        <v>1.7162259582338805E-2</v>
      </c>
    </row>
    <row r="163" spans="1:7" ht="15.75" customHeight="1">
      <c r="A163" s="3">
        <v>21712</v>
      </c>
      <c r="B163" s="4">
        <v>48</v>
      </c>
      <c r="C163">
        <f t="shared" si="10"/>
        <v>42.216244470737465</v>
      </c>
      <c r="D163" s="8">
        <f t="shared" si="11"/>
        <v>5.7837555292625353</v>
      </c>
      <c r="E163" s="8">
        <f t="shared" si="12"/>
        <v>5.7837555292625353</v>
      </c>
      <c r="F163" s="8">
        <f t="shared" si="13"/>
        <v>33.451828022274952</v>
      </c>
      <c r="G163" s="5">
        <f t="shared" si="14"/>
        <v>0.12049490685963615</v>
      </c>
    </row>
    <row r="164" spans="1:7" ht="15.75" customHeight="1">
      <c r="A164" s="3">
        <v>21713</v>
      </c>
      <c r="B164" s="4">
        <v>34</v>
      </c>
      <c r="C164">
        <f t="shared" si="10"/>
        <v>46.264873341221232</v>
      </c>
      <c r="D164" s="8">
        <f t="shared" si="11"/>
        <v>-12.264873341221232</v>
      </c>
      <c r="E164" s="8">
        <f t="shared" si="12"/>
        <v>12.264873341221232</v>
      </c>
      <c r="F164" s="8">
        <f t="shared" si="13"/>
        <v>150.42711807619926</v>
      </c>
      <c r="G164" s="5">
        <f t="shared" si="14"/>
        <v>0.36073156885944802</v>
      </c>
    </row>
    <row r="165" spans="1:7" ht="15.75" customHeight="1">
      <c r="A165" s="3">
        <v>21714</v>
      </c>
      <c r="B165" s="4">
        <v>41</v>
      </c>
      <c r="C165">
        <f t="shared" si="10"/>
        <v>37.679462002366364</v>
      </c>
      <c r="D165" s="8">
        <f t="shared" si="11"/>
        <v>3.320537997633636</v>
      </c>
      <c r="E165" s="8">
        <f t="shared" si="12"/>
        <v>3.320537997633636</v>
      </c>
      <c r="F165" s="8">
        <f t="shared" si="13"/>
        <v>11.025972593728797</v>
      </c>
      <c r="G165" s="5">
        <f t="shared" si="14"/>
        <v>8.0988731649600881E-2</v>
      </c>
    </row>
    <row r="166" spans="1:7" ht="15.75" customHeight="1">
      <c r="A166" s="3">
        <v>21715</v>
      </c>
      <c r="B166" s="4">
        <v>35</v>
      </c>
      <c r="C166">
        <f t="shared" si="10"/>
        <v>40.003838600709912</v>
      </c>
      <c r="D166" s="8">
        <f t="shared" si="11"/>
        <v>-5.003838600709912</v>
      </c>
      <c r="E166" s="8">
        <f t="shared" si="12"/>
        <v>5.003838600709912</v>
      </c>
      <c r="F166" s="8">
        <f t="shared" si="13"/>
        <v>25.038400741954529</v>
      </c>
      <c r="G166" s="5">
        <f t="shared" si="14"/>
        <v>0.14296681716314033</v>
      </c>
    </row>
    <row r="167" spans="1:7" ht="15.75" customHeight="1">
      <c r="A167" s="3">
        <v>21716</v>
      </c>
      <c r="B167" s="4">
        <v>40</v>
      </c>
      <c r="C167">
        <f t="shared" si="10"/>
        <v>36.501151580212976</v>
      </c>
      <c r="D167" s="8">
        <f t="shared" si="11"/>
        <v>3.4988484197870235</v>
      </c>
      <c r="E167" s="8">
        <f t="shared" si="12"/>
        <v>3.4988484197870235</v>
      </c>
      <c r="F167" s="8">
        <f t="shared" si="13"/>
        <v>12.241940264646152</v>
      </c>
      <c r="G167" s="5">
        <f t="shared" si="14"/>
        <v>8.7471210494675586E-2</v>
      </c>
    </row>
    <row r="168" spans="1:7" ht="15.75" customHeight="1">
      <c r="A168" s="3">
        <v>21717</v>
      </c>
      <c r="B168" s="4">
        <v>34</v>
      </c>
      <c r="C168">
        <f t="shared" si="10"/>
        <v>38.950345474063894</v>
      </c>
      <c r="D168" s="8">
        <f t="shared" si="11"/>
        <v>-4.9503454740638944</v>
      </c>
      <c r="E168" s="8">
        <f t="shared" si="12"/>
        <v>4.9503454740638944</v>
      </c>
      <c r="F168" s="8">
        <f t="shared" si="13"/>
        <v>24.505920312584884</v>
      </c>
      <c r="G168" s="5">
        <f t="shared" si="14"/>
        <v>0.14559839629599688</v>
      </c>
    </row>
    <row r="169" spans="1:7" ht="15.75" customHeight="1">
      <c r="A169" s="3">
        <v>21718</v>
      </c>
      <c r="B169" s="4">
        <v>30</v>
      </c>
      <c r="C169">
        <f t="shared" si="10"/>
        <v>35.485103642219165</v>
      </c>
      <c r="D169" s="8">
        <f t="shared" si="11"/>
        <v>-5.4851036422191655</v>
      </c>
      <c r="E169" s="8">
        <f t="shared" si="12"/>
        <v>5.4851036422191655</v>
      </c>
      <c r="F169" s="8">
        <f t="shared" si="13"/>
        <v>30.086361965885956</v>
      </c>
      <c r="G169" s="5">
        <f t="shared" si="14"/>
        <v>0.18283678807397219</v>
      </c>
    </row>
    <row r="170" spans="1:7" ht="15.75" customHeight="1">
      <c r="A170" s="3">
        <v>21719</v>
      </c>
      <c r="B170" s="4">
        <v>36</v>
      </c>
      <c r="C170">
        <f t="shared" si="10"/>
        <v>31.645531092665749</v>
      </c>
      <c r="D170" s="8">
        <f t="shared" si="11"/>
        <v>4.3544689073342511</v>
      </c>
      <c r="E170" s="8">
        <f t="shared" si="12"/>
        <v>4.3544689073342511</v>
      </c>
      <c r="F170" s="8">
        <f t="shared" si="13"/>
        <v>18.961399464940747</v>
      </c>
      <c r="G170" s="5">
        <f t="shared" si="14"/>
        <v>0.12095746964817364</v>
      </c>
    </row>
    <row r="171" spans="1:7" ht="15.75" customHeight="1">
      <c r="A171" s="3">
        <v>21720</v>
      </c>
      <c r="B171" s="4">
        <v>40</v>
      </c>
      <c r="C171">
        <f t="shared" si="10"/>
        <v>34.693659327799722</v>
      </c>
      <c r="D171" s="8">
        <f t="shared" si="11"/>
        <v>5.3063406722002782</v>
      </c>
      <c r="E171" s="8">
        <f t="shared" si="12"/>
        <v>5.3063406722002782</v>
      </c>
      <c r="F171" s="8">
        <f t="shared" si="13"/>
        <v>28.1572513294469</v>
      </c>
      <c r="G171" s="5">
        <f t="shared" si="14"/>
        <v>0.13265851680500695</v>
      </c>
    </row>
    <row r="172" spans="1:7" ht="15.75" customHeight="1">
      <c r="A172" s="3">
        <v>21721</v>
      </c>
      <c r="B172" s="4">
        <v>39</v>
      </c>
      <c r="C172">
        <f t="shared" si="10"/>
        <v>38.408097798339917</v>
      </c>
      <c r="D172" s="8">
        <f t="shared" si="11"/>
        <v>0.59190220166008345</v>
      </c>
      <c r="E172" s="8">
        <f t="shared" si="12"/>
        <v>0.59190220166008345</v>
      </c>
      <c r="F172" s="8">
        <f t="shared" si="13"/>
        <v>0.35034821633005409</v>
      </c>
      <c r="G172" s="5">
        <f t="shared" si="14"/>
        <v>1.517697952974573E-2</v>
      </c>
    </row>
    <row r="173" spans="1:7" ht="15.75" customHeight="1">
      <c r="A173" s="3">
        <v>21722</v>
      </c>
      <c r="B173" s="4">
        <v>45</v>
      </c>
      <c r="C173">
        <f t="shared" si="10"/>
        <v>38.822429339501973</v>
      </c>
      <c r="D173" s="8">
        <f t="shared" si="11"/>
        <v>6.1775706604980272</v>
      </c>
      <c r="E173" s="8">
        <f t="shared" si="12"/>
        <v>6.1775706604980272</v>
      </c>
      <c r="F173" s="8">
        <f t="shared" si="13"/>
        <v>38.162379265446035</v>
      </c>
      <c r="G173" s="5">
        <f t="shared" si="14"/>
        <v>0.13727934801106728</v>
      </c>
    </row>
    <row r="174" spans="1:7" ht="15.75" customHeight="1">
      <c r="A174" s="3">
        <v>21723</v>
      </c>
      <c r="B174" s="4">
        <v>38</v>
      </c>
      <c r="C174">
        <f t="shared" si="10"/>
        <v>43.146728801850585</v>
      </c>
      <c r="D174" s="8">
        <f t="shared" si="11"/>
        <v>-5.1467288018505855</v>
      </c>
      <c r="E174" s="8">
        <f t="shared" si="12"/>
        <v>5.1467288018505855</v>
      </c>
      <c r="F174" s="8">
        <f t="shared" si="13"/>
        <v>26.488817359798364</v>
      </c>
      <c r="G174" s="5">
        <f t="shared" si="14"/>
        <v>0.13544023162764698</v>
      </c>
    </row>
    <row r="175" spans="1:7" ht="15.75" customHeight="1">
      <c r="A175" s="3">
        <v>21724</v>
      </c>
      <c r="B175" s="4">
        <v>47</v>
      </c>
      <c r="C175">
        <f t="shared" si="10"/>
        <v>39.544018640555173</v>
      </c>
      <c r="D175" s="8">
        <f t="shared" si="11"/>
        <v>7.4559813594448272</v>
      </c>
      <c r="E175" s="8">
        <f t="shared" si="12"/>
        <v>7.4559813594448272</v>
      </c>
      <c r="F175" s="8">
        <f t="shared" si="13"/>
        <v>55.591658032388736</v>
      </c>
      <c r="G175" s="5">
        <f t="shared" si="14"/>
        <v>0.15863790126478355</v>
      </c>
    </row>
    <row r="176" spans="1:7" ht="15.75" customHeight="1">
      <c r="A176" s="3">
        <v>21725</v>
      </c>
      <c r="B176" s="4">
        <v>33</v>
      </c>
      <c r="C176">
        <f t="shared" si="10"/>
        <v>44.76320559216655</v>
      </c>
      <c r="D176" s="8">
        <f t="shared" si="11"/>
        <v>-11.76320559216655</v>
      </c>
      <c r="E176" s="8">
        <f t="shared" si="12"/>
        <v>11.76320559216655</v>
      </c>
      <c r="F176" s="8">
        <f t="shared" si="13"/>
        <v>138.37300580357839</v>
      </c>
      <c r="G176" s="5">
        <f t="shared" si="14"/>
        <v>0.3564607755201985</v>
      </c>
    </row>
    <row r="177" spans="1:7" ht="15.75" customHeight="1">
      <c r="A177" s="3">
        <v>21726</v>
      </c>
      <c r="B177" s="4">
        <v>30</v>
      </c>
      <c r="C177">
        <f t="shared" si="10"/>
        <v>36.52896167764996</v>
      </c>
      <c r="D177" s="8">
        <f t="shared" si="11"/>
        <v>-6.5289616776499599</v>
      </c>
      <c r="E177" s="8">
        <f t="shared" si="12"/>
        <v>6.5289616776499599</v>
      </c>
      <c r="F177" s="8">
        <f t="shared" si="13"/>
        <v>42.627340588221777</v>
      </c>
      <c r="G177" s="5">
        <f t="shared" si="14"/>
        <v>0.21763205592166532</v>
      </c>
    </row>
    <row r="178" spans="1:7" ht="15.75" customHeight="1">
      <c r="A178" s="3">
        <v>21727</v>
      </c>
      <c r="B178" s="4">
        <v>42</v>
      </c>
      <c r="C178">
        <f t="shared" si="10"/>
        <v>31.958688503294987</v>
      </c>
      <c r="D178" s="8">
        <f t="shared" si="11"/>
        <v>10.041311496705013</v>
      </c>
      <c r="E178" s="8">
        <f t="shared" si="12"/>
        <v>10.041311496705013</v>
      </c>
      <c r="F178" s="8">
        <f t="shared" si="13"/>
        <v>100.82793657386027</v>
      </c>
      <c r="G178" s="5">
        <f t="shared" si="14"/>
        <v>0.23907884515964317</v>
      </c>
    </row>
    <row r="179" spans="1:7" ht="15.75" customHeight="1">
      <c r="A179" s="3">
        <v>21728</v>
      </c>
      <c r="B179" s="4">
        <v>43</v>
      </c>
      <c r="C179">
        <f t="shared" si="10"/>
        <v>38.987606550988495</v>
      </c>
      <c r="D179" s="8">
        <f t="shared" si="11"/>
        <v>4.0123934490115047</v>
      </c>
      <c r="E179" s="8">
        <f t="shared" si="12"/>
        <v>4.0123934490115047</v>
      </c>
      <c r="F179" s="8">
        <f t="shared" si="13"/>
        <v>16.099301189670438</v>
      </c>
      <c r="G179" s="5">
        <f t="shared" si="14"/>
        <v>9.3311475558407089E-2</v>
      </c>
    </row>
    <row r="180" spans="1:7" ht="15.75" customHeight="1">
      <c r="A180" s="3">
        <v>21729</v>
      </c>
      <c r="B180" s="4">
        <v>41</v>
      </c>
      <c r="C180">
        <f t="shared" si="10"/>
        <v>41.796281965296544</v>
      </c>
      <c r="D180" s="8">
        <f t="shared" si="11"/>
        <v>-0.7962819652965436</v>
      </c>
      <c r="E180" s="8">
        <f t="shared" si="12"/>
        <v>0.7962819652965436</v>
      </c>
      <c r="F180" s="8">
        <f t="shared" si="13"/>
        <v>0.63406496825652592</v>
      </c>
      <c r="G180" s="5">
        <f t="shared" si="14"/>
        <v>1.9421511348696185E-2</v>
      </c>
    </row>
    <row r="181" spans="1:7" ht="15.75" customHeight="1">
      <c r="A181" s="3">
        <v>21730</v>
      </c>
      <c r="B181" s="4">
        <v>41</v>
      </c>
      <c r="C181">
        <f t="shared" si="10"/>
        <v>41.238884589588963</v>
      </c>
      <c r="D181" s="8">
        <f t="shared" si="11"/>
        <v>-0.23888458958896308</v>
      </c>
      <c r="E181" s="8">
        <f t="shared" si="12"/>
        <v>0.23888458958896308</v>
      </c>
      <c r="F181" s="8">
        <f t="shared" si="13"/>
        <v>5.706584714308733E-2</v>
      </c>
      <c r="G181" s="5">
        <f t="shared" si="14"/>
        <v>5.8264534046088556E-3</v>
      </c>
    </row>
    <row r="182" spans="1:7" ht="15.75" customHeight="1">
      <c r="A182" s="3">
        <v>21731</v>
      </c>
      <c r="B182" s="4">
        <v>59</v>
      </c>
      <c r="C182">
        <f t="shared" si="10"/>
        <v>41.071665376876688</v>
      </c>
      <c r="D182" s="8">
        <f t="shared" si="11"/>
        <v>17.928334623123312</v>
      </c>
      <c r="E182" s="8">
        <f t="shared" si="12"/>
        <v>17.928334623123312</v>
      </c>
      <c r="F182" s="8">
        <f t="shared" si="13"/>
        <v>321.42518235868215</v>
      </c>
      <c r="G182" s="5">
        <f t="shared" si="14"/>
        <v>0.30387007835802227</v>
      </c>
    </row>
    <row r="183" spans="1:7" ht="15.75" customHeight="1">
      <c r="A183" s="3">
        <v>21732</v>
      </c>
      <c r="B183" s="4">
        <v>43</v>
      </c>
      <c r="C183">
        <f t="shared" si="10"/>
        <v>53.621499613063001</v>
      </c>
      <c r="D183" s="8">
        <f t="shared" si="11"/>
        <v>-10.621499613063001</v>
      </c>
      <c r="E183" s="8">
        <f t="shared" si="12"/>
        <v>10.621499613063001</v>
      </c>
      <c r="F183" s="8">
        <f t="shared" si="13"/>
        <v>112.81625403029749</v>
      </c>
      <c r="G183" s="5">
        <f t="shared" si="14"/>
        <v>0.24701161890844189</v>
      </c>
    </row>
    <row r="184" spans="1:7" ht="15.75" customHeight="1">
      <c r="A184" s="3">
        <v>21733</v>
      </c>
      <c r="B184" s="4">
        <v>45</v>
      </c>
      <c r="C184">
        <f t="shared" si="10"/>
        <v>46.186449883918897</v>
      </c>
      <c r="D184" s="8">
        <f t="shared" si="11"/>
        <v>-1.1864498839188968</v>
      </c>
      <c r="E184" s="8">
        <f t="shared" si="12"/>
        <v>1.1864498839188968</v>
      </c>
      <c r="F184" s="8">
        <f t="shared" si="13"/>
        <v>1.4076633270511638</v>
      </c>
      <c r="G184" s="5">
        <f t="shared" si="14"/>
        <v>2.6365552975975485E-2</v>
      </c>
    </row>
    <row r="185" spans="1:7" ht="15.75" customHeight="1">
      <c r="A185" s="3">
        <v>21734</v>
      </c>
      <c r="B185" s="4">
        <v>38</v>
      </c>
      <c r="C185">
        <f t="shared" si="10"/>
        <v>45.355934965175663</v>
      </c>
      <c r="D185" s="8">
        <f t="shared" si="11"/>
        <v>-7.3559349651756634</v>
      </c>
      <c r="E185" s="8">
        <f t="shared" si="12"/>
        <v>7.3559349651756634</v>
      </c>
      <c r="F185" s="8">
        <f t="shared" si="13"/>
        <v>54.109779211893887</v>
      </c>
      <c r="G185" s="5">
        <f t="shared" si="14"/>
        <v>0.19357723592567536</v>
      </c>
    </row>
    <row r="186" spans="1:7" ht="15.75" customHeight="1">
      <c r="A186" s="3">
        <v>21735</v>
      </c>
      <c r="B186" s="4">
        <v>37</v>
      </c>
      <c r="C186">
        <f t="shared" si="10"/>
        <v>40.206780489552699</v>
      </c>
      <c r="D186" s="8">
        <f t="shared" si="11"/>
        <v>-3.206780489552699</v>
      </c>
      <c r="E186" s="8">
        <f t="shared" si="12"/>
        <v>3.206780489552699</v>
      </c>
      <c r="F186" s="8">
        <f t="shared" si="13"/>
        <v>10.283441108175849</v>
      </c>
      <c r="G186" s="5">
        <f t="shared" si="14"/>
        <v>8.6669742960883756E-2</v>
      </c>
    </row>
    <row r="187" spans="1:7" ht="15.75" customHeight="1">
      <c r="A187" s="3">
        <v>21736</v>
      </c>
      <c r="B187" s="4">
        <v>45</v>
      </c>
      <c r="C187">
        <f t="shared" si="10"/>
        <v>37.962034146865804</v>
      </c>
      <c r="D187" s="8">
        <f t="shared" si="11"/>
        <v>7.037965853134196</v>
      </c>
      <c r="E187" s="8">
        <f t="shared" si="12"/>
        <v>7.037965853134196</v>
      </c>
      <c r="F187" s="8">
        <f t="shared" si="13"/>
        <v>49.532963349882948</v>
      </c>
      <c r="G187" s="5">
        <f t="shared" si="14"/>
        <v>0.1563992411807599</v>
      </c>
    </row>
    <row r="188" spans="1:7" ht="15.75" customHeight="1">
      <c r="A188" s="3">
        <v>21737</v>
      </c>
      <c r="B188" s="4">
        <v>42</v>
      </c>
      <c r="C188">
        <f t="shared" si="10"/>
        <v>42.888610244059734</v>
      </c>
      <c r="D188" s="8">
        <f t="shared" si="11"/>
        <v>-0.8886102440597341</v>
      </c>
      <c r="E188" s="8">
        <f t="shared" si="12"/>
        <v>0.8886102440597341</v>
      </c>
      <c r="F188" s="8">
        <f t="shared" si="13"/>
        <v>0.78962816584790019</v>
      </c>
      <c r="G188" s="5">
        <f t="shared" si="14"/>
        <v>2.1157386763327003E-2</v>
      </c>
    </row>
    <row r="189" spans="1:7" ht="15.75" customHeight="1">
      <c r="A189" s="3">
        <v>21738</v>
      </c>
      <c r="B189" s="4">
        <v>57</v>
      </c>
      <c r="C189">
        <f t="shared" si="10"/>
        <v>42.266583073217916</v>
      </c>
      <c r="D189" s="8">
        <f t="shared" si="11"/>
        <v>14.733416926782084</v>
      </c>
      <c r="E189" s="8">
        <f t="shared" si="12"/>
        <v>14.733416926782084</v>
      </c>
      <c r="F189" s="8">
        <f t="shared" si="13"/>
        <v>217.07357433838882</v>
      </c>
      <c r="G189" s="5">
        <f t="shared" si="14"/>
        <v>0.25848099871547514</v>
      </c>
    </row>
    <row r="190" spans="1:7" ht="15.75" customHeight="1">
      <c r="A190" s="3">
        <v>21739</v>
      </c>
      <c r="B190" s="4">
        <v>46</v>
      </c>
      <c r="C190">
        <f t="shared" si="10"/>
        <v>52.579974921965373</v>
      </c>
      <c r="D190" s="8">
        <f t="shared" si="11"/>
        <v>-6.5799749219653734</v>
      </c>
      <c r="E190" s="8">
        <f t="shared" si="12"/>
        <v>6.5799749219653734</v>
      </c>
      <c r="F190" s="8">
        <f t="shared" si="13"/>
        <v>43.296069973693221</v>
      </c>
      <c r="G190" s="5">
        <f t="shared" si="14"/>
        <v>0.14304293308620378</v>
      </c>
    </row>
    <row r="191" spans="1:7" ht="15.75" customHeight="1">
      <c r="A191" s="3">
        <v>21740</v>
      </c>
      <c r="B191" s="4">
        <v>51</v>
      </c>
      <c r="C191">
        <f t="shared" si="10"/>
        <v>47.973992476589608</v>
      </c>
      <c r="D191" s="8">
        <f t="shared" si="11"/>
        <v>3.0260075234103923</v>
      </c>
      <c r="E191" s="8">
        <f t="shared" si="12"/>
        <v>3.0260075234103923</v>
      </c>
      <c r="F191" s="8">
        <f t="shared" si="13"/>
        <v>9.1567215317362951</v>
      </c>
      <c r="G191" s="5">
        <f t="shared" si="14"/>
        <v>5.9333480851184159E-2</v>
      </c>
    </row>
    <row r="192" spans="1:7" ht="15.75" customHeight="1">
      <c r="A192" s="3">
        <v>21741</v>
      </c>
      <c r="B192" s="4">
        <v>41</v>
      </c>
      <c r="C192">
        <f t="shared" si="10"/>
        <v>50.092197742976879</v>
      </c>
      <c r="D192" s="8">
        <f t="shared" si="11"/>
        <v>-9.0921977429768788</v>
      </c>
      <c r="E192" s="8">
        <f t="shared" si="12"/>
        <v>9.0921977429768788</v>
      </c>
      <c r="F192" s="8">
        <f t="shared" si="13"/>
        <v>82.668059797393852</v>
      </c>
      <c r="G192" s="5">
        <f t="shared" si="14"/>
        <v>0.22176092056041169</v>
      </c>
    </row>
    <row r="193" spans="1:7" ht="15.75" customHeight="1">
      <c r="A193" s="3">
        <v>21742</v>
      </c>
      <c r="B193" s="4">
        <v>47</v>
      </c>
      <c r="C193">
        <f t="shared" si="10"/>
        <v>43.727659322893061</v>
      </c>
      <c r="D193" s="8">
        <f t="shared" si="11"/>
        <v>3.2723406771069392</v>
      </c>
      <c r="E193" s="8">
        <f t="shared" si="12"/>
        <v>3.2723406771069392</v>
      </c>
      <c r="F193" s="8">
        <f t="shared" si="13"/>
        <v>10.708213507048701</v>
      </c>
      <c r="G193" s="5">
        <f t="shared" si="14"/>
        <v>6.9624269725679561E-2</v>
      </c>
    </row>
    <row r="194" spans="1:7" ht="15.75" customHeight="1">
      <c r="A194" s="3">
        <v>21743</v>
      </c>
      <c r="B194" s="4">
        <v>26</v>
      </c>
      <c r="C194">
        <f t="shared" si="10"/>
        <v>46.018297796867913</v>
      </c>
      <c r="D194" s="8">
        <f t="shared" si="11"/>
        <v>-20.018297796867913</v>
      </c>
      <c r="E194" s="8">
        <f t="shared" si="12"/>
        <v>20.018297796867913</v>
      </c>
      <c r="F194" s="8">
        <f t="shared" si="13"/>
        <v>400.7322466840867</v>
      </c>
      <c r="G194" s="5">
        <f t="shared" si="14"/>
        <v>0.76993453064876582</v>
      </c>
    </row>
    <row r="195" spans="1:7" ht="15.75" customHeight="1">
      <c r="A195" s="3">
        <v>21744</v>
      </c>
      <c r="B195" s="4">
        <v>35</v>
      </c>
      <c r="C195">
        <f t="shared" si="10"/>
        <v>32.005489339060375</v>
      </c>
      <c r="D195" s="8">
        <f t="shared" si="11"/>
        <v>2.9945106609396248</v>
      </c>
      <c r="E195" s="8">
        <f t="shared" si="12"/>
        <v>2.9945106609396248</v>
      </c>
      <c r="F195" s="8">
        <f t="shared" si="13"/>
        <v>8.9670940984810681</v>
      </c>
      <c r="G195" s="5">
        <f t="shared" si="14"/>
        <v>8.5557447455417851E-2</v>
      </c>
    </row>
    <row r="196" spans="1:7" ht="15.75" customHeight="1">
      <c r="A196" s="3">
        <v>21745</v>
      </c>
      <c r="B196" s="4">
        <v>44</v>
      </c>
      <c r="C196">
        <f t="shared" ref="C196:C259" si="15">0.7*B195+0.3*C195</f>
        <v>34.101646801718111</v>
      </c>
      <c r="D196" s="8">
        <f t="shared" ref="D196:D259" si="16">B196-C196</f>
        <v>9.8983531982818889</v>
      </c>
      <c r="E196" s="8">
        <f t="shared" ref="E196:E259" si="17">ABS(D196)</f>
        <v>9.8983531982818889</v>
      </c>
      <c r="F196" s="8">
        <f t="shared" ref="F196:F259" si="18">E196^2</f>
        <v>97.977396037937297</v>
      </c>
      <c r="G196" s="5">
        <f t="shared" ref="G196:G259" si="19">E196/B196</f>
        <v>0.22496257268822475</v>
      </c>
    </row>
    <row r="197" spans="1:7" ht="15.75" customHeight="1">
      <c r="A197" s="3">
        <v>21746</v>
      </c>
      <c r="B197" s="4">
        <v>41</v>
      </c>
      <c r="C197">
        <f t="shared" si="15"/>
        <v>41.030494040515428</v>
      </c>
      <c r="D197" s="8">
        <f t="shared" si="16"/>
        <v>-3.0494040515428367E-2</v>
      </c>
      <c r="E197" s="8">
        <f t="shared" si="17"/>
        <v>3.0494040515428367E-2</v>
      </c>
      <c r="F197" s="8">
        <f t="shared" si="18"/>
        <v>9.2988650695658673E-4</v>
      </c>
      <c r="G197" s="5">
        <f t="shared" si="19"/>
        <v>7.4375708574215529E-4</v>
      </c>
    </row>
    <row r="198" spans="1:7" ht="15.75" customHeight="1">
      <c r="A198" s="3">
        <v>21747</v>
      </c>
      <c r="B198" s="4">
        <v>42</v>
      </c>
      <c r="C198">
        <f t="shared" si="15"/>
        <v>41.009148212154628</v>
      </c>
      <c r="D198" s="8">
        <f t="shared" si="16"/>
        <v>0.9908517878453722</v>
      </c>
      <c r="E198" s="8">
        <f t="shared" si="17"/>
        <v>0.9908517878453722</v>
      </c>
      <c r="F198" s="8">
        <f t="shared" si="18"/>
        <v>0.98178726547637052</v>
      </c>
      <c r="G198" s="5">
        <f t="shared" si="19"/>
        <v>2.3591709234413623E-2</v>
      </c>
    </row>
    <row r="199" spans="1:7" ht="15.75" customHeight="1">
      <c r="A199" s="3">
        <v>21748</v>
      </c>
      <c r="B199" s="4">
        <v>36</v>
      </c>
      <c r="C199">
        <f t="shared" si="15"/>
        <v>41.702744463646383</v>
      </c>
      <c r="D199" s="8">
        <f t="shared" si="16"/>
        <v>-5.7027444636463827</v>
      </c>
      <c r="E199" s="8">
        <f t="shared" si="17"/>
        <v>5.7027444636463827</v>
      </c>
      <c r="F199" s="8">
        <f t="shared" si="18"/>
        <v>32.521294417649472</v>
      </c>
      <c r="G199" s="5">
        <f t="shared" si="19"/>
        <v>0.15840956843462173</v>
      </c>
    </row>
    <row r="200" spans="1:7" ht="15.75" customHeight="1">
      <c r="A200" s="3">
        <v>21749</v>
      </c>
      <c r="B200" s="4">
        <v>45</v>
      </c>
      <c r="C200">
        <f t="shared" si="15"/>
        <v>37.710823339093913</v>
      </c>
      <c r="D200" s="8">
        <f t="shared" si="16"/>
        <v>7.2891766609060866</v>
      </c>
      <c r="E200" s="8">
        <f t="shared" si="17"/>
        <v>7.2891766609060866</v>
      </c>
      <c r="F200" s="8">
        <f t="shared" si="18"/>
        <v>53.13209639389801</v>
      </c>
      <c r="G200" s="5">
        <f t="shared" si="19"/>
        <v>0.16198170357569081</v>
      </c>
    </row>
    <row r="201" spans="1:7" ht="15.75" customHeight="1">
      <c r="A201" s="3">
        <v>21750</v>
      </c>
      <c r="B201" s="4">
        <v>45</v>
      </c>
      <c r="C201">
        <f t="shared" si="15"/>
        <v>42.813247001728172</v>
      </c>
      <c r="D201" s="8">
        <f t="shared" si="16"/>
        <v>2.1867529982718281</v>
      </c>
      <c r="E201" s="8">
        <f t="shared" si="17"/>
        <v>2.1867529982718281</v>
      </c>
      <c r="F201" s="8">
        <f t="shared" si="18"/>
        <v>4.7818886754508299</v>
      </c>
      <c r="G201" s="5">
        <f t="shared" si="19"/>
        <v>4.8594511072707292E-2</v>
      </c>
    </row>
    <row r="202" spans="1:7" ht="15.75" customHeight="1">
      <c r="A202" s="3">
        <v>21751</v>
      </c>
      <c r="B202" s="4">
        <v>45</v>
      </c>
      <c r="C202">
        <f t="shared" si="15"/>
        <v>44.343974100518452</v>
      </c>
      <c r="D202" s="8">
        <f t="shared" si="16"/>
        <v>0.65602589948154844</v>
      </c>
      <c r="E202" s="8">
        <f t="shared" si="17"/>
        <v>0.65602589948154844</v>
      </c>
      <c r="F202" s="8">
        <f t="shared" si="18"/>
        <v>0.4303699807905747</v>
      </c>
      <c r="G202" s="5">
        <f t="shared" si="19"/>
        <v>1.4578353321812187E-2</v>
      </c>
    </row>
    <row r="203" spans="1:7" ht="15.75" customHeight="1">
      <c r="A203" s="3">
        <v>21752</v>
      </c>
      <c r="B203" s="4">
        <v>47</v>
      </c>
      <c r="C203">
        <f t="shared" si="15"/>
        <v>44.803192230155531</v>
      </c>
      <c r="D203" s="8">
        <f t="shared" si="16"/>
        <v>2.1968077698444688</v>
      </c>
      <c r="E203" s="8">
        <f t="shared" si="17"/>
        <v>2.1968077698444688</v>
      </c>
      <c r="F203" s="8">
        <f t="shared" si="18"/>
        <v>4.8259643776490284</v>
      </c>
      <c r="G203" s="5">
        <f t="shared" si="19"/>
        <v>4.6740590847754657E-2</v>
      </c>
    </row>
    <row r="204" spans="1:7" ht="15.75" customHeight="1">
      <c r="A204" s="3">
        <v>21753</v>
      </c>
      <c r="B204" s="4">
        <v>38</v>
      </c>
      <c r="C204">
        <f t="shared" si="15"/>
        <v>46.340957669046659</v>
      </c>
      <c r="D204" s="8">
        <f t="shared" si="16"/>
        <v>-8.3409576690466594</v>
      </c>
      <c r="E204" s="8">
        <f t="shared" si="17"/>
        <v>8.3409576690466594</v>
      </c>
      <c r="F204" s="8">
        <f t="shared" si="18"/>
        <v>69.571574836828276</v>
      </c>
      <c r="G204" s="5">
        <f t="shared" si="19"/>
        <v>0.21949888602754367</v>
      </c>
    </row>
    <row r="205" spans="1:7" ht="15.75" customHeight="1">
      <c r="A205" s="3">
        <v>21754</v>
      </c>
      <c r="B205" s="4">
        <v>42</v>
      </c>
      <c r="C205">
        <f t="shared" si="15"/>
        <v>40.502287300713995</v>
      </c>
      <c r="D205" s="8">
        <f t="shared" si="16"/>
        <v>1.497712699286005</v>
      </c>
      <c r="E205" s="8">
        <f t="shared" si="17"/>
        <v>1.497712699286005</v>
      </c>
      <c r="F205" s="8">
        <f t="shared" si="18"/>
        <v>2.2431433296025713</v>
      </c>
      <c r="G205" s="5">
        <f t="shared" si="19"/>
        <v>3.5659826173476308E-2</v>
      </c>
    </row>
    <row r="206" spans="1:7" ht="15.75" customHeight="1">
      <c r="A206" s="3">
        <v>21755</v>
      </c>
      <c r="B206" s="4">
        <v>35</v>
      </c>
      <c r="C206">
        <f t="shared" si="15"/>
        <v>41.550686190214194</v>
      </c>
      <c r="D206" s="8">
        <f t="shared" si="16"/>
        <v>-6.5506861902141935</v>
      </c>
      <c r="E206" s="8">
        <f t="shared" si="17"/>
        <v>6.5506861902141935</v>
      </c>
      <c r="F206" s="8">
        <f t="shared" si="18"/>
        <v>42.911489562662943</v>
      </c>
      <c r="G206" s="5">
        <f t="shared" si="19"/>
        <v>0.1871624625775484</v>
      </c>
    </row>
    <row r="207" spans="1:7" ht="15.75" customHeight="1">
      <c r="A207" s="3">
        <v>21756</v>
      </c>
      <c r="B207" s="4">
        <v>36</v>
      </c>
      <c r="C207">
        <f t="shared" si="15"/>
        <v>36.965205857064255</v>
      </c>
      <c r="D207" s="8">
        <f t="shared" si="16"/>
        <v>-0.96520585706425521</v>
      </c>
      <c r="E207" s="8">
        <f t="shared" si="17"/>
        <v>0.96520585706425521</v>
      </c>
      <c r="F207" s="8">
        <f t="shared" si="18"/>
        <v>0.93162234651114351</v>
      </c>
      <c r="G207" s="5">
        <f t="shared" si="19"/>
        <v>2.6811273807340424E-2</v>
      </c>
    </row>
    <row r="208" spans="1:7" ht="15.75" customHeight="1">
      <c r="A208" s="3">
        <v>21757</v>
      </c>
      <c r="B208" s="4">
        <v>39</v>
      </c>
      <c r="C208">
        <f t="shared" si="15"/>
        <v>36.289561757119273</v>
      </c>
      <c r="D208" s="8">
        <f t="shared" si="16"/>
        <v>2.710438242880727</v>
      </c>
      <c r="E208" s="8">
        <f t="shared" si="17"/>
        <v>2.710438242880727</v>
      </c>
      <c r="F208" s="8">
        <f t="shared" si="18"/>
        <v>7.3464754684703628</v>
      </c>
      <c r="G208" s="5">
        <f t="shared" si="19"/>
        <v>6.9498416484121209E-2</v>
      </c>
    </row>
    <row r="209" spans="1:7" ht="15.75" customHeight="1">
      <c r="A209" s="3">
        <v>21758</v>
      </c>
      <c r="B209" s="4">
        <v>45</v>
      </c>
      <c r="C209">
        <f t="shared" si="15"/>
        <v>38.186868527135779</v>
      </c>
      <c r="D209" s="8">
        <f t="shared" si="16"/>
        <v>6.8131314728642209</v>
      </c>
      <c r="E209" s="8">
        <f t="shared" si="17"/>
        <v>6.8131314728642209</v>
      </c>
      <c r="F209" s="8">
        <f t="shared" si="18"/>
        <v>46.418760466532987</v>
      </c>
      <c r="G209" s="5">
        <f t="shared" si="19"/>
        <v>0.15140292161920491</v>
      </c>
    </row>
    <row r="210" spans="1:7" ht="15.75" customHeight="1">
      <c r="A210" s="3">
        <v>21759</v>
      </c>
      <c r="B210" s="4">
        <v>43</v>
      </c>
      <c r="C210">
        <f t="shared" si="15"/>
        <v>42.956060558140727</v>
      </c>
      <c r="D210" s="8">
        <f t="shared" si="16"/>
        <v>4.3939441859272677E-2</v>
      </c>
      <c r="E210" s="8">
        <f t="shared" si="17"/>
        <v>4.3939441859272677E-2</v>
      </c>
      <c r="F210" s="8">
        <f t="shared" si="18"/>
        <v>1.930674550904404E-3</v>
      </c>
      <c r="G210" s="5">
        <f t="shared" si="19"/>
        <v>1.0218474850993645E-3</v>
      </c>
    </row>
    <row r="211" spans="1:7" ht="15.75" customHeight="1">
      <c r="A211" s="3">
        <v>21760</v>
      </c>
      <c r="B211" s="4">
        <v>47</v>
      </c>
      <c r="C211">
        <f t="shared" si="15"/>
        <v>42.986818167442216</v>
      </c>
      <c r="D211" s="8">
        <f t="shared" si="16"/>
        <v>4.0131818325577839</v>
      </c>
      <c r="E211" s="8">
        <f t="shared" si="17"/>
        <v>4.0131818325577839</v>
      </c>
      <c r="F211" s="8">
        <f t="shared" si="18"/>
        <v>16.105628421171854</v>
      </c>
      <c r="G211" s="5">
        <f t="shared" si="19"/>
        <v>8.5386847501229449E-2</v>
      </c>
    </row>
    <row r="212" spans="1:7" ht="15.75" customHeight="1">
      <c r="A212" s="3">
        <v>21761</v>
      </c>
      <c r="B212" s="4">
        <v>36</v>
      </c>
      <c r="C212">
        <f t="shared" si="15"/>
        <v>45.796045450232661</v>
      </c>
      <c r="D212" s="8">
        <f t="shared" si="16"/>
        <v>-9.7960454502326613</v>
      </c>
      <c r="E212" s="8">
        <f t="shared" si="17"/>
        <v>9.7960454502326613</v>
      </c>
      <c r="F212" s="8">
        <f t="shared" si="18"/>
        <v>95.962506463024027</v>
      </c>
      <c r="G212" s="5">
        <f t="shared" si="19"/>
        <v>0.2721123736175739</v>
      </c>
    </row>
    <row r="213" spans="1:7" ht="15.75" customHeight="1">
      <c r="A213" s="3">
        <v>21762</v>
      </c>
      <c r="B213" s="4">
        <v>41</v>
      </c>
      <c r="C213">
        <f t="shared" si="15"/>
        <v>38.938813635069799</v>
      </c>
      <c r="D213" s="8">
        <f t="shared" si="16"/>
        <v>2.0611863649302009</v>
      </c>
      <c r="E213" s="8">
        <f t="shared" si="17"/>
        <v>2.0611863649302009</v>
      </c>
      <c r="F213" s="8">
        <f t="shared" si="18"/>
        <v>4.2484892309741751</v>
      </c>
      <c r="G213" s="5">
        <f t="shared" si="19"/>
        <v>5.0272838169029291E-2</v>
      </c>
    </row>
    <row r="214" spans="1:7" ht="15.75" customHeight="1">
      <c r="A214" s="3">
        <v>21763</v>
      </c>
      <c r="B214" s="4">
        <v>50</v>
      </c>
      <c r="C214">
        <f t="shared" si="15"/>
        <v>40.381644090520936</v>
      </c>
      <c r="D214" s="8">
        <f t="shared" si="16"/>
        <v>9.6183559094790638</v>
      </c>
      <c r="E214" s="8">
        <f t="shared" si="17"/>
        <v>9.6183559094790638</v>
      </c>
      <c r="F214" s="8">
        <f t="shared" si="18"/>
        <v>92.512770401410833</v>
      </c>
      <c r="G214" s="5">
        <f t="shared" si="19"/>
        <v>0.19236711818958127</v>
      </c>
    </row>
    <row r="215" spans="1:7" ht="15.75" customHeight="1">
      <c r="A215" s="3">
        <v>21764</v>
      </c>
      <c r="B215" s="4">
        <v>39</v>
      </c>
      <c r="C215">
        <f t="shared" si="15"/>
        <v>47.114493227156281</v>
      </c>
      <c r="D215" s="8">
        <f t="shared" si="16"/>
        <v>-8.1144932271562809</v>
      </c>
      <c r="E215" s="8">
        <f t="shared" si="17"/>
        <v>8.1144932271562809</v>
      </c>
      <c r="F215" s="8">
        <f t="shared" si="18"/>
        <v>65.845000333565153</v>
      </c>
      <c r="G215" s="5">
        <f t="shared" si="19"/>
        <v>0.2080639289014431</v>
      </c>
    </row>
    <row r="216" spans="1:7" ht="15.75" customHeight="1">
      <c r="A216" s="3">
        <v>21765</v>
      </c>
      <c r="B216" s="4">
        <v>41</v>
      </c>
      <c r="C216">
        <f t="shared" si="15"/>
        <v>41.434347968146881</v>
      </c>
      <c r="D216" s="8">
        <f t="shared" si="16"/>
        <v>-0.4343479681468807</v>
      </c>
      <c r="E216" s="8">
        <f t="shared" si="17"/>
        <v>0.4343479681468807</v>
      </c>
      <c r="F216" s="8">
        <f t="shared" si="18"/>
        <v>0.1886581574333237</v>
      </c>
      <c r="G216" s="5">
        <f t="shared" si="19"/>
        <v>1.0593852881631236E-2</v>
      </c>
    </row>
    <row r="217" spans="1:7" ht="15.75" customHeight="1">
      <c r="A217" s="3">
        <v>21766</v>
      </c>
      <c r="B217" s="4">
        <v>46</v>
      </c>
      <c r="C217">
        <f t="shared" si="15"/>
        <v>41.130304390444067</v>
      </c>
      <c r="D217" s="8">
        <f t="shared" si="16"/>
        <v>4.8696956095559329</v>
      </c>
      <c r="E217" s="8">
        <f t="shared" si="17"/>
        <v>4.8696956095559329</v>
      </c>
      <c r="F217" s="8">
        <f t="shared" si="18"/>
        <v>23.713935329728329</v>
      </c>
      <c r="G217" s="5">
        <f t="shared" si="19"/>
        <v>0.10586294803382464</v>
      </c>
    </row>
    <row r="218" spans="1:7" ht="15.75" customHeight="1">
      <c r="A218" s="3">
        <v>21767</v>
      </c>
      <c r="B218" s="4">
        <v>64</v>
      </c>
      <c r="C218">
        <f t="shared" si="15"/>
        <v>44.539091317133213</v>
      </c>
      <c r="D218" s="8">
        <f t="shared" si="16"/>
        <v>19.460908682866787</v>
      </c>
      <c r="E218" s="8">
        <f t="shared" si="17"/>
        <v>19.460908682866787</v>
      </c>
      <c r="F218" s="8">
        <f t="shared" si="18"/>
        <v>378.7269667628799</v>
      </c>
      <c r="G218" s="5">
        <f t="shared" si="19"/>
        <v>0.30407669816979355</v>
      </c>
    </row>
    <row r="219" spans="1:7" ht="15.75" customHeight="1">
      <c r="A219" s="3">
        <v>21768</v>
      </c>
      <c r="B219" s="4">
        <v>45</v>
      </c>
      <c r="C219">
        <f t="shared" si="15"/>
        <v>58.161727395139962</v>
      </c>
      <c r="D219" s="8">
        <f t="shared" si="16"/>
        <v>-13.161727395139962</v>
      </c>
      <c r="E219" s="8">
        <f t="shared" si="17"/>
        <v>13.161727395139962</v>
      </c>
      <c r="F219" s="8">
        <f t="shared" si="18"/>
        <v>173.23106802397777</v>
      </c>
      <c r="G219" s="5">
        <f t="shared" si="19"/>
        <v>0.29248283100311029</v>
      </c>
    </row>
    <row r="220" spans="1:7" ht="15.75" customHeight="1">
      <c r="A220" s="3">
        <v>21769</v>
      </c>
      <c r="B220" s="4">
        <v>34</v>
      </c>
      <c r="C220">
        <f t="shared" si="15"/>
        <v>48.948518218541984</v>
      </c>
      <c r="D220" s="8">
        <f t="shared" si="16"/>
        <v>-14.948518218541984</v>
      </c>
      <c r="E220" s="8">
        <f t="shared" si="17"/>
        <v>14.948518218541984</v>
      </c>
      <c r="F220" s="8">
        <f t="shared" si="18"/>
        <v>223.45819693008161</v>
      </c>
      <c r="G220" s="5">
        <f t="shared" si="19"/>
        <v>0.43966230054535249</v>
      </c>
    </row>
    <row r="221" spans="1:7" ht="15.75" customHeight="1">
      <c r="A221" s="3">
        <v>21770</v>
      </c>
      <c r="B221" s="4">
        <v>38</v>
      </c>
      <c r="C221">
        <f t="shared" si="15"/>
        <v>38.484555465562593</v>
      </c>
      <c r="D221" s="8">
        <f t="shared" si="16"/>
        <v>-0.48455546556259321</v>
      </c>
      <c r="E221" s="8">
        <f t="shared" si="17"/>
        <v>0.48455546556259321</v>
      </c>
      <c r="F221" s="8">
        <f t="shared" si="18"/>
        <v>0.23479399920658145</v>
      </c>
      <c r="G221" s="5">
        <f t="shared" si="19"/>
        <v>1.2751459620068243E-2</v>
      </c>
    </row>
    <row r="222" spans="1:7" ht="15.75" customHeight="1">
      <c r="A222" s="3">
        <v>21771</v>
      </c>
      <c r="B222" s="4">
        <v>44</v>
      </c>
      <c r="C222">
        <f t="shared" si="15"/>
        <v>38.145366639668779</v>
      </c>
      <c r="D222" s="8">
        <f t="shared" si="16"/>
        <v>5.8546333603312206</v>
      </c>
      <c r="E222" s="8">
        <f t="shared" si="17"/>
        <v>5.8546333603312206</v>
      </c>
      <c r="F222" s="8">
        <f t="shared" si="18"/>
        <v>34.276731783903237</v>
      </c>
      <c r="G222" s="5">
        <f t="shared" si="19"/>
        <v>0.13305984909843682</v>
      </c>
    </row>
    <row r="223" spans="1:7" ht="15.75" customHeight="1">
      <c r="A223" s="3">
        <v>21772</v>
      </c>
      <c r="B223" s="4">
        <v>48</v>
      </c>
      <c r="C223">
        <f t="shared" si="15"/>
        <v>42.243609991900627</v>
      </c>
      <c r="D223" s="8">
        <f t="shared" si="16"/>
        <v>5.7563900080993733</v>
      </c>
      <c r="E223" s="8">
        <f t="shared" si="17"/>
        <v>5.7563900080993733</v>
      </c>
      <c r="F223" s="8">
        <f t="shared" si="18"/>
        <v>33.136025925346303</v>
      </c>
      <c r="G223" s="5">
        <f t="shared" si="19"/>
        <v>0.11992479183540361</v>
      </c>
    </row>
    <row r="224" spans="1:7" ht="15.75" customHeight="1">
      <c r="A224" s="3">
        <v>21773</v>
      </c>
      <c r="B224" s="4">
        <v>46</v>
      </c>
      <c r="C224">
        <f t="shared" si="15"/>
        <v>46.273082997570185</v>
      </c>
      <c r="D224" s="8">
        <f t="shared" si="16"/>
        <v>-0.27308299757018517</v>
      </c>
      <c r="E224" s="8">
        <f t="shared" si="17"/>
        <v>0.27308299757018517</v>
      </c>
      <c r="F224" s="8">
        <f t="shared" si="18"/>
        <v>7.457432356191776E-2</v>
      </c>
      <c r="G224" s="5">
        <f t="shared" si="19"/>
        <v>5.9365869036996774E-3</v>
      </c>
    </row>
    <row r="225" spans="1:7" ht="15.75" customHeight="1">
      <c r="A225" s="3">
        <v>21774</v>
      </c>
      <c r="B225" s="4">
        <v>44</v>
      </c>
      <c r="C225">
        <f t="shared" si="15"/>
        <v>46.081924899271051</v>
      </c>
      <c r="D225" s="8">
        <f t="shared" si="16"/>
        <v>-2.0819248992710513</v>
      </c>
      <c r="E225" s="8">
        <f t="shared" si="17"/>
        <v>2.0819248992710513</v>
      </c>
      <c r="F225" s="8">
        <f t="shared" si="18"/>
        <v>4.3344112862047774</v>
      </c>
      <c r="G225" s="5">
        <f t="shared" si="19"/>
        <v>4.7316474983432985E-2</v>
      </c>
    </row>
    <row r="226" spans="1:7" ht="15.75" customHeight="1">
      <c r="A226" s="3">
        <v>21775</v>
      </c>
      <c r="B226" s="4">
        <v>37</v>
      </c>
      <c r="C226">
        <f t="shared" si="15"/>
        <v>44.624577469781315</v>
      </c>
      <c r="D226" s="8">
        <f t="shared" si="16"/>
        <v>-7.6245774697813147</v>
      </c>
      <c r="E226" s="8">
        <f t="shared" si="17"/>
        <v>7.6245774697813147</v>
      </c>
      <c r="F226" s="8">
        <f t="shared" si="18"/>
        <v>58.134181592696834</v>
      </c>
      <c r="G226" s="5">
        <f t="shared" si="19"/>
        <v>0.20606966134544094</v>
      </c>
    </row>
    <row r="227" spans="1:7" ht="15.75" customHeight="1">
      <c r="A227" s="3">
        <v>21776</v>
      </c>
      <c r="B227" s="4">
        <v>39</v>
      </c>
      <c r="C227">
        <f t="shared" si="15"/>
        <v>39.287373240934393</v>
      </c>
      <c r="D227" s="8">
        <f t="shared" si="16"/>
        <v>-0.28737324093439298</v>
      </c>
      <c r="E227" s="8">
        <f t="shared" si="17"/>
        <v>0.28737324093439298</v>
      </c>
      <c r="F227" s="8">
        <f t="shared" si="18"/>
        <v>8.2583379605136675E-2</v>
      </c>
      <c r="G227" s="5">
        <f t="shared" si="19"/>
        <v>7.3685446393434101E-3</v>
      </c>
    </row>
    <row r="228" spans="1:7" ht="15.75" customHeight="1">
      <c r="A228" s="3">
        <v>21777</v>
      </c>
      <c r="B228" s="4">
        <v>44</v>
      </c>
      <c r="C228">
        <f t="shared" si="15"/>
        <v>39.086211972280317</v>
      </c>
      <c r="D228" s="8">
        <f t="shared" si="16"/>
        <v>4.9137880277196828</v>
      </c>
      <c r="E228" s="8">
        <f t="shared" si="17"/>
        <v>4.9137880277196828</v>
      </c>
      <c r="F228" s="8">
        <f t="shared" si="18"/>
        <v>24.145312781361291</v>
      </c>
      <c r="G228" s="5">
        <f t="shared" si="19"/>
        <v>0.11167700062999279</v>
      </c>
    </row>
    <row r="229" spans="1:7" ht="15.75" customHeight="1">
      <c r="A229" s="3">
        <v>21778</v>
      </c>
      <c r="B229" s="4">
        <v>45</v>
      </c>
      <c r="C229">
        <f t="shared" si="15"/>
        <v>42.525863591684093</v>
      </c>
      <c r="D229" s="8">
        <f t="shared" si="16"/>
        <v>2.474136408315907</v>
      </c>
      <c r="E229" s="8">
        <f t="shared" si="17"/>
        <v>2.474136408315907</v>
      </c>
      <c r="F229" s="8">
        <f t="shared" si="18"/>
        <v>6.1213509669543367</v>
      </c>
      <c r="G229" s="5">
        <f t="shared" si="19"/>
        <v>5.4980809073686819E-2</v>
      </c>
    </row>
    <row r="230" spans="1:7" ht="15.75" customHeight="1">
      <c r="A230" s="3">
        <v>21779</v>
      </c>
      <c r="B230" s="4">
        <v>33</v>
      </c>
      <c r="C230">
        <f t="shared" si="15"/>
        <v>44.257759077505227</v>
      </c>
      <c r="D230" s="8">
        <f t="shared" si="16"/>
        <v>-11.257759077505227</v>
      </c>
      <c r="E230" s="8">
        <f t="shared" si="17"/>
        <v>11.257759077505227</v>
      </c>
      <c r="F230" s="8">
        <f t="shared" si="18"/>
        <v>126.73713944715135</v>
      </c>
      <c r="G230" s="5">
        <f t="shared" si="19"/>
        <v>0.34114421446985538</v>
      </c>
    </row>
    <row r="231" spans="1:7" ht="15.75" customHeight="1">
      <c r="A231" s="3">
        <v>21780</v>
      </c>
      <c r="B231" s="4">
        <v>44</v>
      </c>
      <c r="C231">
        <f t="shared" si="15"/>
        <v>36.377327723251568</v>
      </c>
      <c r="D231" s="8">
        <f t="shared" si="16"/>
        <v>7.6226722767484318</v>
      </c>
      <c r="E231" s="8">
        <f t="shared" si="17"/>
        <v>7.6226722767484318</v>
      </c>
      <c r="F231" s="8">
        <f t="shared" si="18"/>
        <v>58.105132638709122</v>
      </c>
      <c r="G231" s="5">
        <f t="shared" si="19"/>
        <v>0.17324255174428255</v>
      </c>
    </row>
    <row r="232" spans="1:7" ht="15.75" customHeight="1">
      <c r="A232" s="3">
        <v>21781</v>
      </c>
      <c r="B232" s="4">
        <v>38</v>
      </c>
      <c r="C232">
        <f t="shared" si="15"/>
        <v>41.713198316975465</v>
      </c>
      <c r="D232" s="8">
        <f t="shared" si="16"/>
        <v>-3.7131983169754648</v>
      </c>
      <c r="E232" s="8">
        <f t="shared" si="17"/>
        <v>3.7131983169754648</v>
      </c>
      <c r="F232" s="8">
        <f t="shared" si="18"/>
        <v>13.787841741189425</v>
      </c>
      <c r="G232" s="5">
        <f t="shared" si="19"/>
        <v>9.7715745183564864E-2</v>
      </c>
    </row>
    <row r="233" spans="1:7" ht="15.75" customHeight="1">
      <c r="A233" s="3">
        <v>21782</v>
      </c>
      <c r="B233" s="4">
        <v>46</v>
      </c>
      <c r="C233">
        <f t="shared" si="15"/>
        <v>39.113959495092637</v>
      </c>
      <c r="D233" s="8">
        <f t="shared" si="16"/>
        <v>6.8860405049073634</v>
      </c>
      <c r="E233" s="8">
        <f t="shared" si="17"/>
        <v>6.8860405049073634</v>
      </c>
      <c r="F233" s="8">
        <f t="shared" si="18"/>
        <v>47.417553835224858</v>
      </c>
      <c r="G233" s="5">
        <f t="shared" si="19"/>
        <v>0.14969653271537747</v>
      </c>
    </row>
    <row r="234" spans="1:7" ht="15.75" customHeight="1">
      <c r="A234" s="3">
        <v>21783</v>
      </c>
      <c r="B234" s="4">
        <v>46</v>
      </c>
      <c r="C234">
        <f t="shared" si="15"/>
        <v>43.934187848527785</v>
      </c>
      <c r="D234" s="8">
        <f t="shared" si="16"/>
        <v>2.0658121514722154</v>
      </c>
      <c r="E234" s="8">
        <f t="shared" si="17"/>
        <v>2.0658121514722154</v>
      </c>
      <c r="F234" s="8">
        <f t="shared" si="18"/>
        <v>4.2675798451702631</v>
      </c>
      <c r="G234" s="5">
        <f t="shared" si="19"/>
        <v>4.4908959814613382E-2</v>
      </c>
    </row>
    <row r="235" spans="1:7" ht="15.75" customHeight="1">
      <c r="A235" s="3">
        <v>21784</v>
      </c>
      <c r="B235" s="4">
        <v>40</v>
      </c>
      <c r="C235">
        <f t="shared" si="15"/>
        <v>45.380256354558327</v>
      </c>
      <c r="D235" s="8">
        <f t="shared" si="16"/>
        <v>-5.3802563545583268</v>
      </c>
      <c r="E235" s="8">
        <f t="shared" si="17"/>
        <v>5.3802563545583268</v>
      </c>
      <c r="F235" s="8">
        <f t="shared" si="18"/>
        <v>28.947158440765257</v>
      </c>
      <c r="G235" s="5">
        <f t="shared" si="19"/>
        <v>0.13450640886395818</v>
      </c>
    </row>
    <row r="236" spans="1:7" ht="15.75" customHeight="1">
      <c r="A236" s="3">
        <v>21785</v>
      </c>
      <c r="B236" s="4">
        <v>39</v>
      </c>
      <c r="C236">
        <f t="shared" si="15"/>
        <v>41.614076906367501</v>
      </c>
      <c r="D236" s="8">
        <f t="shared" si="16"/>
        <v>-2.6140769063675009</v>
      </c>
      <c r="E236" s="8">
        <f t="shared" si="17"/>
        <v>2.6140769063675009</v>
      </c>
      <c r="F236" s="8">
        <f t="shared" si="18"/>
        <v>6.8333980724038836</v>
      </c>
      <c r="G236" s="5">
        <f t="shared" si="19"/>
        <v>6.702761298378207E-2</v>
      </c>
    </row>
    <row r="237" spans="1:7" ht="15.75" customHeight="1">
      <c r="A237" s="3">
        <v>21786</v>
      </c>
      <c r="B237" s="4">
        <v>44</v>
      </c>
      <c r="C237">
        <f t="shared" si="15"/>
        <v>39.784223071910247</v>
      </c>
      <c r="D237" s="8">
        <f t="shared" si="16"/>
        <v>4.2157769280897526</v>
      </c>
      <c r="E237" s="8">
        <f t="shared" si="17"/>
        <v>4.2157769280897526</v>
      </c>
      <c r="F237" s="8">
        <f t="shared" si="18"/>
        <v>17.772775107413871</v>
      </c>
      <c r="G237" s="5">
        <f t="shared" si="19"/>
        <v>9.5813112002039832E-2</v>
      </c>
    </row>
    <row r="238" spans="1:7" ht="15.75" customHeight="1">
      <c r="A238" s="3">
        <v>21787</v>
      </c>
      <c r="B238" s="4">
        <v>48</v>
      </c>
      <c r="C238">
        <f t="shared" si="15"/>
        <v>42.735266921573071</v>
      </c>
      <c r="D238" s="8">
        <f t="shared" si="16"/>
        <v>5.2647330784269286</v>
      </c>
      <c r="E238" s="8">
        <f t="shared" si="17"/>
        <v>5.2647330784269286</v>
      </c>
      <c r="F238" s="8">
        <f t="shared" si="18"/>
        <v>27.717414387082684</v>
      </c>
      <c r="G238" s="5">
        <f t="shared" si="19"/>
        <v>0.10968193913389435</v>
      </c>
    </row>
    <row r="239" spans="1:7" ht="15.75" customHeight="1">
      <c r="A239" s="3">
        <v>21788</v>
      </c>
      <c r="B239" s="4">
        <v>50</v>
      </c>
      <c r="C239">
        <f t="shared" si="15"/>
        <v>46.420580076471914</v>
      </c>
      <c r="D239" s="8">
        <f t="shared" si="16"/>
        <v>3.5794199235280857</v>
      </c>
      <c r="E239" s="8">
        <f t="shared" si="17"/>
        <v>3.5794199235280857</v>
      </c>
      <c r="F239" s="8">
        <f t="shared" si="18"/>
        <v>12.812246988949807</v>
      </c>
      <c r="G239" s="5">
        <f t="shared" si="19"/>
        <v>7.1588398470561712E-2</v>
      </c>
    </row>
    <row r="240" spans="1:7" ht="15.75" customHeight="1">
      <c r="A240" s="3">
        <v>21789</v>
      </c>
      <c r="B240" s="4">
        <v>41</v>
      </c>
      <c r="C240">
        <f t="shared" si="15"/>
        <v>48.926174022941574</v>
      </c>
      <c r="D240" s="8">
        <f t="shared" si="16"/>
        <v>-7.9261740229415736</v>
      </c>
      <c r="E240" s="8">
        <f t="shared" si="17"/>
        <v>7.9261740229415736</v>
      </c>
      <c r="F240" s="8">
        <f t="shared" si="18"/>
        <v>62.824234641953808</v>
      </c>
      <c r="G240" s="5">
        <f t="shared" si="19"/>
        <v>0.19332131763272131</v>
      </c>
    </row>
    <row r="241" spans="1:7" ht="15.75" customHeight="1">
      <c r="A241" s="3">
        <v>21790</v>
      </c>
      <c r="B241" s="4">
        <v>42</v>
      </c>
      <c r="C241">
        <f t="shared" si="15"/>
        <v>43.377852206882473</v>
      </c>
      <c r="D241" s="8">
        <f t="shared" si="16"/>
        <v>-1.3778522068824728</v>
      </c>
      <c r="E241" s="8">
        <f t="shared" si="17"/>
        <v>1.3778522068824728</v>
      </c>
      <c r="F241" s="8">
        <f t="shared" si="18"/>
        <v>1.8984767040109005</v>
      </c>
      <c r="G241" s="5">
        <f t="shared" si="19"/>
        <v>3.2806004925773159E-2</v>
      </c>
    </row>
    <row r="242" spans="1:7" ht="15.75" customHeight="1">
      <c r="A242" s="3">
        <v>21791</v>
      </c>
      <c r="B242" s="4">
        <v>51</v>
      </c>
      <c r="C242">
        <f t="shared" si="15"/>
        <v>42.413355662064738</v>
      </c>
      <c r="D242" s="8">
        <f t="shared" si="16"/>
        <v>8.5866443379352617</v>
      </c>
      <c r="E242" s="8">
        <f t="shared" si="17"/>
        <v>8.5866443379352617</v>
      </c>
      <c r="F242" s="8">
        <f t="shared" si="18"/>
        <v>73.730460986195695</v>
      </c>
      <c r="G242" s="5">
        <f t="shared" si="19"/>
        <v>0.16836557525363258</v>
      </c>
    </row>
    <row r="243" spans="1:7" ht="15.75" customHeight="1">
      <c r="A243" s="3">
        <v>21792</v>
      </c>
      <c r="B243" s="4">
        <v>41</v>
      </c>
      <c r="C243">
        <f t="shared" si="15"/>
        <v>48.424006698619415</v>
      </c>
      <c r="D243" s="8">
        <f t="shared" si="16"/>
        <v>-7.4240066986194151</v>
      </c>
      <c r="E243" s="8">
        <f t="shared" si="17"/>
        <v>7.4240066986194151</v>
      </c>
      <c r="F243" s="8">
        <f t="shared" si="18"/>
        <v>55.115875461145947</v>
      </c>
      <c r="G243" s="5">
        <f t="shared" si="19"/>
        <v>0.18107333411266865</v>
      </c>
    </row>
    <row r="244" spans="1:7" ht="15.75" customHeight="1">
      <c r="A244" s="3">
        <v>21793</v>
      </c>
      <c r="B244" s="4">
        <v>44</v>
      </c>
      <c r="C244">
        <f t="shared" si="15"/>
        <v>43.227202009585824</v>
      </c>
      <c r="D244" s="8">
        <f t="shared" si="16"/>
        <v>0.77279799041417618</v>
      </c>
      <c r="E244" s="8">
        <f t="shared" si="17"/>
        <v>0.77279799041417618</v>
      </c>
      <c r="F244" s="8">
        <f t="shared" si="18"/>
        <v>0.5972167339881892</v>
      </c>
      <c r="G244" s="5">
        <f t="shared" si="19"/>
        <v>1.7563590691231278E-2</v>
      </c>
    </row>
    <row r="245" spans="1:7" ht="15.75" customHeight="1">
      <c r="A245" s="3">
        <v>21794</v>
      </c>
      <c r="B245" s="4">
        <v>38</v>
      </c>
      <c r="C245">
        <f t="shared" si="15"/>
        <v>43.768160602875746</v>
      </c>
      <c r="D245" s="8">
        <f t="shared" si="16"/>
        <v>-5.7681606028757457</v>
      </c>
      <c r="E245" s="8">
        <f t="shared" si="17"/>
        <v>5.7681606028757457</v>
      </c>
      <c r="F245" s="8">
        <f t="shared" si="18"/>
        <v>33.271676740567884</v>
      </c>
      <c r="G245" s="5">
        <f t="shared" si="19"/>
        <v>0.15179370007567752</v>
      </c>
    </row>
    <row r="246" spans="1:7" ht="15.75" customHeight="1">
      <c r="A246" s="3">
        <v>21795</v>
      </c>
      <c r="B246" s="4">
        <v>68</v>
      </c>
      <c r="C246">
        <f t="shared" si="15"/>
        <v>39.730448180862723</v>
      </c>
      <c r="D246" s="8">
        <f t="shared" si="16"/>
        <v>28.269551819137277</v>
      </c>
      <c r="E246" s="8">
        <f t="shared" si="17"/>
        <v>28.269551819137277</v>
      </c>
      <c r="F246" s="8">
        <f t="shared" si="18"/>
        <v>799.16756005488776</v>
      </c>
      <c r="G246" s="5">
        <f t="shared" si="19"/>
        <v>0.41572870322260702</v>
      </c>
    </row>
    <row r="247" spans="1:7" ht="15.75" customHeight="1">
      <c r="A247" s="3">
        <v>21796</v>
      </c>
      <c r="B247" s="4">
        <v>40</v>
      </c>
      <c r="C247">
        <f t="shared" si="15"/>
        <v>59.519134454258811</v>
      </c>
      <c r="D247" s="8">
        <f t="shared" si="16"/>
        <v>-19.519134454258811</v>
      </c>
      <c r="E247" s="8">
        <f t="shared" si="17"/>
        <v>19.519134454258811</v>
      </c>
      <c r="F247" s="8">
        <f t="shared" si="18"/>
        <v>380.99660984343342</v>
      </c>
      <c r="G247" s="5">
        <f t="shared" si="19"/>
        <v>0.48797836135647027</v>
      </c>
    </row>
    <row r="248" spans="1:7" ht="15.75" customHeight="1">
      <c r="A248" s="3">
        <v>21797</v>
      </c>
      <c r="B248" s="4">
        <v>42</v>
      </c>
      <c r="C248">
        <f t="shared" si="15"/>
        <v>45.855740336277641</v>
      </c>
      <c r="D248" s="8">
        <f t="shared" si="16"/>
        <v>-3.8557403362776412</v>
      </c>
      <c r="E248" s="8">
        <f t="shared" si="17"/>
        <v>3.8557403362776412</v>
      </c>
      <c r="F248" s="8">
        <f t="shared" si="18"/>
        <v>14.866733540798418</v>
      </c>
      <c r="G248" s="5">
        <f t="shared" si="19"/>
        <v>9.1803341339943834E-2</v>
      </c>
    </row>
    <row r="249" spans="1:7" ht="15.75" customHeight="1">
      <c r="A249" s="3">
        <v>21798</v>
      </c>
      <c r="B249" s="4">
        <v>51</v>
      </c>
      <c r="C249">
        <f t="shared" si="15"/>
        <v>43.156722100883293</v>
      </c>
      <c r="D249" s="8">
        <f t="shared" si="16"/>
        <v>7.8432778991167069</v>
      </c>
      <c r="E249" s="8">
        <f t="shared" si="17"/>
        <v>7.8432778991167069</v>
      </c>
      <c r="F249" s="8">
        <f t="shared" si="18"/>
        <v>61.517008202772587</v>
      </c>
      <c r="G249" s="5">
        <f t="shared" si="19"/>
        <v>0.15378976272777856</v>
      </c>
    </row>
    <row r="250" spans="1:7" ht="15.75" customHeight="1">
      <c r="A250" s="3">
        <v>21799</v>
      </c>
      <c r="B250" s="4">
        <v>44</v>
      </c>
      <c r="C250">
        <f t="shared" si="15"/>
        <v>48.647016630264986</v>
      </c>
      <c r="D250" s="8">
        <f t="shared" si="16"/>
        <v>-4.6470166302649858</v>
      </c>
      <c r="E250" s="8">
        <f t="shared" si="17"/>
        <v>4.6470166302649858</v>
      </c>
      <c r="F250" s="8">
        <f t="shared" si="18"/>
        <v>21.594763561959343</v>
      </c>
      <c r="G250" s="5">
        <f t="shared" si="19"/>
        <v>0.10561401432420423</v>
      </c>
    </row>
    <row r="251" spans="1:7" ht="15.75" customHeight="1">
      <c r="A251" s="3">
        <v>21800</v>
      </c>
      <c r="B251" s="4">
        <v>45</v>
      </c>
      <c r="C251">
        <f t="shared" si="15"/>
        <v>45.394104989079494</v>
      </c>
      <c r="D251" s="8">
        <f t="shared" si="16"/>
        <v>-0.39410498907949432</v>
      </c>
      <c r="E251" s="8">
        <f t="shared" si="17"/>
        <v>0.39410498907949432</v>
      </c>
      <c r="F251" s="8">
        <f t="shared" si="18"/>
        <v>0.15531874241734833</v>
      </c>
      <c r="G251" s="5">
        <f t="shared" si="19"/>
        <v>8.7578886462109842E-3</v>
      </c>
    </row>
    <row r="252" spans="1:7" ht="15.75" customHeight="1">
      <c r="A252" s="3">
        <v>21801</v>
      </c>
      <c r="B252" s="4">
        <v>36</v>
      </c>
      <c r="C252">
        <f t="shared" si="15"/>
        <v>45.118231496723844</v>
      </c>
      <c r="D252" s="8">
        <f t="shared" si="16"/>
        <v>-9.118231496723844</v>
      </c>
      <c r="E252" s="8">
        <f t="shared" si="17"/>
        <v>9.118231496723844</v>
      </c>
      <c r="F252" s="8">
        <f t="shared" si="18"/>
        <v>83.142145627846759</v>
      </c>
      <c r="G252" s="5">
        <f t="shared" si="19"/>
        <v>0.253284208242329</v>
      </c>
    </row>
    <row r="253" spans="1:7" ht="15.75" customHeight="1">
      <c r="A253" s="3">
        <v>21802</v>
      </c>
      <c r="B253" s="4">
        <v>57</v>
      </c>
      <c r="C253">
        <f t="shared" si="15"/>
        <v>38.735469449017152</v>
      </c>
      <c r="D253" s="8">
        <f t="shared" si="16"/>
        <v>18.264530550982848</v>
      </c>
      <c r="E253" s="8">
        <f t="shared" si="17"/>
        <v>18.264530550982848</v>
      </c>
      <c r="F253" s="8">
        <f t="shared" si="18"/>
        <v>333.5930762477858</v>
      </c>
      <c r="G253" s="5">
        <f t="shared" si="19"/>
        <v>0.32043036054355872</v>
      </c>
    </row>
    <row r="254" spans="1:7" ht="15.75" customHeight="1">
      <c r="A254" s="3">
        <v>21803</v>
      </c>
      <c r="B254" s="4">
        <v>44</v>
      </c>
      <c r="C254">
        <f t="shared" si="15"/>
        <v>51.520640834705148</v>
      </c>
      <c r="D254" s="8">
        <f t="shared" si="16"/>
        <v>-7.5206408347051479</v>
      </c>
      <c r="E254" s="8">
        <f t="shared" si="17"/>
        <v>7.5206408347051479</v>
      </c>
      <c r="F254" s="8">
        <f t="shared" si="18"/>
        <v>56.560038564634546</v>
      </c>
      <c r="G254" s="5">
        <f t="shared" si="19"/>
        <v>0.17092365533420792</v>
      </c>
    </row>
    <row r="255" spans="1:7" ht="15.75" customHeight="1">
      <c r="A255" s="3">
        <v>21804</v>
      </c>
      <c r="B255" s="4">
        <v>42</v>
      </c>
      <c r="C255">
        <f t="shared" si="15"/>
        <v>46.256192250411544</v>
      </c>
      <c r="D255" s="8">
        <f t="shared" si="16"/>
        <v>-4.2561922504115444</v>
      </c>
      <c r="E255" s="8">
        <f t="shared" si="17"/>
        <v>4.2561922504115444</v>
      </c>
      <c r="F255" s="8">
        <f t="shared" si="18"/>
        <v>18.115172472463286</v>
      </c>
      <c r="G255" s="5">
        <f t="shared" si="19"/>
        <v>0.10133791072408439</v>
      </c>
    </row>
    <row r="256" spans="1:7" ht="15.75" customHeight="1">
      <c r="A256" s="3">
        <v>21805</v>
      </c>
      <c r="B256" s="4">
        <v>53</v>
      </c>
      <c r="C256">
        <f t="shared" si="15"/>
        <v>43.276857675123459</v>
      </c>
      <c r="D256" s="8">
        <f t="shared" si="16"/>
        <v>9.723142324876541</v>
      </c>
      <c r="E256" s="8">
        <f t="shared" si="17"/>
        <v>9.723142324876541</v>
      </c>
      <c r="F256" s="8">
        <f t="shared" si="18"/>
        <v>94.539496669805587</v>
      </c>
      <c r="G256" s="5">
        <f t="shared" si="19"/>
        <v>0.18345551556370832</v>
      </c>
    </row>
    <row r="257" spans="1:7" ht="15.75" customHeight="1">
      <c r="A257" s="3">
        <v>21806</v>
      </c>
      <c r="B257" s="4">
        <v>42</v>
      </c>
      <c r="C257">
        <f t="shared" si="15"/>
        <v>50.083057302537028</v>
      </c>
      <c r="D257" s="8">
        <f t="shared" si="16"/>
        <v>-8.0830573025370285</v>
      </c>
      <c r="E257" s="8">
        <f t="shared" si="17"/>
        <v>8.0830573025370285</v>
      </c>
      <c r="F257" s="8">
        <f t="shared" si="18"/>
        <v>65.335815356097186</v>
      </c>
      <c r="G257" s="5">
        <f t="shared" si="19"/>
        <v>0.19245374529850068</v>
      </c>
    </row>
    <row r="258" spans="1:7" ht="15.75" customHeight="1">
      <c r="A258" s="3">
        <v>21807</v>
      </c>
      <c r="B258" s="4">
        <v>34</v>
      </c>
      <c r="C258">
        <f t="shared" si="15"/>
        <v>44.424917190761107</v>
      </c>
      <c r="D258" s="8">
        <f t="shared" si="16"/>
        <v>-10.424917190761107</v>
      </c>
      <c r="E258" s="8">
        <f t="shared" si="17"/>
        <v>10.424917190761107</v>
      </c>
      <c r="F258" s="8">
        <f t="shared" si="18"/>
        <v>108.67889843422645</v>
      </c>
      <c r="G258" s="5">
        <f t="shared" si="19"/>
        <v>0.30661521149297372</v>
      </c>
    </row>
    <row r="259" spans="1:7" ht="15.75" customHeight="1">
      <c r="A259" s="3">
        <v>21808</v>
      </c>
      <c r="B259" s="4">
        <v>40</v>
      </c>
      <c r="C259">
        <f t="shared" si="15"/>
        <v>37.127475157228332</v>
      </c>
      <c r="D259" s="8">
        <f t="shared" si="16"/>
        <v>2.8725248427716679</v>
      </c>
      <c r="E259" s="8">
        <f t="shared" si="17"/>
        <v>2.8725248427716679</v>
      </c>
      <c r="F259" s="8">
        <f t="shared" si="18"/>
        <v>8.2513989723403949</v>
      </c>
      <c r="G259" s="5">
        <f t="shared" si="19"/>
        <v>7.1813121069291691E-2</v>
      </c>
    </row>
    <row r="260" spans="1:7" ht="15.75" customHeight="1">
      <c r="A260" s="3">
        <v>21809</v>
      </c>
      <c r="B260" s="4">
        <v>56</v>
      </c>
      <c r="C260">
        <f t="shared" ref="C260:C323" si="20">0.7*B259+0.3*C259</f>
        <v>39.138242547168502</v>
      </c>
      <c r="D260" s="8">
        <f t="shared" ref="D260:D323" si="21">B260-C260</f>
        <v>16.861757452831498</v>
      </c>
      <c r="E260" s="8">
        <f t="shared" ref="E260:E323" si="22">ABS(D260)</f>
        <v>16.861757452831498</v>
      </c>
      <c r="F260" s="8">
        <f t="shared" ref="F260:F323" si="23">E260^2</f>
        <v>284.31886439811854</v>
      </c>
      <c r="G260" s="5">
        <f t="shared" ref="G260:G323" si="24">E260/B260</f>
        <v>0.3011028116577053</v>
      </c>
    </row>
    <row r="261" spans="1:7" ht="15.75" customHeight="1">
      <c r="A261" s="3">
        <v>21810</v>
      </c>
      <c r="B261" s="4">
        <v>44</v>
      </c>
      <c r="C261">
        <f t="shared" si="20"/>
        <v>50.941472764150546</v>
      </c>
      <c r="D261" s="8">
        <f t="shared" si="21"/>
        <v>-6.9414727641505465</v>
      </c>
      <c r="E261" s="8">
        <f t="shared" si="22"/>
        <v>6.9414727641505465</v>
      </c>
      <c r="F261" s="8">
        <f t="shared" si="23"/>
        <v>48.184044135443827</v>
      </c>
      <c r="G261" s="5">
        <f t="shared" si="24"/>
        <v>0.15776074463978515</v>
      </c>
    </row>
    <row r="262" spans="1:7" ht="15.75" customHeight="1">
      <c r="A262" s="3">
        <v>21811</v>
      </c>
      <c r="B262" s="4">
        <v>53</v>
      </c>
      <c r="C262">
        <f t="shared" si="20"/>
        <v>46.082441829245163</v>
      </c>
      <c r="D262" s="8">
        <f t="shared" si="21"/>
        <v>6.9175581707548375</v>
      </c>
      <c r="E262" s="8">
        <f t="shared" si="22"/>
        <v>6.9175581707548375</v>
      </c>
      <c r="F262" s="8">
        <f t="shared" si="23"/>
        <v>47.85261104577701</v>
      </c>
      <c r="G262" s="5">
        <f t="shared" si="24"/>
        <v>0.13051996548594033</v>
      </c>
    </row>
    <row r="263" spans="1:7" ht="15.75" customHeight="1">
      <c r="A263" s="3">
        <v>21812</v>
      </c>
      <c r="B263" s="4">
        <v>55</v>
      </c>
      <c r="C263">
        <f t="shared" si="20"/>
        <v>50.924732548773541</v>
      </c>
      <c r="D263" s="8">
        <f t="shared" si="21"/>
        <v>4.0752674512264591</v>
      </c>
      <c r="E263" s="8">
        <f t="shared" si="22"/>
        <v>4.0752674512264591</v>
      </c>
      <c r="F263" s="8">
        <f t="shared" si="23"/>
        <v>16.6078047990258</v>
      </c>
      <c r="G263" s="5">
        <f t="shared" si="24"/>
        <v>7.4095771840481078E-2</v>
      </c>
    </row>
    <row r="264" spans="1:7" ht="15.75" customHeight="1">
      <c r="A264" s="3">
        <v>21813</v>
      </c>
      <c r="B264" s="4">
        <v>39</v>
      </c>
      <c r="C264">
        <f t="shared" si="20"/>
        <v>53.777419764632057</v>
      </c>
      <c r="D264" s="8">
        <f t="shared" si="21"/>
        <v>-14.777419764632057</v>
      </c>
      <c r="E264" s="8">
        <f t="shared" si="22"/>
        <v>14.777419764632057</v>
      </c>
      <c r="F264" s="8">
        <f t="shared" si="23"/>
        <v>218.37213490013818</v>
      </c>
      <c r="G264" s="5">
        <f t="shared" si="24"/>
        <v>0.37890819909312967</v>
      </c>
    </row>
    <row r="265" spans="1:7" ht="15.75" customHeight="1">
      <c r="A265" s="3">
        <v>21814</v>
      </c>
      <c r="B265" s="4">
        <v>59</v>
      </c>
      <c r="C265">
        <f t="shared" si="20"/>
        <v>43.433225929389614</v>
      </c>
      <c r="D265" s="8">
        <f t="shared" si="21"/>
        <v>15.566774070610386</v>
      </c>
      <c r="E265" s="8">
        <f t="shared" si="22"/>
        <v>15.566774070610386</v>
      </c>
      <c r="F265" s="8">
        <f t="shared" si="23"/>
        <v>242.32445496542783</v>
      </c>
      <c r="G265" s="5">
        <f t="shared" si="24"/>
        <v>0.26384362831543029</v>
      </c>
    </row>
    <row r="266" spans="1:7" ht="15.75" customHeight="1">
      <c r="A266" s="3">
        <v>21815</v>
      </c>
      <c r="B266" s="4">
        <v>55</v>
      </c>
      <c r="C266">
        <f t="shared" si="20"/>
        <v>54.329967778816879</v>
      </c>
      <c r="D266" s="8">
        <f t="shared" si="21"/>
        <v>0.67003222118312067</v>
      </c>
      <c r="E266" s="8">
        <f t="shared" si="22"/>
        <v>0.67003222118312067</v>
      </c>
      <c r="F266" s="8">
        <f t="shared" si="23"/>
        <v>0.44894317742358636</v>
      </c>
      <c r="G266" s="5">
        <f t="shared" si="24"/>
        <v>1.2182404021511285E-2</v>
      </c>
    </row>
    <row r="267" spans="1:7" ht="15.75" customHeight="1">
      <c r="A267" s="3">
        <v>21816</v>
      </c>
      <c r="B267" s="4">
        <v>73</v>
      </c>
      <c r="C267">
        <f t="shared" si="20"/>
        <v>54.798990333645065</v>
      </c>
      <c r="D267" s="8">
        <f t="shared" si="21"/>
        <v>18.201009666354935</v>
      </c>
      <c r="E267" s="8">
        <f t="shared" si="22"/>
        <v>18.201009666354935</v>
      </c>
      <c r="F267" s="8">
        <f t="shared" si="23"/>
        <v>331.2767528747458</v>
      </c>
      <c r="G267" s="5">
        <f t="shared" si="24"/>
        <v>0.24932889953910869</v>
      </c>
    </row>
    <row r="268" spans="1:7" ht="15.75" customHeight="1">
      <c r="A268" s="3">
        <v>21817</v>
      </c>
      <c r="B268" s="4">
        <v>55</v>
      </c>
      <c r="C268">
        <f t="shared" si="20"/>
        <v>67.53969710009352</v>
      </c>
      <c r="D268" s="8">
        <f t="shared" si="21"/>
        <v>-12.53969710009352</v>
      </c>
      <c r="E268" s="8">
        <f t="shared" si="22"/>
        <v>12.53969710009352</v>
      </c>
      <c r="F268" s="8">
        <f t="shared" si="23"/>
        <v>157.24400336209382</v>
      </c>
      <c r="G268" s="5">
        <f t="shared" si="24"/>
        <v>0.22799449272897307</v>
      </c>
    </row>
    <row r="269" spans="1:7" ht="15.75" customHeight="1">
      <c r="A269" s="3">
        <v>21818</v>
      </c>
      <c r="B269" s="4">
        <v>44</v>
      </c>
      <c r="C269">
        <f t="shared" si="20"/>
        <v>58.761909130028059</v>
      </c>
      <c r="D269" s="8">
        <f t="shared" si="21"/>
        <v>-14.761909130028059</v>
      </c>
      <c r="E269" s="8">
        <f t="shared" si="22"/>
        <v>14.761909130028059</v>
      </c>
      <c r="F269" s="8">
        <f t="shared" si="23"/>
        <v>217.91396116320576</v>
      </c>
      <c r="G269" s="5">
        <f t="shared" si="24"/>
        <v>0.33549793477336498</v>
      </c>
    </row>
    <row r="270" spans="1:7" ht="15.75" customHeight="1">
      <c r="A270" s="3">
        <v>21819</v>
      </c>
      <c r="B270" s="4">
        <v>43</v>
      </c>
      <c r="C270">
        <f t="shared" si="20"/>
        <v>48.428572739008416</v>
      </c>
      <c r="D270" s="8">
        <f t="shared" si="21"/>
        <v>-5.4285727390084162</v>
      </c>
      <c r="E270" s="8">
        <f t="shared" si="22"/>
        <v>5.4285727390084162</v>
      </c>
      <c r="F270" s="8">
        <f t="shared" si="23"/>
        <v>29.469401982705339</v>
      </c>
      <c r="G270" s="5">
        <f t="shared" si="24"/>
        <v>0.12624587765135853</v>
      </c>
    </row>
    <row r="271" spans="1:7" ht="15.75" customHeight="1">
      <c r="A271" s="3">
        <v>21820</v>
      </c>
      <c r="B271" s="4">
        <v>40</v>
      </c>
      <c r="C271">
        <f t="shared" si="20"/>
        <v>44.628571821702522</v>
      </c>
      <c r="D271" s="8">
        <f t="shared" si="21"/>
        <v>-4.628571821702522</v>
      </c>
      <c r="E271" s="8">
        <f t="shared" si="22"/>
        <v>4.628571821702522</v>
      </c>
      <c r="F271" s="8">
        <f t="shared" si="23"/>
        <v>21.423677108658602</v>
      </c>
      <c r="G271" s="5">
        <f t="shared" si="24"/>
        <v>0.11571429554256304</v>
      </c>
    </row>
    <row r="272" spans="1:7" ht="15.75" customHeight="1">
      <c r="A272" s="3">
        <v>21821</v>
      </c>
      <c r="B272" s="4">
        <v>47</v>
      </c>
      <c r="C272">
        <f t="shared" si="20"/>
        <v>41.388571546510754</v>
      </c>
      <c r="D272" s="8">
        <f t="shared" si="21"/>
        <v>5.6114284534892462</v>
      </c>
      <c r="E272" s="8">
        <f t="shared" si="22"/>
        <v>5.6114284534892462</v>
      </c>
      <c r="F272" s="8">
        <f t="shared" si="23"/>
        <v>31.488129288628713</v>
      </c>
      <c r="G272" s="5">
        <f t="shared" si="24"/>
        <v>0.11939209475509034</v>
      </c>
    </row>
    <row r="273" spans="1:7" ht="15.75" customHeight="1">
      <c r="A273" s="3">
        <v>21822</v>
      </c>
      <c r="B273" s="4">
        <v>51</v>
      </c>
      <c r="C273">
        <f t="shared" si="20"/>
        <v>45.316571463953224</v>
      </c>
      <c r="D273" s="8">
        <f t="shared" si="21"/>
        <v>5.683428536046776</v>
      </c>
      <c r="E273" s="8">
        <f t="shared" si="22"/>
        <v>5.683428536046776</v>
      </c>
      <c r="F273" s="8">
        <f t="shared" si="23"/>
        <v>32.301359924350798</v>
      </c>
      <c r="G273" s="5">
        <f t="shared" si="24"/>
        <v>0.11143977521660345</v>
      </c>
    </row>
    <row r="274" spans="1:7" ht="15.75" customHeight="1">
      <c r="A274" s="3">
        <v>21823</v>
      </c>
      <c r="B274" s="4">
        <v>56</v>
      </c>
      <c r="C274">
        <f t="shared" si="20"/>
        <v>49.294971439185964</v>
      </c>
      <c r="D274" s="8">
        <f t="shared" si="21"/>
        <v>6.7050285608140356</v>
      </c>
      <c r="E274" s="8">
        <f t="shared" si="22"/>
        <v>6.7050285608140356</v>
      </c>
      <c r="F274" s="8">
        <f t="shared" si="23"/>
        <v>44.957408001331935</v>
      </c>
      <c r="G274" s="5">
        <f t="shared" si="24"/>
        <v>0.11973265287167921</v>
      </c>
    </row>
    <row r="275" spans="1:7" ht="15.75" customHeight="1">
      <c r="A275" s="3">
        <v>21824</v>
      </c>
      <c r="B275" s="4">
        <v>49</v>
      </c>
      <c r="C275">
        <f t="shared" si="20"/>
        <v>53.988491431755783</v>
      </c>
      <c r="D275" s="8">
        <f t="shared" si="21"/>
        <v>-4.9884914317557829</v>
      </c>
      <c r="E275" s="8">
        <f t="shared" si="22"/>
        <v>4.9884914317557829</v>
      </c>
      <c r="F275" s="8">
        <f t="shared" si="23"/>
        <v>24.88504676470086</v>
      </c>
      <c r="G275" s="5">
        <f t="shared" si="24"/>
        <v>0.10180594758685271</v>
      </c>
    </row>
    <row r="276" spans="1:7" ht="15.75" customHeight="1">
      <c r="A276" s="3">
        <v>21825</v>
      </c>
      <c r="B276" s="4">
        <v>54</v>
      </c>
      <c r="C276">
        <f t="shared" si="20"/>
        <v>50.496547429526728</v>
      </c>
      <c r="D276" s="8">
        <f t="shared" si="21"/>
        <v>3.5034525704732715</v>
      </c>
      <c r="E276" s="8">
        <f t="shared" si="22"/>
        <v>3.5034525704732715</v>
      </c>
      <c r="F276" s="8">
        <f t="shared" si="23"/>
        <v>12.274179913555773</v>
      </c>
      <c r="G276" s="5">
        <f t="shared" si="24"/>
        <v>6.4878751305060586E-2</v>
      </c>
    </row>
    <row r="277" spans="1:7" ht="15.75" customHeight="1">
      <c r="A277" s="3">
        <v>21826</v>
      </c>
      <c r="B277" s="4">
        <v>56</v>
      </c>
      <c r="C277">
        <f t="shared" si="20"/>
        <v>52.948964228858017</v>
      </c>
      <c r="D277" s="8">
        <f t="shared" si="21"/>
        <v>3.0510357711419829</v>
      </c>
      <c r="E277" s="8">
        <f t="shared" si="22"/>
        <v>3.0510357711419829</v>
      </c>
      <c r="F277" s="8">
        <f t="shared" si="23"/>
        <v>9.3088192767879541</v>
      </c>
      <c r="G277" s="5">
        <f t="shared" si="24"/>
        <v>5.4482781627535407E-2</v>
      </c>
    </row>
    <row r="278" spans="1:7" ht="15.75" customHeight="1">
      <c r="A278" s="3">
        <v>21827</v>
      </c>
      <c r="B278" s="4">
        <v>47</v>
      </c>
      <c r="C278">
        <f t="shared" si="20"/>
        <v>55.084689268657399</v>
      </c>
      <c r="D278" s="8">
        <f t="shared" si="21"/>
        <v>-8.0846892686573995</v>
      </c>
      <c r="E278" s="8">
        <f t="shared" si="22"/>
        <v>8.0846892686573995</v>
      </c>
      <c r="F278" s="8">
        <f t="shared" si="23"/>
        <v>65.362200570744122</v>
      </c>
      <c r="G278" s="5">
        <f t="shared" si="24"/>
        <v>0.17201466529058296</v>
      </c>
    </row>
    <row r="279" spans="1:7" ht="15.75" customHeight="1">
      <c r="A279" s="3">
        <v>21828</v>
      </c>
      <c r="B279" s="4">
        <v>44</v>
      </c>
      <c r="C279">
        <f t="shared" si="20"/>
        <v>49.425406780597214</v>
      </c>
      <c r="D279" s="8">
        <f t="shared" si="21"/>
        <v>-5.4254067805972142</v>
      </c>
      <c r="E279" s="8">
        <f t="shared" si="22"/>
        <v>5.4254067805972142</v>
      </c>
      <c r="F279" s="8">
        <f t="shared" si="23"/>
        <v>29.435038734950229</v>
      </c>
      <c r="G279" s="5">
        <f t="shared" si="24"/>
        <v>0.12330469955902759</v>
      </c>
    </row>
    <row r="280" spans="1:7" ht="15.75" customHeight="1">
      <c r="A280" s="3">
        <v>21829</v>
      </c>
      <c r="B280" s="4">
        <v>43</v>
      </c>
      <c r="C280">
        <f t="shared" si="20"/>
        <v>45.627622034179161</v>
      </c>
      <c r="D280" s="8">
        <f t="shared" si="21"/>
        <v>-2.6276220341791614</v>
      </c>
      <c r="E280" s="8">
        <f t="shared" si="22"/>
        <v>2.6276220341791614</v>
      </c>
      <c r="F280" s="8">
        <f t="shared" si="23"/>
        <v>6.9043975545038343</v>
      </c>
      <c r="G280" s="5">
        <f t="shared" si="24"/>
        <v>6.1107489166957241E-2</v>
      </c>
    </row>
    <row r="281" spans="1:7" ht="15.75" customHeight="1">
      <c r="A281" s="3">
        <v>21830</v>
      </c>
      <c r="B281" s="4">
        <v>42</v>
      </c>
      <c r="C281">
        <f t="shared" si="20"/>
        <v>43.788286610253749</v>
      </c>
      <c r="D281" s="8">
        <f t="shared" si="21"/>
        <v>-1.7882866102537491</v>
      </c>
      <c r="E281" s="8">
        <f t="shared" si="22"/>
        <v>1.7882866102537491</v>
      </c>
      <c r="F281" s="8">
        <f t="shared" si="23"/>
        <v>3.1979690004128445</v>
      </c>
      <c r="G281" s="5">
        <f t="shared" si="24"/>
        <v>4.2578252625089262E-2</v>
      </c>
    </row>
    <row r="282" spans="1:7" ht="15.75" customHeight="1">
      <c r="A282" s="3">
        <v>21831</v>
      </c>
      <c r="B282" s="4">
        <v>45</v>
      </c>
      <c r="C282">
        <f t="shared" si="20"/>
        <v>42.536485983076119</v>
      </c>
      <c r="D282" s="8">
        <f t="shared" si="21"/>
        <v>2.4635140169238809</v>
      </c>
      <c r="E282" s="8">
        <f t="shared" si="22"/>
        <v>2.4635140169238809</v>
      </c>
      <c r="F282" s="8">
        <f t="shared" si="23"/>
        <v>6.0689013115804356</v>
      </c>
      <c r="G282" s="5">
        <f t="shared" si="24"/>
        <v>5.4744755931641798E-2</v>
      </c>
    </row>
    <row r="283" spans="1:7" ht="15.75" customHeight="1">
      <c r="A283" s="3">
        <v>21832</v>
      </c>
      <c r="B283" s="4">
        <v>50</v>
      </c>
      <c r="C283">
        <f t="shared" si="20"/>
        <v>44.260945794922833</v>
      </c>
      <c r="D283" s="8">
        <f t="shared" si="21"/>
        <v>5.7390542050771671</v>
      </c>
      <c r="E283" s="8">
        <f t="shared" si="22"/>
        <v>5.7390542050771671</v>
      </c>
      <c r="F283" s="8">
        <f t="shared" si="23"/>
        <v>32.936743168813912</v>
      </c>
      <c r="G283" s="5">
        <f t="shared" si="24"/>
        <v>0.11478108410154335</v>
      </c>
    </row>
    <row r="284" spans="1:7" ht="15.75" customHeight="1">
      <c r="A284" s="3">
        <v>21833</v>
      </c>
      <c r="B284" s="4">
        <v>48</v>
      </c>
      <c r="C284">
        <f t="shared" si="20"/>
        <v>48.278283738476851</v>
      </c>
      <c r="D284" s="8">
        <f t="shared" si="21"/>
        <v>-0.27828373847685128</v>
      </c>
      <c r="E284" s="8">
        <f t="shared" si="22"/>
        <v>0.27828373847685128</v>
      </c>
      <c r="F284" s="8">
        <f t="shared" si="23"/>
        <v>7.7441839100652554E-2</v>
      </c>
      <c r="G284" s="5">
        <f t="shared" si="24"/>
        <v>5.7975778849344017E-3</v>
      </c>
    </row>
    <row r="285" spans="1:7" ht="15.75" customHeight="1">
      <c r="A285" s="3">
        <v>21834</v>
      </c>
      <c r="B285" s="4">
        <v>43</v>
      </c>
      <c r="C285">
        <f t="shared" si="20"/>
        <v>48.083485121543049</v>
      </c>
      <c r="D285" s="8">
        <f t="shared" si="21"/>
        <v>-5.083485121543049</v>
      </c>
      <c r="E285" s="8">
        <f t="shared" si="22"/>
        <v>5.083485121543049</v>
      </c>
      <c r="F285" s="8">
        <f t="shared" si="23"/>
        <v>25.841820980949546</v>
      </c>
      <c r="G285" s="5">
        <f t="shared" si="24"/>
        <v>0.11822058422193137</v>
      </c>
    </row>
    <row r="286" spans="1:7" ht="15.75" customHeight="1">
      <c r="A286" s="3">
        <v>21835</v>
      </c>
      <c r="B286" s="4">
        <v>40</v>
      </c>
      <c r="C286">
        <f t="shared" si="20"/>
        <v>44.525045536462912</v>
      </c>
      <c r="D286" s="8">
        <f t="shared" si="21"/>
        <v>-4.5250455364629119</v>
      </c>
      <c r="E286" s="8">
        <f t="shared" si="22"/>
        <v>4.5250455364629119</v>
      </c>
      <c r="F286" s="8">
        <f t="shared" si="23"/>
        <v>20.476037107062922</v>
      </c>
      <c r="G286" s="5">
        <f t="shared" si="24"/>
        <v>0.11312613841157279</v>
      </c>
    </row>
    <row r="287" spans="1:7" ht="15.75" customHeight="1">
      <c r="A287" s="3">
        <v>21836</v>
      </c>
      <c r="B287" s="4">
        <v>59</v>
      </c>
      <c r="C287">
        <f t="shared" si="20"/>
        <v>41.357513660938871</v>
      </c>
      <c r="D287" s="8">
        <f t="shared" si="21"/>
        <v>17.642486339061129</v>
      </c>
      <c r="E287" s="8">
        <f t="shared" si="22"/>
        <v>17.642486339061129</v>
      </c>
      <c r="F287" s="8">
        <f t="shared" si="23"/>
        <v>311.25732422395856</v>
      </c>
      <c r="G287" s="5">
        <f t="shared" si="24"/>
        <v>0.29902519218747675</v>
      </c>
    </row>
    <row r="288" spans="1:7" ht="15.75" customHeight="1">
      <c r="A288" s="3">
        <v>21837</v>
      </c>
      <c r="B288" s="4">
        <v>41</v>
      </c>
      <c r="C288">
        <f t="shared" si="20"/>
        <v>53.707254098281659</v>
      </c>
      <c r="D288" s="8">
        <f t="shared" si="21"/>
        <v>-12.707254098281659</v>
      </c>
      <c r="E288" s="8">
        <f t="shared" si="22"/>
        <v>12.707254098281659</v>
      </c>
      <c r="F288" s="8">
        <f t="shared" si="23"/>
        <v>161.47430671829602</v>
      </c>
      <c r="G288" s="5">
        <f t="shared" si="24"/>
        <v>0.30993302678735751</v>
      </c>
    </row>
    <row r="289" spans="1:7" ht="15.75" customHeight="1">
      <c r="A289" s="3">
        <v>21838</v>
      </c>
      <c r="B289" s="4">
        <v>42</v>
      </c>
      <c r="C289">
        <f t="shared" si="20"/>
        <v>44.812176229484493</v>
      </c>
      <c r="D289" s="8">
        <f t="shared" si="21"/>
        <v>-2.8121762294844928</v>
      </c>
      <c r="E289" s="8">
        <f t="shared" si="22"/>
        <v>2.8121762294844928</v>
      </c>
      <c r="F289" s="8">
        <f t="shared" si="23"/>
        <v>7.9083351456776185</v>
      </c>
      <c r="G289" s="5">
        <f t="shared" si="24"/>
        <v>6.6956576892487921E-2</v>
      </c>
    </row>
    <row r="290" spans="1:7" ht="15.75" customHeight="1">
      <c r="A290" s="3">
        <v>21839</v>
      </c>
      <c r="B290" s="4">
        <v>51</v>
      </c>
      <c r="C290">
        <f t="shared" si="20"/>
        <v>42.843652868845346</v>
      </c>
      <c r="D290" s="8">
        <f t="shared" si="21"/>
        <v>8.1563471311546536</v>
      </c>
      <c r="E290" s="8">
        <f t="shared" si="22"/>
        <v>8.1563471311546536</v>
      </c>
      <c r="F290" s="8">
        <f t="shared" si="23"/>
        <v>66.525998523894742</v>
      </c>
      <c r="G290" s="5">
        <f t="shared" si="24"/>
        <v>0.15992837512067948</v>
      </c>
    </row>
    <row r="291" spans="1:7" ht="15.75" customHeight="1">
      <c r="A291" s="3">
        <v>21840</v>
      </c>
      <c r="B291" s="4">
        <v>49</v>
      </c>
      <c r="C291">
        <f t="shared" si="20"/>
        <v>48.553095860653599</v>
      </c>
      <c r="D291" s="8">
        <f t="shared" si="21"/>
        <v>0.44690413934640105</v>
      </c>
      <c r="E291" s="8">
        <f t="shared" si="22"/>
        <v>0.44690413934640105</v>
      </c>
      <c r="F291" s="8">
        <f t="shared" si="23"/>
        <v>0.19972330976494745</v>
      </c>
      <c r="G291" s="5">
        <f t="shared" si="24"/>
        <v>9.1204926397224703E-3</v>
      </c>
    </row>
    <row r="292" spans="1:7" ht="15.75" customHeight="1">
      <c r="A292" s="3">
        <v>21841</v>
      </c>
      <c r="B292" s="4">
        <v>45</v>
      </c>
      <c r="C292">
        <f t="shared" si="20"/>
        <v>48.865928758196077</v>
      </c>
      <c r="D292" s="8">
        <f t="shared" si="21"/>
        <v>-3.8659287581960768</v>
      </c>
      <c r="E292" s="8">
        <f t="shared" si="22"/>
        <v>3.8659287581960768</v>
      </c>
      <c r="F292" s="8">
        <f t="shared" si="23"/>
        <v>14.945405163447461</v>
      </c>
      <c r="G292" s="5">
        <f t="shared" si="24"/>
        <v>8.5909527959912815E-2</v>
      </c>
    </row>
    <row r="293" spans="1:7" ht="15.75" customHeight="1">
      <c r="A293" s="3">
        <v>21842</v>
      </c>
      <c r="B293" s="4">
        <v>43</v>
      </c>
      <c r="C293">
        <f t="shared" si="20"/>
        <v>46.15977862745882</v>
      </c>
      <c r="D293" s="8">
        <f t="shared" si="21"/>
        <v>-3.1597786274588202</v>
      </c>
      <c r="E293" s="8">
        <f t="shared" si="22"/>
        <v>3.1597786274588202</v>
      </c>
      <c r="F293" s="8">
        <f t="shared" si="23"/>
        <v>9.984200974545546</v>
      </c>
      <c r="G293" s="5">
        <f t="shared" si="24"/>
        <v>7.3483223894391173E-2</v>
      </c>
    </row>
    <row r="294" spans="1:7" ht="15.75" customHeight="1">
      <c r="A294" s="3">
        <v>21843</v>
      </c>
      <c r="B294" s="4">
        <v>42</v>
      </c>
      <c r="C294">
        <f t="shared" si="20"/>
        <v>43.947933588237646</v>
      </c>
      <c r="D294" s="8">
        <f t="shared" si="21"/>
        <v>-1.9479335882376461</v>
      </c>
      <c r="E294" s="8">
        <f t="shared" si="22"/>
        <v>1.9479335882376461</v>
      </c>
      <c r="F294" s="8">
        <f t="shared" si="23"/>
        <v>3.7944452641843913</v>
      </c>
      <c r="G294" s="5">
        <f t="shared" si="24"/>
        <v>4.6379371148515383E-2</v>
      </c>
    </row>
    <row r="295" spans="1:7" ht="15.75" customHeight="1">
      <c r="A295" s="3">
        <v>21844</v>
      </c>
      <c r="B295" s="4">
        <v>38</v>
      </c>
      <c r="C295">
        <f t="shared" si="20"/>
        <v>42.584380076471291</v>
      </c>
      <c r="D295" s="8">
        <f t="shared" si="21"/>
        <v>-4.584380076471291</v>
      </c>
      <c r="E295" s="8">
        <f t="shared" si="22"/>
        <v>4.584380076471291</v>
      </c>
      <c r="F295" s="8">
        <f t="shared" si="23"/>
        <v>21.016540685546921</v>
      </c>
      <c r="G295" s="5">
        <f t="shared" si="24"/>
        <v>0.12064158095977082</v>
      </c>
    </row>
    <row r="296" spans="1:7" ht="15.75" customHeight="1">
      <c r="A296" s="3">
        <v>21845</v>
      </c>
      <c r="B296" s="4">
        <v>47</v>
      </c>
      <c r="C296">
        <f t="shared" si="20"/>
        <v>39.375314022941382</v>
      </c>
      <c r="D296" s="8">
        <f t="shared" si="21"/>
        <v>7.6246859770586184</v>
      </c>
      <c r="E296" s="8">
        <f t="shared" si="22"/>
        <v>7.6246859770586184</v>
      </c>
      <c r="F296" s="8">
        <f t="shared" si="23"/>
        <v>58.135836248754337</v>
      </c>
      <c r="G296" s="5">
        <f t="shared" si="24"/>
        <v>0.16222736121401315</v>
      </c>
    </row>
    <row r="297" spans="1:7" ht="15.75" customHeight="1">
      <c r="A297" s="3">
        <v>21846</v>
      </c>
      <c r="B297" s="4">
        <v>38</v>
      </c>
      <c r="C297">
        <f t="shared" si="20"/>
        <v>44.712594206882414</v>
      </c>
      <c r="D297" s="8">
        <f t="shared" si="21"/>
        <v>-6.7125942068824145</v>
      </c>
      <c r="E297" s="8">
        <f t="shared" si="22"/>
        <v>6.7125942068824145</v>
      </c>
      <c r="F297" s="8">
        <f t="shared" si="23"/>
        <v>45.058920986271353</v>
      </c>
      <c r="G297" s="5">
        <f t="shared" si="24"/>
        <v>0.17664721597058985</v>
      </c>
    </row>
    <row r="298" spans="1:7" ht="15.75" customHeight="1">
      <c r="A298" s="3">
        <v>21847</v>
      </c>
      <c r="B298" s="4">
        <v>36</v>
      </c>
      <c r="C298">
        <f t="shared" si="20"/>
        <v>40.013778262064719</v>
      </c>
      <c r="D298" s="8">
        <f t="shared" si="21"/>
        <v>-4.0137782620647187</v>
      </c>
      <c r="E298" s="8">
        <f t="shared" si="22"/>
        <v>4.0137782620647187</v>
      </c>
      <c r="F298" s="8">
        <f t="shared" si="23"/>
        <v>16.110415937023273</v>
      </c>
      <c r="G298" s="5">
        <f t="shared" si="24"/>
        <v>0.11149384061290885</v>
      </c>
    </row>
    <row r="299" spans="1:7" ht="15.75" customHeight="1">
      <c r="A299" s="3">
        <v>21848</v>
      </c>
      <c r="B299" s="4">
        <v>42</v>
      </c>
      <c r="C299">
        <f t="shared" si="20"/>
        <v>37.204133478619411</v>
      </c>
      <c r="D299" s="8">
        <f t="shared" si="21"/>
        <v>4.7958665213805887</v>
      </c>
      <c r="E299" s="8">
        <f t="shared" si="22"/>
        <v>4.7958665213805887</v>
      </c>
      <c r="F299" s="8">
        <f t="shared" si="23"/>
        <v>23.000335690899149</v>
      </c>
      <c r="G299" s="5">
        <f t="shared" si="24"/>
        <v>0.11418729812810925</v>
      </c>
    </row>
    <row r="300" spans="1:7" ht="15.75" customHeight="1">
      <c r="A300" s="3">
        <v>21849</v>
      </c>
      <c r="B300" s="4">
        <v>35</v>
      </c>
      <c r="C300">
        <f t="shared" si="20"/>
        <v>40.561240043585819</v>
      </c>
      <c r="D300" s="8">
        <f t="shared" si="21"/>
        <v>-5.5612400435858191</v>
      </c>
      <c r="E300" s="8">
        <f t="shared" si="22"/>
        <v>5.5612400435858191</v>
      </c>
      <c r="F300" s="8">
        <f t="shared" si="23"/>
        <v>30.927390822382403</v>
      </c>
      <c r="G300" s="5">
        <f t="shared" si="24"/>
        <v>0.15889257267388054</v>
      </c>
    </row>
    <row r="301" spans="1:7" ht="15.75" customHeight="1">
      <c r="A301" s="3">
        <v>21850</v>
      </c>
      <c r="B301" s="4">
        <v>28</v>
      </c>
      <c r="C301">
        <f t="shared" si="20"/>
        <v>36.668372013075746</v>
      </c>
      <c r="D301" s="8">
        <f t="shared" si="21"/>
        <v>-8.6683720130757465</v>
      </c>
      <c r="E301" s="8">
        <f t="shared" si="22"/>
        <v>8.6683720130757465</v>
      </c>
      <c r="F301" s="8">
        <f t="shared" si="23"/>
        <v>75.140673357074874</v>
      </c>
      <c r="G301" s="5">
        <f t="shared" si="24"/>
        <v>0.30958471475270521</v>
      </c>
    </row>
    <row r="302" spans="1:7" ht="15.75" customHeight="1">
      <c r="A302" s="3">
        <v>21851</v>
      </c>
      <c r="B302" s="4">
        <v>44</v>
      </c>
      <c r="C302">
        <f t="shared" si="20"/>
        <v>30.600511603922719</v>
      </c>
      <c r="D302" s="8">
        <f t="shared" si="21"/>
        <v>13.399488396077281</v>
      </c>
      <c r="E302" s="8">
        <f t="shared" si="22"/>
        <v>13.399488396077281</v>
      </c>
      <c r="F302" s="8">
        <f t="shared" si="23"/>
        <v>179.54628927660971</v>
      </c>
      <c r="G302" s="5">
        <f t="shared" si="24"/>
        <v>0.30453382718357458</v>
      </c>
    </row>
    <row r="303" spans="1:7" ht="15.75" customHeight="1">
      <c r="A303" s="3">
        <v>21852</v>
      </c>
      <c r="B303" s="4">
        <v>36</v>
      </c>
      <c r="C303">
        <f t="shared" si="20"/>
        <v>39.980153481176814</v>
      </c>
      <c r="D303" s="8">
        <f t="shared" si="21"/>
        <v>-3.9801534811768136</v>
      </c>
      <c r="E303" s="8">
        <f t="shared" si="22"/>
        <v>3.9801534811768136</v>
      </c>
      <c r="F303" s="8">
        <f t="shared" si="23"/>
        <v>15.841621733723908</v>
      </c>
      <c r="G303" s="5">
        <f t="shared" si="24"/>
        <v>0.11055981892157815</v>
      </c>
    </row>
    <row r="304" spans="1:7" ht="15.75" customHeight="1">
      <c r="A304" s="3">
        <v>21853</v>
      </c>
      <c r="B304" s="4">
        <v>45</v>
      </c>
      <c r="C304">
        <f t="shared" si="20"/>
        <v>37.194046044353044</v>
      </c>
      <c r="D304" s="8">
        <f t="shared" si="21"/>
        <v>7.8059539556469559</v>
      </c>
      <c r="E304" s="8">
        <f t="shared" si="22"/>
        <v>7.8059539556469559</v>
      </c>
      <c r="F304" s="8">
        <f t="shared" si="23"/>
        <v>60.932917157680357</v>
      </c>
      <c r="G304" s="5">
        <f t="shared" si="24"/>
        <v>0.17346564345882123</v>
      </c>
    </row>
    <row r="305" spans="1:7" ht="15.75" customHeight="1">
      <c r="A305" s="3">
        <v>21854</v>
      </c>
      <c r="B305" s="4">
        <v>46</v>
      </c>
      <c r="C305">
        <f t="shared" si="20"/>
        <v>42.658213813305906</v>
      </c>
      <c r="D305" s="8">
        <f t="shared" si="21"/>
        <v>3.3417861866940939</v>
      </c>
      <c r="E305" s="8">
        <f t="shared" si="22"/>
        <v>3.3417861866940939</v>
      </c>
      <c r="F305" s="8">
        <f t="shared" si="23"/>
        <v>11.167534917579454</v>
      </c>
      <c r="G305" s="5">
        <f t="shared" si="24"/>
        <v>7.264752579769769E-2</v>
      </c>
    </row>
    <row r="306" spans="1:7" ht="15.75" customHeight="1">
      <c r="A306" s="3">
        <v>21855</v>
      </c>
      <c r="B306" s="4">
        <v>48</v>
      </c>
      <c r="C306">
        <f t="shared" si="20"/>
        <v>44.997464143991763</v>
      </c>
      <c r="D306" s="8">
        <f t="shared" si="21"/>
        <v>3.0025358560082367</v>
      </c>
      <c r="E306" s="8">
        <f t="shared" si="22"/>
        <v>3.0025358560082367</v>
      </c>
      <c r="F306" s="8">
        <f t="shared" si="23"/>
        <v>9.0152215666151143</v>
      </c>
      <c r="G306" s="5">
        <f t="shared" si="24"/>
        <v>6.2552830333504936E-2</v>
      </c>
    </row>
    <row r="307" spans="1:7" ht="15.75" customHeight="1">
      <c r="A307" s="3">
        <v>21856</v>
      </c>
      <c r="B307" s="4">
        <v>49</v>
      </c>
      <c r="C307">
        <f t="shared" si="20"/>
        <v>47.099239243197523</v>
      </c>
      <c r="D307" s="8">
        <f t="shared" si="21"/>
        <v>1.9007607568024767</v>
      </c>
      <c r="E307" s="8">
        <f t="shared" si="22"/>
        <v>1.9007607568024767</v>
      </c>
      <c r="F307" s="8">
        <f t="shared" si="23"/>
        <v>3.6128914546003239</v>
      </c>
      <c r="G307" s="5">
        <f t="shared" si="24"/>
        <v>3.879103585311177E-2</v>
      </c>
    </row>
    <row r="308" spans="1:7" ht="15.75" customHeight="1">
      <c r="A308" s="3">
        <v>21857</v>
      </c>
      <c r="B308" s="4">
        <v>43</v>
      </c>
      <c r="C308">
        <f t="shared" si="20"/>
        <v>48.429771772959256</v>
      </c>
      <c r="D308" s="8">
        <f t="shared" si="21"/>
        <v>-5.4297717729592563</v>
      </c>
      <c r="E308" s="8">
        <f t="shared" si="22"/>
        <v>5.4297717729592563</v>
      </c>
      <c r="F308" s="8">
        <f t="shared" si="23"/>
        <v>29.482421506425105</v>
      </c>
      <c r="G308" s="5">
        <f t="shared" si="24"/>
        <v>0.12627376216184316</v>
      </c>
    </row>
    <row r="309" spans="1:7" ht="15.75" customHeight="1">
      <c r="A309" s="3">
        <v>21858</v>
      </c>
      <c r="B309" s="4">
        <v>42</v>
      </c>
      <c r="C309">
        <f t="shared" si="20"/>
        <v>44.628931531887773</v>
      </c>
      <c r="D309" s="8">
        <f t="shared" si="21"/>
        <v>-2.6289315318877726</v>
      </c>
      <c r="E309" s="8">
        <f t="shared" si="22"/>
        <v>2.6289315318877726</v>
      </c>
      <c r="F309" s="8">
        <f t="shared" si="23"/>
        <v>6.9112809993537905</v>
      </c>
      <c r="G309" s="5">
        <f t="shared" si="24"/>
        <v>6.2593607902089829E-2</v>
      </c>
    </row>
    <row r="310" spans="1:7" ht="15.75" customHeight="1">
      <c r="A310" s="3">
        <v>21859</v>
      </c>
      <c r="B310" s="4">
        <v>59</v>
      </c>
      <c r="C310">
        <f t="shared" si="20"/>
        <v>42.788679459566332</v>
      </c>
      <c r="D310" s="8">
        <f t="shared" si="21"/>
        <v>16.211320540433668</v>
      </c>
      <c r="E310" s="8">
        <f t="shared" si="22"/>
        <v>16.211320540433668</v>
      </c>
      <c r="F310" s="8">
        <f t="shared" si="23"/>
        <v>262.80691366468653</v>
      </c>
      <c r="G310" s="5">
        <f t="shared" si="24"/>
        <v>0.27476814475311301</v>
      </c>
    </row>
    <row r="311" spans="1:7" ht="15.75" customHeight="1">
      <c r="A311" s="3">
        <v>21860</v>
      </c>
      <c r="B311" s="4">
        <v>45</v>
      </c>
      <c r="C311">
        <f t="shared" si="20"/>
        <v>54.136603837869899</v>
      </c>
      <c r="D311" s="8">
        <f t="shared" si="21"/>
        <v>-9.1366038378698988</v>
      </c>
      <c r="E311" s="8">
        <f t="shared" si="22"/>
        <v>9.1366038378698988</v>
      </c>
      <c r="F311" s="8">
        <f t="shared" si="23"/>
        <v>83.477529690178969</v>
      </c>
      <c r="G311" s="5">
        <f t="shared" si="24"/>
        <v>0.20303564084155332</v>
      </c>
    </row>
    <row r="312" spans="1:7" ht="15.75" customHeight="1">
      <c r="A312" s="3">
        <v>21861</v>
      </c>
      <c r="B312" s="4">
        <v>52</v>
      </c>
      <c r="C312">
        <f t="shared" si="20"/>
        <v>47.74098115136097</v>
      </c>
      <c r="D312" s="8">
        <f t="shared" si="21"/>
        <v>4.2590188486390304</v>
      </c>
      <c r="E312" s="8">
        <f t="shared" si="22"/>
        <v>4.2590188486390304</v>
      </c>
      <c r="F312" s="8">
        <f t="shared" si="23"/>
        <v>18.139241553062533</v>
      </c>
      <c r="G312" s="5">
        <f t="shared" si="24"/>
        <v>8.1904208627673655E-2</v>
      </c>
    </row>
    <row r="313" spans="1:7" ht="15.75" customHeight="1">
      <c r="A313" s="3">
        <v>21862</v>
      </c>
      <c r="B313" s="4">
        <v>46</v>
      </c>
      <c r="C313">
        <f t="shared" si="20"/>
        <v>50.722294345408287</v>
      </c>
      <c r="D313" s="8">
        <f t="shared" si="21"/>
        <v>-4.7222943454082866</v>
      </c>
      <c r="E313" s="8">
        <f t="shared" si="22"/>
        <v>4.7222943454082866</v>
      </c>
      <c r="F313" s="8">
        <f t="shared" si="23"/>
        <v>22.30006388467508</v>
      </c>
      <c r="G313" s="5">
        <f t="shared" si="24"/>
        <v>0.10265857272626711</v>
      </c>
    </row>
    <row r="314" spans="1:7" ht="15.75" customHeight="1">
      <c r="A314" s="3">
        <v>21863</v>
      </c>
      <c r="B314" s="4">
        <v>42</v>
      </c>
      <c r="C314">
        <f t="shared" si="20"/>
        <v>47.416688303622479</v>
      </c>
      <c r="D314" s="8">
        <f t="shared" si="21"/>
        <v>-5.4166883036224789</v>
      </c>
      <c r="E314" s="8">
        <f t="shared" si="22"/>
        <v>5.4166883036224789</v>
      </c>
      <c r="F314" s="8">
        <f t="shared" si="23"/>
        <v>29.340512178600569</v>
      </c>
      <c r="G314" s="5">
        <f t="shared" si="24"/>
        <v>0.12896876913386854</v>
      </c>
    </row>
    <row r="315" spans="1:7" ht="15.75" customHeight="1">
      <c r="A315" s="3">
        <v>21864</v>
      </c>
      <c r="B315" s="4">
        <v>40</v>
      </c>
      <c r="C315">
        <f t="shared" si="20"/>
        <v>43.625006491086744</v>
      </c>
      <c r="D315" s="8">
        <f t="shared" si="21"/>
        <v>-3.6250064910867437</v>
      </c>
      <c r="E315" s="8">
        <f t="shared" si="22"/>
        <v>3.6250064910867437</v>
      </c>
      <c r="F315" s="8">
        <f t="shared" si="23"/>
        <v>13.140672060421025</v>
      </c>
      <c r="G315" s="5">
        <f t="shared" si="24"/>
        <v>9.0625162277168589E-2</v>
      </c>
    </row>
    <row r="316" spans="1:7" ht="15.75" customHeight="1">
      <c r="A316" s="3">
        <v>21865</v>
      </c>
      <c r="B316" s="4">
        <v>40</v>
      </c>
      <c r="C316">
        <f t="shared" si="20"/>
        <v>41.087501947326025</v>
      </c>
      <c r="D316" s="8">
        <f t="shared" si="21"/>
        <v>-1.0875019473260252</v>
      </c>
      <c r="E316" s="8">
        <f t="shared" si="22"/>
        <v>1.0875019473260252</v>
      </c>
      <c r="F316" s="8">
        <f t="shared" si="23"/>
        <v>1.182660485437897</v>
      </c>
      <c r="G316" s="5">
        <f t="shared" si="24"/>
        <v>2.7187548683150632E-2</v>
      </c>
    </row>
    <row r="317" spans="1:7" ht="15.75" customHeight="1">
      <c r="A317" s="3">
        <v>21866</v>
      </c>
      <c r="B317" s="4">
        <v>45</v>
      </c>
      <c r="C317">
        <f t="shared" si="20"/>
        <v>40.326250584197808</v>
      </c>
      <c r="D317" s="8">
        <f t="shared" si="21"/>
        <v>4.6737494158021917</v>
      </c>
      <c r="E317" s="8">
        <f t="shared" si="22"/>
        <v>4.6737494158021917</v>
      </c>
      <c r="F317" s="8">
        <f t="shared" si="23"/>
        <v>21.843933601711328</v>
      </c>
      <c r="G317" s="5">
        <f t="shared" si="24"/>
        <v>0.1038610981289376</v>
      </c>
    </row>
    <row r="318" spans="1:7" ht="15.75" customHeight="1">
      <c r="A318" s="3">
        <v>21867</v>
      </c>
      <c r="B318" s="4">
        <v>35</v>
      </c>
      <c r="C318">
        <f t="shared" si="20"/>
        <v>43.59787517525934</v>
      </c>
      <c r="D318" s="8">
        <f t="shared" si="21"/>
        <v>-8.5978751752593396</v>
      </c>
      <c r="E318" s="8">
        <f t="shared" si="22"/>
        <v>8.5978751752593396</v>
      </c>
      <c r="F318" s="8">
        <f t="shared" si="23"/>
        <v>73.923457529340823</v>
      </c>
      <c r="G318" s="5">
        <f t="shared" si="24"/>
        <v>0.24565357643598112</v>
      </c>
    </row>
    <row r="319" spans="1:7" ht="15.75" customHeight="1">
      <c r="A319" s="3">
        <v>21868</v>
      </c>
      <c r="B319" s="4">
        <v>35</v>
      </c>
      <c r="C319">
        <f t="shared" si="20"/>
        <v>37.579362552577805</v>
      </c>
      <c r="D319" s="8">
        <f t="shared" si="21"/>
        <v>-2.5793625525778054</v>
      </c>
      <c r="E319" s="8">
        <f t="shared" si="22"/>
        <v>2.5793625525778054</v>
      </c>
      <c r="F319" s="8">
        <f t="shared" si="23"/>
        <v>6.6531111776406924</v>
      </c>
      <c r="G319" s="5">
        <f t="shared" si="24"/>
        <v>7.3696072930794443E-2</v>
      </c>
    </row>
    <row r="320" spans="1:7" ht="15.75" customHeight="1">
      <c r="A320" s="3">
        <v>21869</v>
      </c>
      <c r="B320" s="4">
        <v>40</v>
      </c>
      <c r="C320">
        <f t="shared" si="20"/>
        <v>35.773808765773339</v>
      </c>
      <c r="D320" s="8">
        <f t="shared" si="21"/>
        <v>4.2261912342266612</v>
      </c>
      <c r="E320" s="8">
        <f t="shared" si="22"/>
        <v>4.2261912342266612</v>
      </c>
      <c r="F320" s="8">
        <f t="shared" si="23"/>
        <v>17.860692348254268</v>
      </c>
      <c r="G320" s="5">
        <f t="shared" si="24"/>
        <v>0.10565478085566653</v>
      </c>
    </row>
    <row r="321" spans="1:7" ht="15.75" customHeight="1">
      <c r="A321" s="3">
        <v>21870</v>
      </c>
      <c r="B321" s="4">
        <v>39</v>
      </c>
      <c r="C321">
        <f t="shared" si="20"/>
        <v>38.732142629732003</v>
      </c>
      <c r="D321" s="8">
        <f t="shared" si="21"/>
        <v>0.26785737026799694</v>
      </c>
      <c r="E321" s="8">
        <f t="shared" si="22"/>
        <v>0.26785737026799694</v>
      </c>
      <c r="F321" s="8">
        <f t="shared" si="23"/>
        <v>7.1747570806886818E-2</v>
      </c>
      <c r="G321" s="5">
        <f t="shared" si="24"/>
        <v>6.8681376991794087E-3</v>
      </c>
    </row>
    <row r="322" spans="1:7" ht="15.75" customHeight="1">
      <c r="A322" s="3">
        <v>21871</v>
      </c>
      <c r="B322" s="4">
        <v>33</v>
      </c>
      <c r="C322">
        <f t="shared" si="20"/>
        <v>38.919642788919596</v>
      </c>
      <c r="D322" s="8">
        <f t="shared" si="21"/>
        <v>-5.9196427889195959</v>
      </c>
      <c r="E322" s="8">
        <f t="shared" si="22"/>
        <v>5.9196427889195959</v>
      </c>
      <c r="F322" s="8">
        <f t="shared" si="23"/>
        <v>35.04217074840777</v>
      </c>
      <c r="G322" s="5">
        <f t="shared" si="24"/>
        <v>0.17938311481574534</v>
      </c>
    </row>
    <row r="323" spans="1:7" ht="15.75" customHeight="1">
      <c r="A323" s="3">
        <v>21872</v>
      </c>
      <c r="B323" s="4">
        <v>42</v>
      </c>
      <c r="C323">
        <f t="shared" si="20"/>
        <v>34.775892836675879</v>
      </c>
      <c r="D323" s="8">
        <f t="shared" si="21"/>
        <v>7.2241071633241205</v>
      </c>
      <c r="E323" s="8">
        <f t="shared" si="22"/>
        <v>7.2241071633241205</v>
      </c>
      <c r="F323" s="8">
        <f t="shared" si="23"/>
        <v>52.187724307190869</v>
      </c>
      <c r="G323" s="5">
        <f t="shared" si="24"/>
        <v>0.17200255150771715</v>
      </c>
    </row>
    <row r="324" spans="1:7" ht="15.75" customHeight="1">
      <c r="A324" s="3">
        <v>21873</v>
      </c>
      <c r="B324" s="4">
        <v>47</v>
      </c>
      <c r="C324">
        <f t="shared" ref="C324:C366" si="25">0.7*B323+0.3*C323</f>
        <v>39.832767851002764</v>
      </c>
      <c r="D324" s="8">
        <f t="shared" ref="D324:D366" si="26">B324-C324</f>
        <v>7.1672321489972362</v>
      </c>
      <c r="E324" s="8">
        <f t="shared" ref="E324:E366" si="27">ABS(D324)</f>
        <v>7.1672321489972362</v>
      </c>
      <c r="F324" s="8">
        <f t="shared" ref="F324:F366" si="28">E324^2</f>
        <v>51.369216677619541</v>
      </c>
      <c r="G324" s="5">
        <f t="shared" ref="G324:G366" si="29">E324/B324</f>
        <v>0.1524943010424944</v>
      </c>
    </row>
    <row r="325" spans="1:7" ht="15.75" customHeight="1">
      <c r="A325" s="3">
        <v>21874</v>
      </c>
      <c r="B325" s="4">
        <v>51</v>
      </c>
      <c r="C325">
        <f t="shared" si="25"/>
        <v>44.849830355300824</v>
      </c>
      <c r="D325" s="8">
        <f t="shared" si="26"/>
        <v>6.1501696446991758</v>
      </c>
      <c r="E325" s="8">
        <f t="shared" si="27"/>
        <v>6.1501696446991758</v>
      </c>
      <c r="F325" s="8">
        <f t="shared" si="28"/>
        <v>37.824586658579186</v>
      </c>
      <c r="G325" s="5">
        <f t="shared" si="29"/>
        <v>0.12059156166076815</v>
      </c>
    </row>
    <row r="326" spans="1:7" ht="15.75" customHeight="1">
      <c r="A326" s="3">
        <v>21875</v>
      </c>
      <c r="B326" s="4">
        <v>44</v>
      </c>
      <c r="C326">
        <f t="shared" si="25"/>
        <v>49.154949106590244</v>
      </c>
      <c r="D326" s="8">
        <f t="shared" si="26"/>
        <v>-5.1549491065902444</v>
      </c>
      <c r="E326" s="8">
        <f t="shared" si="27"/>
        <v>5.1549491065902444</v>
      </c>
      <c r="F326" s="8">
        <f t="shared" si="28"/>
        <v>26.573500291535559</v>
      </c>
      <c r="G326" s="5">
        <f t="shared" si="29"/>
        <v>0.11715793424068738</v>
      </c>
    </row>
    <row r="327" spans="1:7" ht="15.75" customHeight="1">
      <c r="A327" s="3">
        <v>21876</v>
      </c>
      <c r="B327" s="4">
        <v>40</v>
      </c>
      <c r="C327">
        <f t="shared" si="25"/>
        <v>45.546484731977074</v>
      </c>
      <c r="D327" s="8">
        <f t="shared" si="26"/>
        <v>-5.546484731977074</v>
      </c>
      <c r="E327" s="8">
        <f t="shared" si="27"/>
        <v>5.546484731977074</v>
      </c>
      <c r="F327" s="8">
        <f t="shared" si="28"/>
        <v>30.763492882054795</v>
      </c>
      <c r="G327" s="5">
        <f t="shared" si="29"/>
        <v>0.13866211829942685</v>
      </c>
    </row>
    <row r="328" spans="1:7" ht="15.75" customHeight="1">
      <c r="A328" s="3">
        <v>21877</v>
      </c>
      <c r="B328" s="4">
        <v>57</v>
      </c>
      <c r="C328">
        <f t="shared" si="25"/>
        <v>41.663945419593119</v>
      </c>
      <c r="D328" s="8">
        <f t="shared" si="26"/>
        <v>15.336054580406881</v>
      </c>
      <c r="E328" s="8">
        <f t="shared" si="27"/>
        <v>15.336054580406881</v>
      </c>
      <c r="F328" s="8">
        <f t="shared" si="28"/>
        <v>235.19457009321886</v>
      </c>
      <c r="G328" s="5">
        <f t="shared" si="29"/>
        <v>0.26905358912994526</v>
      </c>
    </row>
    <row r="329" spans="1:7" ht="15.75" customHeight="1">
      <c r="A329" s="3">
        <v>21878</v>
      </c>
      <c r="B329" s="4">
        <v>49</v>
      </c>
      <c r="C329">
        <f t="shared" si="25"/>
        <v>52.399183625877932</v>
      </c>
      <c r="D329" s="8">
        <f t="shared" si="26"/>
        <v>-3.3991836258779315</v>
      </c>
      <c r="E329" s="8">
        <f t="shared" si="27"/>
        <v>3.3991836258779315</v>
      </c>
      <c r="F329" s="8">
        <f t="shared" si="28"/>
        <v>11.554449322436641</v>
      </c>
      <c r="G329" s="5">
        <f t="shared" si="29"/>
        <v>6.9371094405672074E-2</v>
      </c>
    </row>
    <row r="330" spans="1:7" ht="15.75" customHeight="1">
      <c r="A330" s="3">
        <v>21879</v>
      </c>
      <c r="B330" s="4">
        <v>45</v>
      </c>
      <c r="C330">
        <f t="shared" si="25"/>
        <v>50.019755087763372</v>
      </c>
      <c r="D330" s="8">
        <f t="shared" si="26"/>
        <v>-5.0197550877633716</v>
      </c>
      <c r="E330" s="8">
        <f t="shared" si="27"/>
        <v>5.0197550877633716</v>
      </c>
      <c r="F330" s="8">
        <f t="shared" si="28"/>
        <v>25.197941141126254</v>
      </c>
      <c r="G330" s="5">
        <f t="shared" si="29"/>
        <v>0.11155011306140826</v>
      </c>
    </row>
    <row r="331" spans="1:7" ht="15.75" customHeight="1">
      <c r="A331" s="3">
        <v>21880</v>
      </c>
      <c r="B331" s="4">
        <v>49</v>
      </c>
      <c r="C331">
        <f t="shared" si="25"/>
        <v>46.505926526329006</v>
      </c>
      <c r="D331" s="8">
        <f t="shared" si="26"/>
        <v>2.4940734736709942</v>
      </c>
      <c r="E331" s="8">
        <f t="shared" si="27"/>
        <v>2.4940734736709942</v>
      </c>
      <c r="F331" s="8">
        <f t="shared" si="28"/>
        <v>6.2204024920692991</v>
      </c>
      <c r="G331" s="5">
        <f t="shared" si="29"/>
        <v>5.0899458646346818E-2</v>
      </c>
    </row>
    <row r="332" spans="1:7" ht="15.75" customHeight="1">
      <c r="A332" s="3">
        <v>21881</v>
      </c>
      <c r="B332" s="4">
        <v>51</v>
      </c>
      <c r="C332">
        <f t="shared" si="25"/>
        <v>48.251777957898696</v>
      </c>
      <c r="D332" s="8">
        <f t="shared" si="26"/>
        <v>2.7482220421013039</v>
      </c>
      <c r="E332" s="8">
        <f t="shared" si="27"/>
        <v>2.7482220421013039</v>
      </c>
      <c r="F332" s="8">
        <f t="shared" si="28"/>
        <v>7.5527243926914611</v>
      </c>
      <c r="G332" s="5">
        <f t="shared" si="29"/>
        <v>5.3886706707868708E-2</v>
      </c>
    </row>
    <row r="333" spans="1:7" ht="15.75" customHeight="1">
      <c r="A333" s="3">
        <v>21882</v>
      </c>
      <c r="B333" s="4">
        <v>46</v>
      </c>
      <c r="C333">
        <f t="shared" si="25"/>
        <v>50.175533387369605</v>
      </c>
      <c r="D333" s="8">
        <f t="shared" si="26"/>
        <v>-4.1755333873696046</v>
      </c>
      <c r="E333" s="8">
        <f t="shared" si="27"/>
        <v>4.1755333873696046</v>
      </c>
      <c r="F333" s="8">
        <f t="shared" si="28"/>
        <v>17.435079069038284</v>
      </c>
      <c r="G333" s="5">
        <f t="shared" si="29"/>
        <v>9.0772464942817488E-2</v>
      </c>
    </row>
    <row r="334" spans="1:7" ht="15.75" customHeight="1">
      <c r="A334" s="3">
        <v>21883</v>
      </c>
      <c r="B334" s="4">
        <v>44</v>
      </c>
      <c r="C334">
        <f t="shared" si="25"/>
        <v>47.252660016210875</v>
      </c>
      <c r="D334" s="8">
        <f t="shared" si="26"/>
        <v>-3.252660016210875</v>
      </c>
      <c r="E334" s="8">
        <f t="shared" si="27"/>
        <v>3.252660016210875</v>
      </c>
      <c r="F334" s="8">
        <f t="shared" si="28"/>
        <v>10.579797181056929</v>
      </c>
      <c r="G334" s="5">
        <f t="shared" si="29"/>
        <v>7.3924091277519879E-2</v>
      </c>
    </row>
    <row r="335" spans="1:7" ht="15.75" customHeight="1">
      <c r="A335" s="3">
        <v>21884</v>
      </c>
      <c r="B335" s="4">
        <v>52</v>
      </c>
      <c r="C335">
        <f t="shared" si="25"/>
        <v>44.975798004863258</v>
      </c>
      <c r="D335" s="8">
        <f t="shared" si="26"/>
        <v>7.0242019951367425</v>
      </c>
      <c r="E335" s="8">
        <f t="shared" si="27"/>
        <v>7.0242019951367425</v>
      </c>
      <c r="F335" s="8">
        <f t="shared" si="28"/>
        <v>49.33941366848299</v>
      </c>
      <c r="G335" s="5">
        <f t="shared" si="29"/>
        <v>0.13508080759878352</v>
      </c>
    </row>
    <row r="336" spans="1:7" ht="15.75" customHeight="1">
      <c r="A336" s="3">
        <v>21885</v>
      </c>
      <c r="B336" s="4">
        <v>45</v>
      </c>
      <c r="C336">
        <f t="shared" si="25"/>
        <v>49.892739401458975</v>
      </c>
      <c r="D336" s="8">
        <f t="shared" si="26"/>
        <v>-4.8927394014589751</v>
      </c>
      <c r="E336" s="8">
        <f t="shared" si="27"/>
        <v>4.8927394014589751</v>
      </c>
      <c r="F336" s="8">
        <f t="shared" si="28"/>
        <v>23.93889885058913</v>
      </c>
      <c r="G336" s="5">
        <f t="shared" si="29"/>
        <v>0.10872754225464389</v>
      </c>
    </row>
    <row r="337" spans="1:7" ht="15.75" customHeight="1">
      <c r="A337" s="3">
        <v>21886</v>
      </c>
      <c r="B337" s="4">
        <v>32</v>
      </c>
      <c r="C337">
        <f t="shared" si="25"/>
        <v>46.467821820437692</v>
      </c>
      <c r="D337" s="8">
        <f t="shared" si="26"/>
        <v>-14.467821820437692</v>
      </c>
      <c r="E337" s="8">
        <f t="shared" si="27"/>
        <v>14.467821820437692</v>
      </c>
      <c r="F337" s="8">
        <f t="shared" si="28"/>
        <v>209.31786822793302</v>
      </c>
      <c r="G337" s="5">
        <f t="shared" si="29"/>
        <v>0.45211943188867787</v>
      </c>
    </row>
    <row r="338" spans="1:7" ht="15.75" customHeight="1">
      <c r="A338" s="3">
        <v>21887</v>
      </c>
      <c r="B338" s="4">
        <v>46</v>
      </c>
      <c r="C338">
        <f t="shared" si="25"/>
        <v>36.340346546131308</v>
      </c>
      <c r="D338" s="8">
        <f t="shared" si="26"/>
        <v>9.6596534538686925</v>
      </c>
      <c r="E338" s="8">
        <f t="shared" si="27"/>
        <v>9.6596534538686925</v>
      </c>
      <c r="F338" s="8">
        <f t="shared" si="28"/>
        <v>93.308904848837358</v>
      </c>
      <c r="G338" s="5">
        <f t="shared" si="29"/>
        <v>0.20999246638844984</v>
      </c>
    </row>
    <row r="339" spans="1:7" ht="15.75" customHeight="1">
      <c r="A339" s="3">
        <v>21888</v>
      </c>
      <c r="B339" s="4">
        <v>41</v>
      </c>
      <c r="C339">
        <f t="shared" si="25"/>
        <v>43.10210396383939</v>
      </c>
      <c r="D339" s="8">
        <f t="shared" si="26"/>
        <v>-2.1021039638393901</v>
      </c>
      <c r="E339" s="8">
        <f t="shared" si="27"/>
        <v>2.1021039638393901</v>
      </c>
      <c r="F339" s="8">
        <f t="shared" si="28"/>
        <v>4.4188410747892757</v>
      </c>
      <c r="G339" s="5">
        <f t="shared" si="29"/>
        <v>5.1270828386326586E-2</v>
      </c>
    </row>
    <row r="340" spans="1:7" ht="15.75" customHeight="1">
      <c r="A340" s="3">
        <v>21889</v>
      </c>
      <c r="B340" s="4">
        <v>34</v>
      </c>
      <c r="C340">
        <f t="shared" si="25"/>
        <v>41.630631189151813</v>
      </c>
      <c r="D340" s="8">
        <f t="shared" si="26"/>
        <v>-7.6306311891518135</v>
      </c>
      <c r="E340" s="8">
        <f t="shared" si="27"/>
        <v>7.6306311891518135</v>
      </c>
      <c r="F340" s="8">
        <f t="shared" si="28"/>
        <v>58.226532344856416</v>
      </c>
      <c r="G340" s="5">
        <f t="shared" si="29"/>
        <v>0.22443032909270039</v>
      </c>
    </row>
    <row r="341" spans="1:7" ht="15.75" customHeight="1">
      <c r="A341" s="3">
        <v>21890</v>
      </c>
      <c r="B341" s="4">
        <v>33</v>
      </c>
      <c r="C341">
        <f t="shared" si="25"/>
        <v>36.289189356745538</v>
      </c>
      <c r="D341" s="8">
        <f t="shared" si="26"/>
        <v>-3.2891893567455384</v>
      </c>
      <c r="E341" s="8">
        <f t="shared" si="27"/>
        <v>3.2891893567455384</v>
      </c>
      <c r="F341" s="8">
        <f t="shared" si="28"/>
        <v>10.818766624528129</v>
      </c>
      <c r="G341" s="5">
        <f t="shared" si="29"/>
        <v>9.9672404749864801E-2</v>
      </c>
    </row>
    <row r="342" spans="1:7" ht="15.75" customHeight="1">
      <c r="A342" s="3">
        <v>21891</v>
      </c>
      <c r="B342" s="4">
        <v>36</v>
      </c>
      <c r="C342">
        <f t="shared" si="25"/>
        <v>33.98675680702366</v>
      </c>
      <c r="D342" s="8">
        <f t="shared" si="26"/>
        <v>2.0132431929763399</v>
      </c>
      <c r="E342" s="8">
        <f t="shared" si="27"/>
        <v>2.0132431929763399</v>
      </c>
      <c r="F342" s="8">
        <f t="shared" si="28"/>
        <v>4.0531481540655685</v>
      </c>
      <c r="G342" s="5">
        <f t="shared" si="29"/>
        <v>5.5923422027120556E-2</v>
      </c>
    </row>
    <row r="343" spans="1:7" ht="15.75" customHeight="1">
      <c r="A343" s="3">
        <v>21892</v>
      </c>
      <c r="B343" s="4">
        <v>49</v>
      </c>
      <c r="C343">
        <f t="shared" si="25"/>
        <v>35.396027042107093</v>
      </c>
      <c r="D343" s="8">
        <f t="shared" si="26"/>
        <v>13.603972957892907</v>
      </c>
      <c r="E343" s="8">
        <f t="shared" si="27"/>
        <v>13.603972957892907</v>
      </c>
      <c r="F343" s="8">
        <f t="shared" si="28"/>
        <v>185.0680802390815</v>
      </c>
      <c r="G343" s="5">
        <f t="shared" si="29"/>
        <v>0.2776321011814879</v>
      </c>
    </row>
    <row r="344" spans="1:7" ht="15.75" customHeight="1">
      <c r="A344" s="3">
        <v>21893</v>
      </c>
      <c r="B344" s="4">
        <v>43</v>
      </c>
      <c r="C344">
        <f t="shared" si="25"/>
        <v>44.918808112632121</v>
      </c>
      <c r="D344" s="8">
        <f t="shared" si="26"/>
        <v>-1.9188081126321208</v>
      </c>
      <c r="E344" s="8">
        <f t="shared" si="27"/>
        <v>1.9188081126321208</v>
      </c>
      <c r="F344" s="8">
        <f t="shared" si="28"/>
        <v>3.6818245731028418</v>
      </c>
      <c r="G344" s="5">
        <f t="shared" si="29"/>
        <v>4.4623444479816761E-2</v>
      </c>
    </row>
    <row r="345" spans="1:7" ht="15.75" customHeight="1">
      <c r="A345" s="3">
        <v>21894</v>
      </c>
      <c r="B345" s="4">
        <v>43</v>
      </c>
      <c r="C345">
        <f t="shared" si="25"/>
        <v>43.575642433789632</v>
      </c>
      <c r="D345" s="8">
        <f t="shared" si="26"/>
        <v>-0.57564243378963198</v>
      </c>
      <c r="E345" s="8">
        <f t="shared" si="27"/>
        <v>0.57564243378963198</v>
      </c>
      <c r="F345" s="8">
        <f t="shared" si="28"/>
        <v>0.33136421157925083</v>
      </c>
      <c r="G345" s="5">
        <f t="shared" si="29"/>
        <v>1.3387033343944929E-2</v>
      </c>
    </row>
    <row r="346" spans="1:7" ht="15.75" customHeight="1">
      <c r="A346" s="3">
        <v>21895</v>
      </c>
      <c r="B346" s="4">
        <v>34</v>
      </c>
      <c r="C346">
        <f t="shared" si="25"/>
        <v>43.172692730136887</v>
      </c>
      <c r="D346" s="8">
        <f t="shared" si="26"/>
        <v>-9.1726927301368875</v>
      </c>
      <c r="E346" s="8">
        <f t="shared" si="27"/>
        <v>9.1726927301368875</v>
      </c>
      <c r="F346" s="8">
        <f t="shared" si="28"/>
        <v>84.138291921506109</v>
      </c>
      <c r="G346" s="5">
        <f t="shared" si="29"/>
        <v>0.26978508029814374</v>
      </c>
    </row>
    <row r="347" spans="1:7" ht="15.75" customHeight="1">
      <c r="A347" s="3">
        <v>21896</v>
      </c>
      <c r="B347" s="4">
        <v>39</v>
      </c>
      <c r="C347">
        <f t="shared" si="25"/>
        <v>36.751807819041062</v>
      </c>
      <c r="D347" s="8">
        <f t="shared" si="26"/>
        <v>2.248192180958938</v>
      </c>
      <c r="E347" s="8">
        <f t="shared" si="27"/>
        <v>2.248192180958938</v>
      </c>
      <c r="F347" s="8">
        <f t="shared" si="28"/>
        <v>5.0543680825249062</v>
      </c>
      <c r="G347" s="5">
        <f t="shared" si="29"/>
        <v>5.7645953357921491E-2</v>
      </c>
    </row>
    <row r="348" spans="1:7" ht="15.75" customHeight="1">
      <c r="A348" s="3">
        <v>21897</v>
      </c>
      <c r="B348" s="4">
        <v>35</v>
      </c>
      <c r="C348">
        <f t="shared" si="25"/>
        <v>38.325542345712314</v>
      </c>
      <c r="D348" s="8">
        <f t="shared" si="26"/>
        <v>-3.3255423457123143</v>
      </c>
      <c r="E348" s="8">
        <f t="shared" si="27"/>
        <v>3.3255423457123143</v>
      </c>
      <c r="F348" s="8">
        <f t="shared" si="28"/>
        <v>11.059231893125762</v>
      </c>
      <c r="G348" s="5">
        <f t="shared" si="29"/>
        <v>9.5015495591780408E-2</v>
      </c>
    </row>
    <row r="349" spans="1:7" ht="15.75" customHeight="1">
      <c r="A349" s="3">
        <v>21898</v>
      </c>
      <c r="B349" s="4">
        <v>52</v>
      </c>
      <c r="C349">
        <f t="shared" si="25"/>
        <v>35.997662703713694</v>
      </c>
      <c r="D349" s="8">
        <f t="shared" si="26"/>
        <v>16.002337296286306</v>
      </c>
      <c r="E349" s="8">
        <f t="shared" si="27"/>
        <v>16.002337296286306</v>
      </c>
      <c r="F349" s="8">
        <f t="shared" si="28"/>
        <v>256.07479894411574</v>
      </c>
      <c r="G349" s="5">
        <f t="shared" si="29"/>
        <v>0.30773725569781357</v>
      </c>
    </row>
    <row r="350" spans="1:7" ht="15.75" customHeight="1">
      <c r="A350" s="3">
        <v>21899</v>
      </c>
      <c r="B350" s="4">
        <v>47</v>
      </c>
      <c r="C350">
        <f t="shared" si="25"/>
        <v>47.199298811114105</v>
      </c>
      <c r="D350" s="8">
        <f t="shared" si="26"/>
        <v>-0.19929881111410452</v>
      </c>
      <c r="E350" s="8">
        <f t="shared" si="27"/>
        <v>0.19929881111410452</v>
      </c>
      <c r="F350" s="8">
        <f t="shared" si="28"/>
        <v>3.9720016111495511E-2</v>
      </c>
      <c r="G350" s="5">
        <f t="shared" si="29"/>
        <v>4.2404002364703087E-3</v>
      </c>
    </row>
    <row r="351" spans="1:7" ht="15.75" customHeight="1">
      <c r="A351" s="3">
        <v>21900</v>
      </c>
      <c r="B351" s="4">
        <v>52</v>
      </c>
      <c r="C351">
        <f t="shared" si="25"/>
        <v>47.059789643334227</v>
      </c>
      <c r="D351" s="8">
        <f t="shared" si="26"/>
        <v>4.9402103566657729</v>
      </c>
      <c r="E351" s="8">
        <f t="shared" si="27"/>
        <v>4.9402103566657729</v>
      </c>
      <c r="F351" s="8">
        <f t="shared" si="28"/>
        <v>24.405678368107765</v>
      </c>
      <c r="G351" s="5">
        <f t="shared" si="29"/>
        <v>9.5004045320495639E-2</v>
      </c>
    </row>
    <row r="352" spans="1:7" ht="15.75" customHeight="1">
      <c r="A352" s="3">
        <v>21901</v>
      </c>
      <c r="B352" s="4">
        <v>39</v>
      </c>
      <c r="C352">
        <f t="shared" si="25"/>
        <v>50.517936893000268</v>
      </c>
      <c r="D352" s="8">
        <f t="shared" si="26"/>
        <v>-11.517936893000268</v>
      </c>
      <c r="E352" s="8">
        <f t="shared" si="27"/>
        <v>11.517936893000268</v>
      </c>
      <c r="F352" s="8">
        <f t="shared" si="28"/>
        <v>132.66287027113668</v>
      </c>
      <c r="G352" s="5">
        <f t="shared" si="29"/>
        <v>0.29533171520513507</v>
      </c>
    </row>
    <row r="353" spans="1:7" ht="15.75" customHeight="1">
      <c r="A353" s="3">
        <v>21902</v>
      </c>
      <c r="B353" s="4">
        <v>40</v>
      </c>
      <c r="C353">
        <f t="shared" si="25"/>
        <v>42.455381067900078</v>
      </c>
      <c r="D353" s="8">
        <f t="shared" si="26"/>
        <v>-2.4553810679000776</v>
      </c>
      <c r="E353" s="8">
        <f t="shared" si="27"/>
        <v>2.4553810679000776</v>
      </c>
      <c r="F353" s="8">
        <f t="shared" si="28"/>
        <v>6.0288961886021255</v>
      </c>
      <c r="G353" s="5">
        <f t="shared" si="29"/>
        <v>6.138452669750194E-2</v>
      </c>
    </row>
    <row r="354" spans="1:7" ht="15.75" customHeight="1">
      <c r="A354" s="3">
        <v>21903</v>
      </c>
      <c r="B354" s="4">
        <v>42</v>
      </c>
      <c r="C354">
        <f t="shared" si="25"/>
        <v>40.736614320370023</v>
      </c>
      <c r="D354" s="8">
        <f t="shared" si="26"/>
        <v>1.2633856796299767</v>
      </c>
      <c r="E354" s="8">
        <f t="shared" si="27"/>
        <v>1.2633856796299767</v>
      </c>
      <c r="F354" s="8">
        <f t="shared" si="28"/>
        <v>1.5961433754940981</v>
      </c>
      <c r="G354" s="5">
        <f t="shared" si="29"/>
        <v>3.0080611419761351E-2</v>
      </c>
    </row>
    <row r="355" spans="1:7" ht="15.75" customHeight="1">
      <c r="A355" s="3">
        <v>21904</v>
      </c>
      <c r="B355" s="4">
        <v>42</v>
      </c>
      <c r="C355">
        <f t="shared" si="25"/>
        <v>41.620984296111004</v>
      </c>
      <c r="D355" s="8">
        <f t="shared" si="26"/>
        <v>0.37901570388899586</v>
      </c>
      <c r="E355" s="8">
        <f t="shared" si="27"/>
        <v>0.37901570388899586</v>
      </c>
      <c r="F355" s="8">
        <f t="shared" si="28"/>
        <v>0.14365290379447099</v>
      </c>
      <c r="G355" s="5">
        <f t="shared" si="29"/>
        <v>9.0241834259284729E-3</v>
      </c>
    </row>
    <row r="356" spans="1:7" ht="15.75" customHeight="1">
      <c r="A356" s="3">
        <v>21905</v>
      </c>
      <c r="B356" s="4">
        <v>53</v>
      </c>
      <c r="C356">
        <f t="shared" si="25"/>
        <v>41.886295288833296</v>
      </c>
      <c r="D356" s="8">
        <f t="shared" si="26"/>
        <v>11.113704711166704</v>
      </c>
      <c r="E356" s="8">
        <f t="shared" si="27"/>
        <v>11.113704711166704</v>
      </c>
      <c r="F356" s="8">
        <f t="shared" si="28"/>
        <v>123.514432407009</v>
      </c>
      <c r="G356" s="5">
        <f t="shared" si="29"/>
        <v>0.2096925417201265</v>
      </c>
    </row>
    <row r="357" spans="1:7" ht="15.75" customHeight="1">
      <c r="A357" s="3">
        <v>21906</v>
      </c>
      <c r="B357" s="4">
        <v>39</v>
      </c>
      <c r="C357">
        <f t="shared" si="25"/>
        <v>49.665888586649984</v>
      </c>
      <c r="D357" s="8">
        <f t="shared" si="26"/>
        <v>-10.665888586649984</v>
      </c>
      <c r="E357" s="8">
        <f t="shared" si="27"/>
        <v>10.665888586649984</v>
      </c>
      <c r="F357" s="8">
        <f t="shared" si="28"/>
        <v>113.7611793428304</v>
      </c>
      <c r="G357" s="5">
        <f t="shared" si="29"/>
        <v>0.27348432273461498</v>
      </c>
    </row>
    <row r="358" spans="1:7" ht="15.75" customHeight="1">
      <c r="A358" s="3">
        <v>21907</v>
      </c>
      <c r="B358" s="4">
        <v>40</v>
      </c>
      <c r="C358">
        <f t="shared" si="25"/>
        <v>42.199766575994992</v>
      </c>
      <c r="D358" s="8">
        <f t="shared" si="26"/>
        <v>-2.1997665759949925</v>
      </c>
      <c r="E358" s="8">
        <f t="shared" si="27"/>
        <v>2.1997665759949925</v>
      </c>
      <c r="F358" s="8">
        <f t="shared" si="28"/>
        <v>4.8389729888647333</v>
      </c>
      <c r="G358" s="5">
        <f t="shared" si="29"/>
        <v>5.4994164399874812E-2</v>
      </c>
    </row>
    <row r="359" spans="1:7" ht="15.75" customHeight="1">
      <c r="A359" s="3">
        <v>21908</v>
      </c>
      <c r="B359" s="4">
        <v>38</v>
      </c>
      <c r="C359">
        <f t="shared" si="25"/>
        <v>40.659929972798494</v>
      </c>
      <c r="D359" s="8">
        <f t="shared" si="26"/>
        <v>-2.6599299727984942</v>
      </c>
      <c r="E359" s="8">
        <f t="shared" si="27"/>
        <v>2.6599299727984942</v>
      </c>
      <c r="F359" s="8">
        <f t="shared" si="28"/>
        <v>7.0752274601917984</v>
      </c>
      <c r="G359" s="5">
        <f t="shared" si="29"/>
        <v>6.9998157178907741E-2</v>
      </c>
    </row>
    <row r="360" spans="1:7" ht="15.75" customHeight="1">
      <c r="A360" s="3">
        <v>21909</v>
      </c>
      <c r="B360" s="4">
        <v>44</v>
      </c>
      <c r="C360">
        <f t="shared" si="25"/>
        <v>38.797978991839543</v>
      </c>
      <c r="D360" s="8">
        <f t="shared" si="26"/>
        <v>5.2020210081604574</v>
      </c>
      <c r="E360" s="8">
        <f t="shared" si="27"/>
        <v>5.2020210081604574</v>
      </c>
      <c r="F360" s="8">
        <f t="shared" si="28"/>
        <v>27.061022569342743</v>
      </c>
      <c r="G360" s="5">
        <f t="shared" si="29"/>
        <v>0.11822775018546494</v>
      </c>
    </row>
    <row r="361" spans="1:7" ht="15.75" customHeight="1">
      <c r="A361" s="3">
        <v>21910</v>
      </c>
      <c r="B361" s="4">
        <v>34</v>
      </c>
      <c r="C361">
        <f t="shared" si="25"/>
        <v>42.439393697551857</v>
      </c>
      <c r="D361" s="8">
        <f t="shared" si="26"/>
        <v>-8.4393936975518571</v>
      </c>
      <c r="E361" s="8">
        <f t="shared" si="27"/>
        <v>8.4393936975518571</v>
      </c>
      <c r="F361" s="8">
        <f t="shared" si="28"/>
        <v>71.223365982278011</v>
      </c>
      <c r="G361" s="5">
        <f t="shared" si="29"/>
        <v>0.24821746169270167</v>
      </c>
    </row>
    <row r="362" spans="1:7" ht="15.75" customHeight="1">
      <c r="A362" s="3">
        <v>21911</v>
      </c>
      <c r="B362" s="4">
        <v>37</v>
      </c>
      <c r="C362">
        <f t="shared" si="25"/>
        <v>36.531818109265558</v>
      </c>
      <c r="D362" s="8">
        <f t="shared" si="26"/>
        <v>0.46818189073444216</v>
      </c>
      <c r="E362" s="8">
        <f t="shared" si="27"/>
        <v>0.46818189073444216</v>
      </c>
      <c r="F362" s="8">
        <f t="shared" si="28"/>
        <v>0.21919428281167713</v>
      </c>
      <c r="G362" s="5">
        <f t="shared" si="29"/>
        <v>1.2653564614444383E-2</v>
      </c>
    </row>
    <row r="363" spans="1:7" ht="15.75" customHeight="1">
      <c r="A363" s="3">
        <v>21912</v>
      </c>
      <c r="B363" s="4">
        <v>52</v>
      </c>
      <c r="C363">
        <f t="shared" si="25"/>
        <v>36.859545432779669</v>
      </c>
      <c r="D363" s="8">
        <f t="shared" si="26"/>
        <v>15.140454567220331</v>
      </c>
      <c r="E363" s="8">
        <f t="shared" si="27"/>
        <v>15.140454567220331</v>
      </c>
      <c r="F363" s="8">
        <f t="shared" si="28"/>
        <v>229.23336450206298</v>
      </c>
      <c r="G363" s="5">
        <f t="shared" si="29"/>
        <v>0.29116258783116022</v>
      </c>
    </row>
    <row r="364" spans="1:7" ht="15.75" customHeight="1">
      <c r="A364" s="3">
        <v>21913</v>
      </c>
      <c r="B364" s="4">
        <v>48</v>
      </c>
      <c r="C364">
        <f t="shared" si="25"/>
        <v>47.457863629833895</v>
      </c>
      <c r="D364" s="8">
        <f t="shared" si="26"/>
        <v>0.54213637016610505</v>
      </c>
      <c r="E364" s="8">
        <f t="shared" si="27"/>
        <v>0.54213637016610505</v>
      </c>
      <c r="F364" s="8">
        <f t="shared" si="28"/>
        <v>0.29391184385688007</v>
      </c>
      <c r="G364" s="5">
        <f t="shared" si="29"/>
        <v>1.1294507711793855E-2</v>
      </c>
    </row>
    <row r="365" spans="1:7" ht="15.75" customHeight="1">
      <c r="A365" s="3">
        <v>21914</v>
      </c>
      <c r="B365" s="4">
        <v>55</v>
      </c>
      <c r="C365">
        <f t="shared" si="25"/>
        <v>47.837359088950166</v>
      </c>
      <c r="D365" s="8">
        <f t="shared" si="26"/>
        <v>7.1626409110498344</v>
      </c>
      <c r="E365" s="8">
        <f t="shared" si="27"/>
        <v>7.1626409110498344</v>
      </c>
      <c r="F365" s="8">
        <f t="shared" si="28"/>
        <v>51.3034248206448</v>
      </c>
      <c r="G365" s="5">
        <f t="shared" si="29"/>
        <v>0.13022983474636063</v>
      </c>
    </row>
    <row r="366" spans="1:7" ht="15.75" customHeight="1">
      <c r="A366" s="3">
        <v>21915</v>
      </c>
      <c r="B366" s="4">
        <v>50</v>
      </c>
      <c r="C366">
        <f t="shared" si="25"/>
        <v>52.851207726685047</v>
      </c>
      <c r="D366" s="8">
        <f t="shared" si="26"/>
        <v>-2.8512077266850469</v>
      </c>
      <c r="E366" s="8">
        <f t="shared" si="27"/>
        <v>2.8512077266850469</v>
      </c>
      <c r="F366" s="8">
        <f t="shared" si="28"/>
        <v>8.1293855007085121</v>
      </c>
      <c r="G366" s="5">
        <f t="shared" si="29"/>
        <v>5.7024154533700938E-2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387D-2084-4D5B-BFFD-6DDD04794331}">
  <dimension ref="A1:K1000"/>
  <sheetViews>
    <sheetView workbookViewId="0">
      <selection activeCell="C2" sqref="C2:C366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8.699218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13.69921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0.3*B3+0.7*C3</f>
        <v>34.1</v>
      </c>
      <c r="D4" s="8">
        <f t="shared" ref="D4:D67" si="1">B4-C4</f>
        <v>-4.1000000000000014</v>
      </c>
      <c r="E4" s="8">
        <f t="shared" ref="E4:E67" si="2">ABS(D4)</f>
        <v>4.1000000000000014</v>
      </c>
      <c r="F4" s="8">
        <f t="shared" ref="F4:F67" si="3">E4^2</f>
        <v>16.810000000000013</v>
      </c>
      <c r="G4" s="5">
        <f t="shared" ref="G4:G67" si="4">E4/B4</f>
        <v>0.13666666666666671</v>
      </c>
    </row>
    <row r="5" spans="1:11" ht="15.75" customHeight="1">
      <c r="A5" s="3">
        <v>21554</v>
      </c>
      <c r="B5" s="4">
        <v>31</v>
      </c>
      <c r="C5">
        <f t="shared" si="0"/>
        <v>32.870000000000005</v>
      </c>
      <c r="D5" s="8">
        <f t="shared" si="1"/>
        <v>-1.8700000000000045</v>
      </c>
      <c r="E5" s="8">
        <f t="shared" si="2"/>
        <v>1.8700000000000045</v>
      </c>
      <c r="F5" s="8">
        <f t="shared" si="3"/>
        <v>3.496900000000017</v>
      </c>
      <c r="G5" s="5">
        <f t="shared" si="4"/>
        <v>6.0322580645161439E-2</v>
      </c>
    </row>
    <row r="6" spans="1:11" ht="15.75" customHeight="1">
      <c r="A6" s="3">
        <v>21555</v>
      </c>
      <c r="B6" s="4">
        <v>44</v>
      </c>
      <c r="C6">
        <f t="shared" si="0"/>
        <v>32.308999999999997</v>
      </c>
      <c r="D6" s="8">
        <f t="shared" si="1"/>
        <v>11.691000000000003</v>
      </c>
      <c r="E6" s="8">
        <f t="shared" si="2"/>
        <v>11.691000000000003</v>
      </c>
      <c r="F6" s="8">
        <f t="shared" si="3"/>
        <v>136.67948100000007</v>
      </c>
      <c r="G6" s="5">
        <f t="shared" si="4"/>
        <v>0.26570454545454553</v>
      </c>
    </row>
    <row r="7" spans="1:11" ht="15.75" customHeight="1">
      <c r="A7" s="3">
        <v>21556</v>
      </c>
      <c r="B7" s="4">
        <v>29</v>
      </c>
      <c r="C7">
        <f t="shared" si="0"/>
        <v>35.816299999999998</v>
      </c>
      <c r="D7" s="8">
        <f t="shared" si="1"/>
        <v>-6.8162999999999982</v>
      </c>
      <c r="E7" s="8">
        <f t="shared" si="2"/>
        <v>6.8162999999999982</v>
      </c>
      <c r="F7" s="8">
        <f t="shared" si="3"/>
        <v>46.461945689999979</v>
      </c>
      <c r="G7" s="5">
        <f t="shared" si="4"/>
        <v>0.23504482758620684</v>
      </c>
    </row>
    <row r="8" spans="1:11" ht="15.75" customHeight="1">
      <c r="A8" s="3">
        <v>21557</v>
      </c>
      <c r="B8" s="4">
        <v>45</v>
      </c>
      <c r="C8">
        <f t="shared" si="0"/>
        <v>33.771409999999996</v>
      </c>
      <c r="D8" s="8">
        <f t="shared" si="1"/>
        <v>11.228590000000004</v>
      </c>
      <c r="E8" s="8">
        <f t="shared" si="2"/>
        <v>11.228590000000004</v>
      </c>
      <c r="F8" s="8">
        <f t="shared" si="3"/>
        <v>126.08123338810009</v>
      </c>
      <c r="G8" s="5">
        <f t="shared" si="4"/>
        <v>0.24952422222222231</v>
      </c>
      <c r="J8" s="2" t="s">
        <v>7</v>
      </c>
      <c r="K8" s="8">
        <f>AVERAGE(E3:E366)</f>
        <v>5.8776429063932447</v>
      </c>
    </row>
    <row r="9" spans="1:11" ht="15.75" customHeight="1">
      <c r="A9" s="3">
        <v>21558</v>
      </c>
      <c r="B9" s="4">
        <v>43</v>
      </c>
      <c r="C9">
        <f t="shared" si="0"/>
        <v>37.139986999999991</v>
      </c>
      <c r="D9" s="8">
        <f t="shared" si="1"/>
        <v>5.8600130000000092</v>
      </c>
      <c r="E9" s="8">
        <f t="shared" si="2"/>
        <v>5.8600130000000092</v>
      </c>
      <c r="F9" s="8">
        <f t="shared" si="3"/>
        <v>34.339752360169108</v>
      </c>
      <c r="G9" s="5">
        <f t="shared" si="4"/>
        <v>0.13627937209302346</v>
      </c>
      <c r="J9" s="2" t="s">
        <v>8</v>
      </c>
      <c r="K9" s="8">
        <f>AVERAGE(F3:F366)</f>
        <v>53.64160118574123</v>
      </c>
    </row>
    <row r="10" spans="1:11" ht="15.75" customHeight="1" thickBot="1">
      <c r="A10" s="3">
        <v>21559</v>
      </c>
      <c r="B10" s="4">
        <v>38</v>
      </c>
      <c r="C10">
        <f t="shared" si="0"/>
        <v>38.897990899999989</v>
      </c>
      <c r="D10" s="8">
        <f t="shared" si="1"/>
        <v>-0.89799089999998927</v>
      </c>
      <c r="E10" s="8">
        <f t="shared" si="2"/>
        <v>0.89799089999998927</v>
      </c>
      <c r="F10" s="8">
        <f t="shared" si="3"/>
        <v>0.80638765648279076</v>
      </c>
      <c r="G10" s="5">
        <f t="shared" si="4"/>
        <v>2.3631339473683927E-2</v>
      </c>
      <c r="J10" s="9" t="s">
        <v>9</v>
      </c>
      <c r="K10" s="10">
        <f>AVERAGE(G3:G366)</f>
        <v>0.14320578496267566</v>
      </c>
    </row>
    <row r="11" spans="1:11" ht="15.75" customHeight="1" thickTop="1">
      <c r="A11" s="3">
        <v>21560</v>
      </c>
      <c r="B11" s="4">
        <v>27</v>
      </c>
      <c r="C11">
        <f t="shared" si="0"/>
        <v>38.62859362999999</v>
      </c>
      <c r="D11" s="8">
        <f t="shared" si="1"/>
        <v>-11.62859362999999</v>
      </c>
      <c r="E11" s="8">
        <f t="shared" si="2"/>
        <v>11.62859362999999</v>
      </c>
      <c r="F11" s="8">
        <f t="shared" si="3"/>
        <v>135.22418981167635</v>
      </c>
      <c r="G11" s="5">
        <f t="shared" si="4"/>
        <v>0.4306886529629626</v>
      </c>
      <c r="J11" s="2" t="s">
        <v>10</v>
      </c>
      <c r="K11" s="5">
        <f>100%-K10</f>
        <v>0.85679421503732434</v>
      </c>
    </row>
    <row r="12" spans="1:11" ht="15.75" customHeight="1">
      <c r="A12" s="3">
        <v>21561</v>
      </c>
      <c r="B12" s="4">
        <v>38</v>
      </c>
      <c r="C12">
        <f t="shared" si="0"/>
        <v>35.14001554099999</v>
      </c>
      <c r="D12" s="8">
        <f t="shared" si="1"/>
        <v>2.8599844590000103</v>
      </c>
      <c r="E12" s="8">
        <f t="shared" si="2"/>
        <v>2.8599844590000103</v>
      </c>
      <c r="F12" s="8">
        <f t="shared" si="3"/>
        <v>8.1795111057215824</v>
      </c>
      <c r="G12" s="5">
        <f t="shared" si="4"/>
        <v>7.5262748921052905E-2</v>
      </c>
    </row>
    <row r="13" spans="1:11" ht="15.75" customHeight="1">
      <c r="A13" s="3">
        <v>21562</v>
      </c>
      <c r="B13" s="4">
        <v>33</v>
      </c>
      <c r="C13">
        <f t="shared" si="0"/>
        <v>35.998010878699993</v>
      </c>
      <c r="D13" s="8">
        <f t="shared" si="1"/>
        <v>-2.9980108786999935</v>
      </c>
      <c r="E13" s="8">
        <f t="shared" si="2"/>
        <v>2.9980108786999935</v>
      </c>
      <c r="F13" s="8">
        <f t="shared" si="3"/>
        <v>8.9880692288035071</v>
      </c>
      <c r="G13" s="5">
        <f t="shared" si="4"/>
        <v>9.0848814506060416E-2</v>
      </c>
    </row>
    <row r="14" spans="1:11" ht="15.75" customHeight="1">
      <c r="A14" s="3">
        <v>21563</v>
      </c>
      <c r="B14" s="4">
        <v>55</v>
      </c>
      <c r="C14">
        <f t="shared" si="0"/>
        <v>35.098607615089996</v>
      </c>
      <c r="D14" s="8">
        <f t="shared" si="1"/>
        <v>19.901392384910004</v>
      </c>
      <c r="E14" s="8">
        <f t="shared" si="2"/>
        <v>19.901392384910004</v>
      </c>
      <c r="F14" s="8">
        <f t="shared" si="3"/>
        <v>396.06541885815392</v>
      </c>
      <c r="G14" s="5">
        <f t="shared" si="4"/>
        <v>0.36184349790745463</v>
      </c>
    </row>
    <row r="15" spans="1:11" ht="15.75" customHeight="1">
      <c r="A15" s="3">
        <v>21564</v>
      </c>
      <c r="B15" s="4">
        <v>47</v>
      </c>
      <c r="C15">
        <f t="shared" si="0"/>
        <v>41.069025330562994</v>
      </c>
      <c r="D15" s="8">
        <f t="shared" si="1"/>
        <v>5.9309746694370062</v>
      </c>
      <c r="E15" s="8">
        <f t="shared" si="2"/>
        <v>5.9309746694370062</v>
      </c>
      <c r="F15" s="8">
        <f t="shared" si="3"/>
        <v>35.176460529503409</v>
      </c>
      <c r="G15" s="5">
        <f t="shared" si="4"/>
        <v>0.12619095041355333</v>
      </c>
    </row>
    <row r="16" spans="1:11" ht="15.75" customHeight="1">
      <c r="A16" s="3">
        <v>21565</v>
      </c>
      <c r="B16" s="4">
        <v>45</v>
      </c>
      <c r="C16">
        <f t="shared" si="0"/>
        <v>42.84831773139409</v>
      </c>
      <c r="D16" s="8">
        <f t="shared" si="1"/>
        <v>2.1516822686059101</v>
      </c>
      <c r="E16" s="8">
        <f t="shared" si="2"/>
        <v>2.1516822686059101</v>
      </c>
      <c r="F16" s="8">
        <f t="shared" si="3"/>
        <v>4.6297365850330756</v>
      </c>
      <c r="G16" s="5">
        <f t="shared" si="4"/>
        <v>4.7815161524575781E-2</v>
      </c>
    </row>
    <row r="17" spans="1:7" ht="15.75" customHeight="1">
      <c r="A17" s="3">
        <v>21566</v>
      </c>
      <c r="B17" s="4">
        <v>37</v>
      </c>
      <c r="C17">
        <f t="shared" si="0"/>
        <v>43.493822411975856</v>
      </c>
      <c r="D17" s="8">
        <f t="shared" si="1"/>
        <v>-6.4938224119758559</v>
      </c>
      <c r="E17" s="8">
        <f t="shared" si="2"/>
        <v>6.4938224119758559</v>
      </c>
      <c r="F17" s="8">
        <f t="shared" si="3"/>
        <v>42.169729518279922</v>
      </c>
      <c r="G17" s="5">
        <f t="shared" si="4"/>
        <v>0.1755087138371853</v>
      </c>
    </row>
    <row r="18" spans="1:7" ht="15.75" customHeight="1">
      <c r="A18" s="3">
        <v>21567</v>
      </c>
      <c r="B18" s="4">
        <v>50</v>
      </c>
      <c r="C18">
        <f t="shared" si="0"/>
        <v>41.545675688383099</v>
      </c>
      <c r="D18" s="8">
        <f t="shared" si="1"/>
        <v>8.4543243116169009</v>
      </c>
      <c r="E18" s="8">
        <f t="shared" si="2"/>
        <v>8.4543243116169009</v>
      </c>
      <c r="F18" s="8">
        <f t="shared" si="3"/>
        <v>71.475599565996589</v>
      </c>
      <c r="G18" s="5">
        <f t="shared" si="4"/>
        <v>0.16908648623233802</v>
      </c>
    </row>
    <row r="19" spans="1:7" ht="15.75" customHeight="1">
      <c r="A19" s="3">
        <v>21568</v>
      </c>
      <c r="B19" s="4">
        <v>43</v>
      </c>
      <c r="C19">
        <f t="shared" si="0"/>
        <v>44.081972981868162</v>
      </c>
      <c r="D19" s="8">
        <f t="shared" si="1"/>
        <v>-1.0819729818681623</v>
      </c>
      <c r="E19" s="8">
        <f t="shared" si="2"/>
        <v>1.0819729818681623</v>
      </c>
      <c r="F19" s="8">
        <f t="shared" si="3"/>
        <v>1.1706655334926825</v>
      </c>
      <c r="G19" s="5">
        <f t="shared" si="4"/>
        <v>2.5162162369027029E-2</v>
      </c>
    </row>
    <row r="20" spans="1:7" ht="15.75" customHeight="1">
      <c r="A20" s="3">
        <v>21569</v>
      </c>
      <c r="B20" s="4">
        <v>41</v>
      </c>
      <c r="C20">
        <f t="shared" si="0"/>
        <v>43.757381087307714</v>
      </c>
      <c r="D20" s="8">
        <f t="shared" si="1"/>
        <v>-2.7573810873077136</v>
      </c>
      <c r="E20" s="8">
        <f t="shared" si="2"/>
        <v>2.7573810873077136</v>
      </c>
      <c r="F20" s="8">
        <f t="shared" si="3"/>
        <v>7.6031504606422686</v>
      </c>
      <c r="G20" s="5">
        <f t="shared" si="4"/>
        <v>6.7253197251407645E-2</v>
      </c>
    </row>
    <row r="21" spans="1:7" ht="15.75" customHeight="1">
      <c r="A21" s="3">
        <v>21570</v>
      </c>
      <c r="B21" s="4">
        <v>52</v>
      </c>
      <c r="C21">
        <f t="shared" si="0"/>
        <v>42.930166761115395</v>
      </c>
      <c r="D21" s="8">
        <f t="shared" si="1"/>
        <v>9.0698332388846055</v>
      </c>
      <c r="E21" s="8">
        <f t="shared" si="2"/>
        <v>9.0698332388846055</v>
      </c>
      <c r="F21" s="8">
        <f t="shared" si="3"/>
        <v>82.261874981176007</v>
      </c>
      <c r="G21" s="5">
        <f t="shared" si="4"/>
        <v>0.17441986997855011</v>
      </c>
    </row>
    <row r="22" spans="1:7" ht="15.75" customHeight="1">
      <c r="A22" s="3">
        <v>21571</v>
      </c>
      <c r="B22" s="4">
        <v>34</v>
      </c>
      <c r="C22">
        <f t="shared" si="0"/>
        <v>45.651116732780771</v>
      </c>
      <c r="D22" s="8">
        <f t="shared" si="1"/>
        <v>-11.651116732780771</v>
      </c>
      <c r="E22" s="8">
        <f t="shared" si="2"/>
        <v>11.651116732780771</v>
      </c>
      <c r="F22" s="8">
        <f t="shared" si="3"/>
        <v>135.74852112088408</v>
      </c>
      <c r="G22" s="5">
        <f t="shared" si="4"/>
        <v>0.34267990390531677</v>
      </c>
    </row>
    <row r="23" spans="1:7" ht="15.75" customHeight="1">
      <c r="A23" s="3">
        <v>21572</v>
      </c>
      <c r="B23" s="4">
        <v>53</v>
      </c>
      <c r="C23">
        <f t="shared" si="0"/>
        <v>42.155781712946535</v>
      </c>
      <c r="D23" s="8">
        <f t="shared" si="1"/>
        <v>10.844218287053465</v>
      </c>
      <c r="E23" s="8">
        <f t="shared" si="2"/>
        <v>10.844218287053465</v>
      </c>
      <c r="F23" s="8">
        <f t="shared" si="3"/>
        <v>117.59707025726479</v>
      </c>
      <c r="G23" s="5">
        <f t="shared" si="4"/>
        <v>0.20460789220855594</v>
      </c>
    </row>
    <row r="24" spans="1:7" ht="15.75" customHeight="1">
      <c r="A24" s="3">
        <v>21573</v>
      </c>
      <c r="B24" s="4">
        <v>39</v>
      </c>
      <c r="C24">
        <f t="shared" si="0"/>
        <v>45.40904719906257</v>
      </c>
      <c r="D24" s="8">
        <f t="shared" si="1"/>
        <v>-6.4090471990625701</v>
      </c>
      <c r="E24" s="8">
        <f t="shared" si="2"/>
        <v>6.4090471990625701</v>
      </c>
      <c r="F24" s="8">
        <f t="shared" si="3"/>
        <v>41.075885999811774</v>
      </c>
      <c r="G24" s="5">
        <f t="shared" si="4"/>
        <v>0.16433454356570693</v>
      </c>
    </row>
    <row r="25" spans="1:7" ht="15.75" customHeight="1">
      <c r="A25" s="3">
        <v>21574</v>
      </c>
      <c r="B25" s="4">
        <v>32</v>
      </c>
      <c r="C25">
        <f t="shared" si="0"/>
        <v>43.486333039343798</v>
      </c>
      <c r="D25" s="8">
        <f t="shared" si="1"/>
        <v>-11.486333039343798</v>
      </c>
      <c r="E25" s="8">
        <f t="shared" si="2"/>
        <v>11.486333039343798</v>
      </c>
      <c r="F25" s="8">
        <f t="shared" si="3"/>
        <v>131.93584669072092</v>
      </c>
      <c r="G25" s="5">
        <f t="shared" si="4"/>
        <v>0.35894790747949368</v>
      </c>
    </row>
    <row r="26" spans="1:7" ht="15.75" customHeight="1">
      <c r="A26" s="3">
        <v>21575</v>
      </c>
      <c r="B26" s="4">
        <v>37</v>
      </c>
      <c r="C26">
        <f t="shared" si="0"/>
        <v>40.040433127540659</v>
      </c>
      <c r="D26" s="8">
        <f t="shared" si="1"/>
        <v>-3.0404331275406591</v>
      </c>
      <c r="E26" s="8">
        <f t="shared" si="2"/>
        <v>3.0404331275406591</v>
      </c>
      <c r="F26" s="8">
        <f t="shared" si="3"/>
        <v>9.2442336030466734</v>
      </c>
      <c r="G26" s="5">
        <f t="shared" si="4"/>
        <v>8.2173868311909704E-2</v>
      </c>
    </row>
    <row r="27" spans="1:7" ht="15.75" customHeight="1">
      <c r="A27" s="3">
        <v>21576</v>
      </c>
      <c r="B27" s="4">
        <v>43</v>
      </c>
      <c r="C27">
        <f t="shared" si="0"/>
        <v>39.128303189278462</v>
      </c>
      <c r="D27" s="8">
        <f t="shared" si="1"/>
        <v>3.8716968107215379</v>
      </c>
      <c r="E27" s="8">
        <f t="shared" si="2"/>
        <v>3.8716968107215379</v>
      </c>
      <c r="F27" s="8">
        <f t="shared" si="3"/>
        <v>14.990036194151328</v>
      </c>
      <c r="G27" s="5">
        <f t="shared" si="4"/>
        <v>9.0039460714454372E-2</v>
      </c>
    </row>
    <row r="28" spans="1:7" ht="15.75" customHeight="1">
      <c r="A28" s="3">
        <v>21577</v>
      </c>
      <c r="B28" s="4">
        <v>39</v>
      </c>
      <c r="C28">
        <f t="shared" si="0"/>
        <v>40.289812232494924</v>
      </c>
      <c r="D28" s="8">
        <f t="shared" si="1"/>
        <v>-1.2898122324949242</v>
      </c>
      <c r="E28" s="8">
        <f t="shared" si="2"/>
        <v>1.2898122324949242</v>
      </c>
      <c r="F28" s="8">
        <f t="shared" si="3"/>
        <v>1.6636155950935403</v>
      </c>
      <c r="G28" s="5">
        <f t="shared" si="4"/>
        <v>3.3072108525510874E-2</v>
      </c>
    </row>
    <row r="29" spans="1:7" ht="15.75" customHeight="1">
      <c r="A29" s="3">
        <v>21578</v>
      </c>
      <c r="B29" s="4">
        <v>35</v>
      </c>
      <c r="C29">
        <f t="shared" si="0"/>
        <v>39.902868562746448</v>
      </c>
      <c r="D29" s="8">
        <f t="shared" si="1"/>
        <v>-4.9028685627464483</v>
      </c>
      <c r="E29" s="8">
        <f t="shared" si="2"/>
        <v>4.9028685627464483</v>
      </c>
      <c r="F29" s="8">
        <f t="shared" si="3"/>
        <v>24.038120143567426</v>
      </c>
      <c r="G29" s="5">
        <f t="shared" si="4"/>
        <v>0.14008195893561282</v>
      </c>
    </row>
    <row r="30" spans="1:7" ht="15.75" customHeight="1">
      <c r="A30" s="3">
        <v>21579</v>
      </c>
      <c r="B30" s="4">
        <v>44</v>
      </c>
      <c r="C30">
        <f t="shared" si="0"/>
        <v>38.432007993922511</v>
      </c>
      <c r="D30" s="8">
        <f t="shared" si="1"/>
        <v>5.567992006077489</v>
      </c>
      <c r="E30" s="8">
        <f t="shared" si="2"/>
        <v>5.567992006077489</v>
      </c>
      <c r="F30" s="8">
        <f t="shared" si="3"/>
        <v>31.002534979742819</v>
      </c>
      <c r="G30" s="5">
        <f t="shared" si="4"/>
        <v>0.12654527286539749</v>
      </c>
    </row>
    <row r="31" spans="1:7" ht="15.75" customHeight="1">
      <c r="A31" s="3">
        <v>21580</v>
      </c>
      <c r="B31" s="4">
        <v>38</v>
      </c>
      <c r="C31">
        <f t="shared" si="0"/>
        <v>40.102405595745751</v>
      </c>
      <c r="D31" s="8">
        <f t="shared" si="1"/>
        <v>-2.1024055957457506</v>
      </c>
      <c r="E31" s="8">
        <f t="shared" si="2"/>
        <v>2.1024055957457506</v>
      </c>
      <c r="F31" s="8">
        <f t="shared" si="3"/>
        <v>4.4201092890230447</v>
      </c>
      <c r="G31" s="5">
        <f t="shared" si="4"/>
        <v>5.5326463045940806E-2</v>
      </c>
    </row>
    <row r="32" spans="1:7" ht="15.75" customHeight="1">
      <c r="A32" s="3">
        <v>21581</v>
      </c>
      <c r="B32" s="4">
        <v>24</v>
      </c>
      <c r="C32">
        <f t="shared" si="0"/>
        <v>39.471683917022027</v>
      </c>
      <c r="D32" s="8">
        <f t="shared" si="1"/>
        <v>-15.471683917022027</v>
      </c>
      <c r="E32" s="8">
        <f t="shared" si="2"/>
        <v>15.471683917022027</v>
      </c>
      <c r="F32" s="8">
        <f t="shared" si="3"/>
        <v>239.37300322823805</v>
      </c>
      <c r="G32" s="5">
        <f t="shared" si="4"/>
        <v>0.64465349654258441</v>
      </c>
    </row>
    <row r="33" spans="1:7" ht="15.75" customHeight="1">
      <c r="A33" s="3">
        <v>21582</v>
      </c>
      <c r="B33" s="4">
        <v>23</v>
      </c>
      <c r="C33">
        <f t="shared" si="0"/>
        <v>34.830178741915418</v>
      </c>
      <c r="D33" s="8">
        <f t="shared" si="1"/>
        <v>-11.830178741915418</v>
      </c>
      <c r="E33" s="8">
        <f t="shared" si="2"/>
        <v>11.830178741915418</v>
      </c>
      <c r="F33" s="8">
        <f t="shared" si="3"/>
        <v>139.95312906566747</v>
      </c>
      <c r="G33" s="5">
        <f t="shared" si="4"/>
        <v>0.51435559747458337</v>
      </c>
    </row>
    <row r="34" spans="1:7" ht="15.75" customHeight="1">
      <c r="A34" s="3">
        <v>21583</v>
      </c>
      <c r="B34" s="4">
        <v>31</v>
      </c>
      <c r="C34">
        <f t="shared" si="0"/>
        <v>31.281125119340789</v>
      </c>
      <c r="D34" s="8">
        <f t="shared" si="1"/>
        <v>-0.2811251193407891</v>
      </c>
      <c r="E34" s="8">
        <f t="shared" si="2"/>
        <v>0.2811251193407891</v>
      </c>
      <c r="F34" s="8">
        <f t="shared" si="3"/>
        <v>7.9031332724372919E-2</v>
      </c>
      <c r="G34" s="5">
        <f t="shared" si="4"/>
        <v>9.0685522367996482E-3</v>
      </c>
    </row>
    <row r="35" spans="1:7" ht="15.75" customHeight="1">
      <c r="A35" s="3">
        <v>21584</v>
      </c>
      <c r="B35" s="4">
        <v>44</v>
      </c>
      <c r="C35">
        <f t="shared" si="0"/>
        <v>31.196787583538551</v>
      </c>
      <c r="D35" s="8">
        <f t="shared" si="1"/>
        <v>12.803212416461449</v>
      </c>
      <c r="E35" s="8">
        <f t="shared" si="2"/>
        <v>12.803212416461449</v>
      </c>
      <c r="F35" s="8">
        <f t="shared" si="3"/>
        <v>163.92224818103261</v>
      </c>
      <c r="G35" s="5">
        <f t="shared" si="4"/>
        <v>0.29098210037412381</v>
      </c>
    </row>
    <row r="36" spans="1:7" ht="15.75" customHeight="1">
      <c r="A36" s="3">
        <v>21585</v>
      </c>
      <c r="B36" s="4">
        <v>38</v>
      </c>
      <c r="C36">
        <f t="shared" si="0"/>
        <v>35.037751308476984</v>
      </c>
      <c r="D36" s="8">
        <f t="shared" si="1"/>
        <v>2.9622486915230155</v>
      </c>
      <c r="E36" s="8">
        <f t="shared" si="2"/>
        <v>2.9622486915230155</v>
      </c>
      <c r="F36" s="8">
        <f t="shared" si="3"/>
        <v>8.7749173104298173</v>
      </c>
      <c r="G36" s="5">
        <f t="shared" si="4"/>
        <v>7.7953912934816197E-2</v>
      </c>
    </row>
    <row r="37" spans="1:7" ht="15.75" customHeight="1">
      <c r="A37" s="3">
        <v>21586</v>
      </c>
      <c r="B37" s="4">
        <v>50</v>
      </c>
      <c r="C37">
        <f t="shared" si="0"/>
        <v>35.926425915933891</v>
      </c>
      <c r="D37" s="8">
        <f t="shared" si="1"/>
        <v>14.073574084066109</v>
      </c>
      <c r="E37" s="8">
        <f t="shared" si="2"/>
        <v>14.073574084066109</v>
      </c>
      <c r="F37" s="8">
        <f t="shared" si="3"/>
        <v>198.06548749969724</v>
      </c>
      <c r="G37" s="5">
        <f t="shared" si="4"/>
        <v>0.28147148168132219</v>
      </c>
    </row>
    <row r="38" spans="1:7" ht="15.75" customHeight="1">
      <c r="A38" s="3">
        <v>21587</v>
      </c>
      <c r="B38" s="4">
        <v>38</v>
      </c>
      <c r="C38">
        <f t="shared" si="0"/>
        <v>40.148498141153723</v>
      </c>
      <c r="D38" s="8">
        <f t="shared" si="1"/>
        <v>-2.1484981411537234</v>
      </c>
      <c r="E38" s="8">
        <f t="shared" si="2"/>
        <v>2.1484981411537234</v>
      </c>
      <c r="F38" s="8">
        <f t="shared" si="3"/>
        <v>4.6160442625410045</v>
      </c>
      <c r="G38" s="5">
        <f t="shared" si="4"/>
        <v>5.653942476720325E-2</v>
      </c>
    </row>
    <row r="39" spans="1:7" ht="15.75" customHeight="1">
      <c r="A39" s="3">
        <v>21588</v>
      </c>
      <c r="B39" s="4">
        <v>51</v>
      </c>
      <c r="C39">
        <f t="shared" si="0"/>
        <v>39.503948698807605</v>
      </c>
      <c r="D39" s="8">
        <f t="shared" si="1"/>
        <v>11.496051301192395</v>
      </c>
      <c r="E39" s="8">
        <f t="shared" si="2"/>
        <v>11.496051301192395</v>
      </c>
      <c r="F39" s="8">
        <f t="shared" si="3"/>
        <v>132.15919551964737</v>
      </c>
      <c r="G39" s="5">
        <f t="shared" si="4"/>
        <v>0.22541277061161558</v>
      </c>
    </row>
    <row r="40" spans="1:7" ht="15.75" customHeight="1">
      <c r="A40" s="3">
        <v>21589</v>
      </c>
      <c r="B40" s="4">
        <v>31</v>
      </c>
      <c r="C40">
        <f t="shared" si="0"/>
        <v>42.952764089165321</v>
      </c>
      <c r="D40" s="8">
        <f t="shared" si="1"/>
        <v>-11.952764089165321</v>
      </c>
      <c r="E40" s="8">
        <f t="shared" si="2"/>
        <v>11.952764089165321</v>
      </c>
      <c r="F40" s="8">
        <f t="shared" si="3"/>
        <v>142.86856937124008</v>
      </c>
      <c r="G40" s="5">
        <f t="shared" si="4"/>
        <v>0.38557303513436519</v>
      </c>
    </row>
    <row r="41" spans="1:7" ht="15.75" customHeight="1">
      <c r="A41" s="3">
        <v>21590</v>
      </c>
      <c r="B41" s="4">
        <v>31</v>
      </c>
      <c r="C41">
        <f t="shared" si="0"/>
        <v>39.366934862415718</v>
      </c>
      <c r="D41" s="8">
        <f t="shared" si="1"/>
        <v>-8.366934862415718</v>
      </c>
      <c r="E41" s="8">
        <f t="shared" si="2"/>
        <v>8.366934862415718</v>
      </c>
      <c r="F41" s="8">
        <f t="shared" si="3"/>
        <v>70.005598991907533</v>
      </c>
      <c r="G41" s="5">
        <f t="shared" si="4"/>
        <v>0.26990112459405541</v>
      </c>
    </row>
    <row r="42" spans="1:7" ht="15.75" customHeight="1">
      <c r="A42" s="3">
        <v>21591</v>
      </c>
      <c r="B42" s="4">
        <v>51</v>
      </c>
      <c r="C42">
        <f t="shared" si="0"/>
        <v>36.856854403691003</v>
      </c>
      <c r="D42" s="8">
        <f t="shared" si="1"/>
        <v>14.143145596308997</v>
      </c>
      <c r="E42" s="8">
        <f t="shared" si="2"/>
        <v>14.143145596308997</v>
      </c>
      <c r="F42" s="8">
        <f t="shared" si="3"/>
        <v>200.02856735839458</v>
      </c>
      <c r="G42" s="5">
        <f t="shared" si="4"/>
        <v>0.27731658031978429</v>
      </c>
    </row>
    <row r="43" spans="1:7" ht="15.75" customHeight="1">
      <c r="A43" s="3">
        <v>21592</v>
      </c>
      <c r="B43" s="4">
        <v>36</v>
      </c>
      <c r="C43">
        <f t="shared" si="0"/>
        <v>41.099798082583696</v>
      </c>
      <c r="D43" s="8">
        <f t="shared" si="1"/>
        <v>-5.0997980825836962</v>
      </c>
      <c r="E43" s="8">
        <f t="shared" si="2"/>
        <v>5.0997980825836962</v>
      </c>
      <c r="F43" s="8">
        <f t="shared" si="3"/>
        <v>26.007940483124344</v>
      </c>
      <c r="G43" s="5">
        <f t="shared" si="4"/>
        <v>0.14166105784954711</v>
      </c>
    </row>
    <row r="44" spans="1:7" ht="15.75" customHeight="1">
      <c r="A44" s="3">
        <v>21593</v>
      </c>
      <c r="B44" s="4">
        <v>45</v>
      </c>
      <c r="C44">
        <f t="shared" si="0"/>
        <v>39.569858657808581</v>
      </c>
      <c r="D44" s="8">
        <f t="shared" si="1"/>
        <v>5.4301413421914191</v>
      </c>
      <c r="E44" s="8">
        <f t="shared" si="2"/>
        <v>5.4301413421914191</v>
      </c>
      <c r="F44" s="8">
        <f t="shared" si="3"/>
        <v>29.486434996176428</v>
      </c>
      <c r="G44" s="5">
        <f t="shared" si="4"/>
        <v>0.12066980760425376</v>
      </c>
    </row>
    <row r="45" spans="1:7" ht="15.75" customHeight="1">
      <c r="A45" s="3">
        <v>21594</v>
      </c>
      <c r="B45" s="4">
        <v>51</v>
      </c>
      <c r="C45">
        <f t="shared" si="0"/>
        <v>41.198901060466007</v>
      </c>
      <c r="D45" s="8">
        <f t="shared" si="1"/>
        <v>9.8010989395339934</v>
      </c>
      <c r="E45" s="8">
        <f t="shared" si="2"/>
        <v>9.8010989395339934</v>
      </c>
      <c r="F45" s="8">
        <f t="shared" si="3"/>
        <v>96.061540422534364</v>
      </c>
      <c r="G45" s="5">
        <f t="shared" si="4"/>
        <v>0.1921784105790979</v>
      </c>
    </row>
    <row r="46" spans="1:7" ht="15.75" customHeight="1">
      <c r="A46" s="3">
        <v>21595</v>
      </c>
      <c r="B46" s="4">
        <v>34</v>
      </c>
      <c r="C46">
        <f t="shared" si="0"/>
        <v>44.139230742326198</v>
      </c>
      <c r="D46" s="8">
        <f t="shared" si="1"/>
        <v>-10.139230742326198</v>
      </c>
      <c r="E46" s="8">
        <f t="shared" si="2"/>
        <v>10.139230742326198</v>
      </c>
      <c r="F46" s="8">
        <f t="shared" si="3"/>
        <v>102.80400004613267</v>
      </c>
      <c r="G46" s="5">
        <f t="shared" si="4"/>
        <v>0.29821266889194703</v>
      </c>
    </row>
    <row r="47" spans="1:7" ht="15.75" customHeight="1">
      <c r="A47" s="3">
        <v>21596</v>
      </c>
      <c r="B47" s="4">
        <v>52</v>
      </c>
      <c r="C47">
        <f t="shared" si="0"/>
        <v>41.097461519628339</v>
      </c>
      <c r="D47" s="8">
        <f t="shared" si="1"/>
        <v>10.902538480371661</v>
      </c>
      <c r="E47" s="8">
        <f t="shared" si="2"/>
        <v>10.902538480371661</v>
      </c>
      <c r="F47" s="8">
        <f t="shared" si="3"/>
        <v>118.8653453159848</v>
      </c>
      <c r="G47" s="5">
        <f t="shared" si="4"/>
        <v>0.20966420154560886</v>
      </c>
    </row>
    <row r="48" spans="1:7" ht="15.75" customHeight="1">
      <c r="A48" s="3">
        <v>21597</v>
      </c>
      <c r="B48" s="4">
        <v>47</v>
      </c>
      <c r="C48">
        <f t="shared" si="0"/>
        <v>44.368223063739833</v>
      </c>
      <c r="D48" s="8">
        <f t="shared" si="1"/>
        <v>2.6317769362601666</v>
      </c>
      <c r="E48" s="8">
        <f t="shared" si="2"/>
        <v>2.6317769362601666</v>
      </c>
      <c r="F48" s="8">
        <f t="shared" si="3"/>
        <v>6.9262498422309493</v>
      </c>
      <c r="G48" s="5">
        <f t="shared" si="4"/>
        <v>5.5995253962982265E-2</v>
      </c>
    </row>
    <row r="49" spans="1:7" ht="15.75" customHeight="1">
      <c r="A49" s="3">
        <v>21598</v>
      </c>
      <c r="B49" s="4">
        <v>45</v>
      </c>
      <c r="C49">
        <f t="shared" si="0"/>
        <v>45.157756144617878</v>
      </c>
      <c r="D49" s="8">
        <f t="shared" si="1"/>
        <v>-0.15775614461787768</v>
      </c>
      <c r="E49" s="8">
        <f t="shared" si="2"/>
        <v>0.15775614461787768</v>
      </c>
      <c r="F49" s="8">
        <f t="shared" si="3"/>
        <v>2.4887001164696738E-2</v>
      </c>
      <c r="G49" s="5">
        <f t="shared" si="4"/>
        <v>3.505692102619504E-3</v>
      </c>
    </row>
    <row r="50" spans="1:7" ht="15.75" customHeight="1">
      <c r="A50" s="3">
        <v>21599</v>
      </c>
      <c r="B50" s="4">
        <v>46</v>
      </c>
      <c r="C50">
        <f t="shared" si="0"/>
        <v>45.110429301232514</v>
      </c>
      <c r="D50" s="8">
        <f t="shared" si="1"/>
        <v>0.88957069876748562</v>
      </c>
      <c r="E50" s="8">
        <f t="shared" si="2"/>
        <v>0.88957069876748562</v>
      </c>
      <c r="F50" s="8">
        <f t="shared" si="3"/>
        <v>0.79133602810567261</v>
      </c>
      <c r="G50" s="5">
        <f t="shared" si="4"/>
        <v>1.9338493451467077E-2</v>
      </c>
    </row>
    <row r="51" spans="1:7" ht="15.75" customHeight="1">
      <c r="A51" s="3">
        <v>21600</v>
      </c>
      <c r="B51" s="4">
        <v>39</v>
      </c>
      <c r="C51">
        <f t="shared" si="0"/>
        <v>45.37730051086276</v>
      </c>
      <c r="D51" s="8">
        <f t="shared" si="1"/>
        <v>-6.3773005108627601</v>
      </c>
      <c r="E51" s="8">
        <f t="shared" si="2"/>
        <v>6.3773005108627601</v>
      </c>
      <c r="F51" s="8">
        <f t="shared" si="3"/>
        <v>40.66996180585042</v>
      </c>
      <c r="G51" s="5">
        <f t="shared" si="4"/>
        <v>0.16352052591955796</v>
      </c>
    </row>
    <row r="52" spans="1:7" ht="15.75" customHeight="1">
      <c r="A52" s="3">
        <v>21601</v>
      </c>
      <c r="B52" s="4">
        <v>48</v>
      </c>
      <c r="C52">
        <f t="shared" si="0"/>
        <v>43.464110357603928</v>
      </c>
      <c r="D52" s="8">
        <f t="shared" si="1"/>
        <v>4.5358896423960715</v>
      </c>
      <c r="E52" s="8">
        <f t="shared" si="2"/>
        <v>4.5358896423960715</v>
      </c>
      <c r="F52" s="8">
        <f t="shared" si="3"/>
        <v>20.574294847995962</v>
      </c>
      <c r="G52" s="5">
        <f t="shared" si="4"/>
        <v>9.449770088325149E-2</v>
      </c>
    </row>
    <row r="53" spans="1:7" ht="15.75" customHeight="1">
      <c r="A53" s="3">
        <v>21602</v>
      </c>
      <c r="B53" s="4">
        <v>37</v>
      </c>
      <c r="C53">
        <f t="shared" si="0"/>
        <v>44.824877250322743</v>
      </c>
      <c r="D53" s="8">
        <f t="shared" si="1"/>
        <v>-7.8248772503227428</v>
      </c>
      <c r="E53" s="8">
        <f t="shared" si="2"/>
        <v>7.8248772503227428</v>
      </c>
      <c r="F53" s="8">
        <f t="shared" si="3"/>
        <v>61.228703982618406</v>
      </c>
      <c r="G53" s="5">
        <f t="shared" si="4"/>
        <v>0.21148316892764168</v>
      </c>
    </row>
    <row r="54" spans="1:7" ht="15.75" customHeight="1">
      <c r="A54" s="3">
        <v>21603</v>
      </c>
      <c r="B54" s="4">
        <v>35</v>
      </c>
      <c r="C54">
        <f t="shared" si="0"/>
        <v>42.477414075225916</v>
      </c>
      <c r="D54" s="8">
        <f t="shared" si="1"/>
        <v>-7.4774140752259157</v>
      </c>
      <c r="E54" s="8">
        <f t="shared" si="2"/>
        <v>7.4774140752259157</v>
      </c>
      <c r="F54" s="8">
        <f t="shared" si="3"/>
        <v>55.911721252386634</v>
      </c>
      <c r="G54" s="5">
        <f t="shared" si="4"/>
        <v>0.21364040214931188</v>
      </c>
    </row>
    <row r="55" spans="1:7" ht="15.75" customHeight="1">
      <c r="A55" s="3">
        <v>21604</v>
      </c>
      <c r="B55" s="4">
        <v>52</v>
      </c>
      <c r="C55">
        <f t="shared" si="0"/>
        <v>40.23418985265814</v>
      </c>
      <c r="D55" s="8">
        <f t="shared" si="1"/>
        <v>11.76581014734186</v>
      </c>
      <c r="E55" s="8">
        <f t="shared" si="2"/>
        <v>11.76581014734186</v>
      </c>
      <c r="F55" s="8">
        <f t="shared" si="3"/>
        <v>138.43428842329268</v>
      </c>
      <c r="G55" s="5">
        <f t="shared" si="4"/>
        <v>0.22626557975657421</v>
      </c>
    </row>
    <row r="56" spans="1:7" ht="15.75" customHeight="1">
      <c r="A56" s="3">
        <v>21605</v>
      </c>
      <c r="B56" s="4">
        <v>42</v>
      </c>
      <c r="C56">
        <f t="shared" si="0"/>
        <v>43.763932896860695</v>
      </c>
      <c r="D56" s="8">
        <f t="shared" si="1"/>
        <v>-1.7639328968606947</v>
      </c>
      <c r="E56" s="8">
        <f t="shared" si="2"/>
        <v>1.7639328968606947</v>
      </c>
      <c r="F56" s="8">
        <f t="shared" si="3"/>
        <v>3.1114592646273622</v>
      </c>
      <c r="G56" s="5">
        <f t="shared" si="4"/>
        <v>4.1998402306207015E-2</v>
      </c>
    </row>
    <row r="57" spans="1:7" ht="15.75" customHeight="1">
      <c r="A57" s="3">
        <v>21606</v>
      </c>
      <c r="B57" s="4">
        <v>45</v>
      </c>
      <c r="C57">
        <f t="shared" si="0"/>
        <v>43.234753027802483</v>
      </c>
      <c r="D57" s="8">
        <f t="shared" si="1"/>
        <v>1.7652469721975166</v>
      </c>
      <c r="E57" s="8">
        <f t="shared" si="2"/>
        <v>1.7652469721975166</v>
      </c>
      <c r="F57" s="8">
        <f t="shared" si="3"/>
        <v>3.1160968728524998</v>
      </c>
      <c r="G57" s="5">
        <f t="shared" si="4"/>
        <v>3.9227710493278146E-2</v>
      </c>
    </row>
    <row r="58" spans="1:7" ht="15.75" customHeight="1">
      <c r="A58" s="3">
        <v>21607</v>
      </c>
      <c r="B58" s="4">
        <v>39</v>
      </c>
      <c r="C58">
        <f t="shared" si="0"/>
        <v>43.76432711946174</v>
      </c>
      <c r="D58" s="8">
        <f t="shared" si="1"/>
        <v>-4.7643271194617398</v>
      </c>
      <c r="E58" s="8">
        <f t="shared" si="2"/>
        <v>4.7643271194617398</v>
      </c>
      <c r="F58" s="8">
        <f t="shared" si="3"/>
        <v>22.6988129012386</v>
      </c>
      <c r="G58" s="5">
        <f t="shared" si="4"/>
        <v>0.12216223383235231</v>
      </c>
    </row>
    <row r="59" spans="1:7" ht="15.75" customHeight="1">
      <c r="A59" s="3">
        <v>21608</v>
      </c>
      <c r="B59" s="4">
        <v>37</v>
      </c>
      <c r="C59">
        <f t="shared" si="0"/>
        <v>42.335028983623218</v>
      </c>
      <c r="D59" s="8">
        <f t="shared" si="1"/>
        <v>-5.3350289836232179</v>
      </c>
      <c r="E59" s="8">
        <f t="shared" si="2"/>
        <v>5.3350289836232179</v>
      </c>
      <c r="F59" s="8">
        <f t="shared" si="3"/>
        <v>28.462534256099786</v>
      </c>
      <c r="G59" s="5">
        <f t="shared" si="4"/>
        <v>0.14418997253035723</v>
      </c>
    </row>
    <row r="60" spans="1:7" ht="15.75" customHeight="1">
      <c r="A60" s="3">
        <v>21609</v>
      </c>
      <c r="B60" s="4">
        <v>30</v>
      </c>
      <c r="C60">
        <f t="shared" si="0"/>
        <v>40.734520288536253</v>
      </c>
      <c r="D60" s="8">
        <f t="shared" si="1"/>
        <v>-10.734520288536253</v>
      </c>
      <c r="E60" s="8">
        <f t="shared" si="2"/>
        <v>10.734520288536253</v>
      </c>
      <c r="F60" s="8">
        <f t="shared" si="3"/>
        <v>115.22992582499643</v>
      </c>
      <c r="G60" s="5">
        <f t="shared" si="4"/>
        <v>0.35781734295120843</v>
      </c>
    </row>
    <row r="61" spans="1:7" ht="15.75" customHeight="1">
      <c r="A61" s="3">
        <v>21610</v>
      </c>
      <c r="B61" s="4">
        <v>35</v>
      </c>
      <c r="C61">
        <f t="shared" si="0"/>
        <v>37.514164201975376</v>
      </c>
      <c r="D61" s="8">
        <f t="shared" si="1"/>
        <v>-2.514164201975376</v>
      </c>
      <c r="E61" s="8">
        <f t="shared" si="2"/>
        <v>2.514164201975376</v>
      </c>
      <c r="F61" s="8">
        <f t="shared" si="3"/>
        <v>6.3210216344944792</v>
      </c>
      <c r="G61" s="5">
        <f t="shared" si="4"/>
        <v>7.1833262913582177E-2</v>
      </c>
    </row>
    <row r="62" spans="1:7" ht="15.75" customHeight="1">
      <c r="A62" s="3">
        <v>21611</v>
      </c>
      <c r="B62" s="4">
        <v>28</v>
      </c>
      <c r="C62">
        <f t="shared" si="0"/>
        <v>36.75991494138276</v>
      </c>
      <c r="D62" s="8">
        <f t="shared" si="1"/>
        <v>-8.7599149413827604</v>
      </c>
      <c r="E62" s="8">
        <f t="shared" si="2"/>
        <v>8.7599149413827604</v>
      </c>
      <c r="F62" s="8">
        <f t="shared" si="3"/>
        <v>76.736109780260932</v>
      </c>
      <c r="G62" s="5">
        <f t="shared" si="4"/>
        <v>0.31285410504938432</v>
      </c>
    </row>
    <row r="63" spans="1:7" ht="15.75" customHeight="1">
      <c r="A63" s="3">
        <v>21612</v>
      </c>
      <c r="B63" s="4">
        <v>45</v>
      </c>
      <c r="C63">
        <f t="shared" si="0"/>
        <v>34.131940458967932</v>
      </c>
      <c r="D63" s="8">
        <f t="shared" si="1"/>
        <v>10.868059541032068</v>
      </c>
      <c r="E63" s="8">
        <f t="shared" si="2"/>
        <v>10.868059541032068</v>
      </c>
      <c r="F63" s="8">
        <f t="shared" si="3"/>
        <v>118.11471818741816</v>
      </c>
      <c r="G63" s="5">
        <f t="shared" si="4"/>
        <v>0.24151243424515706</v>
      </c>
    </row>
    <row r="64" spans="1:7" ht="15.75" customHeight="1">
      <c r="A64" s="3">
        <v>21613</v>
      </c>
      <c r="B64" s="4">
        <v>34</v>
      </c>
      <c r="C64">
        <f t="shared" si="0"/>
        <v>37.392358321277555</v>
      </c>
      <c r="D64" s="8">
        <f t="shared" si="1"/>
        <v>-3.3923583212775554</v>
      </c>
      <c r="E64" s="8">
        <f t="shared" si="2"/>
        <v>3.3923583212775554</v>
      </c>
      <c r="F64" s="8">
        <f t="shared" si="3"/>
        <v>11.508094979941074</v>
      </c>
      <c r="G64" s="5">
        <f t="shared" si="4"/>
        <v>9.9775244743457517E-2</v>
      </c>
    </row>
    <row r="65" spans="1:7" ht="15.75" customHeight="1">
      <c r="A65" s="3">
        <v>21614</v>
      </c>
      <c r="B65" s="4">
        <v>36</v>
      </c>
      <c r="C65">
        <f t="shared" si="0"/>
        <v>36.374650824894289</v>
      </c>
      <c r="D65" s="8">
        <f t="shared" si="1"/>
        <v>-0.3746508248942888</v>
      </c>
      <c r="E65" s="8">
        <f t="shared" si="2"/>
        <v>0.3746508248942888</v>
      </c>
      <c r="F65" s="8">
        <f t="shared" si="3"/>
        <v>0.14036324059397104</v>
      </c>
      <c r="G65" s="5">
        <f t="shared" si="4"/>
        <v>1.0406967358174689E-2</v>
      </c>
    </row>
    <row r="66" spans="1:7" ht="15.75" customHeight="1">
      <c r="A66" s="3">
        <v>21615</v>
      </c>
      <c r="B66" s="4">
        <v>50</v>
      </c>
      <c r="C66">
        <f t="shared" si="0"/>
        <v>36.262255577425996</v>
      </c>
      <c r="D66" s="8">
        <f t="shared" si="1"/>
        <v>13.737744422574004</v>
      </c>
      <c r="E66" s="8">
        <f t="shared" si="2"/>
        <v>13.737744422574004</v>
      </c>
      <c r="F66" s="8">
        <f t="shared" si="3"/>
        <v>188.72562181996315</v>
      </c>
      <c r="G66" s="5">
        <f t="shared" si="4"/>
        <v>0.27475488845148005</v>
      </c>
    </row>
    <row r="67" spans="1:7" ht="15.75" customHeight="1">
      <c r="A67" s="3">
        <v>21616</v>
      </c>
      <c r="B67" s="4">
        <v>44</v>
      </c>
      <c r="C67">
        <f t="shared" si="0"/>
        <v>40.383578904198195</v>
      </c>
      <c r="D67" s="8">
        <f t="shared" si="1"/>
        <v>3.6164210958018046</v>
      </c>
      <c r="E67" s="8">
        <f t="shared" si="2"/>
        <v>3.6164210958018046</v>
      </c>
      <c r="F67" s="8">
        <f t="shared" si="3"/>
        <v>13.078501542160325</v>
      </c>
      <c r="G67" s="5">
        <f t="shared" si="4"/>
        <v>8.2191388540950108E-2</v>
      </c>
    </row>
    <row r="68" spans="1:7" ht="15.75" customHeight="1">
      <c r="A68" s="3">
        <v>21617</v>
      </c>
      <c r="B68" s="4">
        <v>39</v>
      </c>
      <c r="C68">
        <f t="shared" ref="C68:C131" si="5">0.3*B67+0.7*C67</f>
        <v>41.468505232938739</v>
      </c>
      <c r="D68" s="8">
        <f t="shared" ref="D68:D131" si="6">B68-C68</f>
        <v>-2.4685052329387389</v>
      </c>
      <c r="E68" s="8">
        <f t="shared" ref="E68:E131" si="7">ABS(D68)</f>
        <v>2.4685052329387389</v>
      </c>
      <c r="F68" s="8">
        <f t="shared" ref="F68:F131" si="8">E68^2</f>
        <v>6.0935180850459378</v>
      </c>
      <c r="G68" s="5">
        <f t="shared" ref="G68:G131" si="9">E68/B68</f>
        <v>6.3295005972788171E-2</v>
      </c>
    </row>
    <row r="69" spans="1:7" ht="15.75" customHeight="1">
      <c r="A69" s="3">
        <v>21618</v>
      </c>
      <c r="B69" s="4">
        <v>32</v>
      </c>
      <c r="C69">
        <f t="shared" si="5"/>
        <v>40.727953663057114</v>
      </c>
      <c r="D69" s="8">
        <f t="shared" si="6"/>
        <v>-8.7279536630571144</v>
      </c>
      <c r="E69" s="8">
        <f t="shared" si="7"/>
        <v>8.7279536630571144</v>
      </c>
      <c r="F69" s="8">
        <f t="shared" si="8"/>
        <v>76.177175144472102</v>
      </c>
      <c r="G69" s="5">
        <f t="shared" si="9"/>
        <v>0.27274855197053482</v>
      </c>
    </row>
    <row r="70" spans="1:7" ht="15.75" customHeight="1">
      <c r="A70" s="3">
        <v>21619</v>
      </c>
      <c r="B70" s="4">
        <v>39</v>
      </c>
      <c r="C70">
        <f t="shared" si="5"/>
        <v>38.109567564139979</v>
      </c>
      <c r="D70" s="8">
        <f t="shared" si="6"/>
        <v>0.89043243586002063</v>
      </c>
      <c r="E70" s="8">
        <f t="shared" si="7"/>
        <v>0.89043243586002063</v>
      </c>
      <c r="F70" s="8">
        <f t="shared" si="8"/>
        <v>0.79286992283160973</v>
      </c>
      <c r="G70" s="5">
        <f t="shared" si="9"/>
        <v>2.2831600919487709E-2</v>
      </c>
    </row>
    <row r="71" spans="1:7" ht="15.75" customHeight="1">
      <c r="A71" s="3">
        <v>21620</v>
      </c>
      <c r="B71" s="4">
        <v>45</v>
      </c>
      <c r="C71">
        <f t="shared" si="5"/>
        <v>38.37669729489798</v>
      </c>
      <c r="D71" s="8">
        <f t="shared" si="6"/>
        <v>6.6233027051020201</v>
      </c>
      <c r="E71" s="8">
        <f t="shared" si="7"/>
        <v>6.6233027051020201</v>
      </c>
      <c r="F71" s="8">
        <f t="shared" si="8"/>
        <v>43.868138723411739</v>
      </c>
      <c r="G71" s="5">
        <f t="shared" si="9"/>
        <v>0.14718450455782267</v>
      </c>
    </row>
    <row r="72" spans="1:7" ht="15.75" customHeight="1">
      <c r="A72" s="3">
        <v>21621</v>
      </c>
      <c r="B72" s="4">
        <v>43</v>
      </c>
      <c r="C72">
        <f t="shared" si="5"/>
        <v>40.363688106428583</v>
      </c>
      <c r="D72" s="8">
        <f t="shared" si="6"/>
        <v>2.6363118935714169</v>
      </c>
      <c r="E72" s="8">
        <f t="shared" si="7"/>
        <v>2.6363118935714169</v>
      </c>
      <c r="F72" s="8">
        <f t="shared" si="8"/>
        <v>6.9501404001861102</v>
      </c>
      <c r="G72" s="5">
        <f t="shared" si="9"/>
        <v>6.1309578920265513E-2</v>
      </c>
    </row>
    <row r="73" spans="1:7" ht="15.75" customHeight="1">
      <c r="A73" s="3">
        <v>21622</v>
      </c>
      <c r="B73" s="4">
        <v>39</v>
      </c>
      <c r="C73">
        <f t="shared" si="5"/>
        <v>41.154581674500008</v>
      </c>
      <c r="D73" s="8">
        <f t="shared" si="6"/>
        <v>-2.1545816745000081</v>
      </c>
      <c r="E73" s="8">
        <f t="shared" si="7"/>
        <v>2.1545816745000081</v>
      </c>
      <c r="F73" s="8">
        <f t="shared" si="8"/>
        <v>4.6422221920912587</v>
      </c>
      <c r="G73" s="5">
        <f t="shared" si="9"/>
        <v>5.5245683961538672E-2</v>
      </c>
    </row>
    <row r="74" spans="1:7" ht="15.75" customHeight="1">
      <c r="A74" s="3">
        <v>21623</v>
      </c>
      <c r="B74" s="4">
        <v>31</v>
      </c>
      <c r="C74">
        <f t="shared" si="5"/>
        <v>40.508207172150001</v>
      </c>
      <c r="D74" s="8">
        <f t="shared" si="6"/>
        <v>-9.5082071721500014</v>
      </c>
      <c r="E74" s="8">
        <f t="shared" si="7"/>
        <v>9.5082071721500014</v>
      </c>
      <c r="F74" s="8">
        <f t="shared" si="8"/>
        <v>90.406003628524729</v>
      </c>
      <c r="G74" s="5">
        <f t="shared" si="9"/>
        <v>0.30671636039193551</v>
      </c>
    </row>
    <row r="75" spans="1:7" ht="15.75" customHeight="1">
      <c r="A75" s="3">
        <v>21624</v>
      </c>
      <c r="B75" s="4">
        <v>27</v>
      </c>
      <c r="C75">
        <f t="shared" si="5"/>
        <v>37.655745020504995</v>
      </c>
      <c r="D75" s="8">
        <f t="shared" si="6"/>
        <v>-10.655745020504995</v>
      </c>
      <c r="E75" s="8">
        <f t="shared" si="7"/>
        <v>10.655745020504995</v>
      </c>
      <c r="F75" s="8">
        <f t="shared" si="8"/>
        <v>113.54490194201699</v>
      </c>
      <c r="G75" s="5">
        <f t="shared" si="9"/>
        <v>0.39465722298166644</v>
      </c>
    </row>
    <row r="76" spans="1:7" ht="15.75" customHeight="1">
      <c r="A76" s="3">
        <v>21625</v>
      </c>
      <c r="B76" s="4">
        <v>30</v>
      </c>
      <c r="C76">
        <f t="shared" si="5"/>
        <v>34.459021514353495</v>
      </c>
      <c r="D76" s="8">
        <f t="shared" si="6"/>
        <v>-4.4590215143534948</v>
      </c>
      <c r="E76" s="8">
        <f t="shared" si="7"/>
        <v>4.4590215143534948</v>
      </c>
      <c r="F76" s="8">
        <f t="shared" si="8"/>
        <v>19.882872865467334</v>
      </c>
      <c r="G76" s="5">
        <f t="shared" si="9"/>
        <v>0.14863405047844983</v>
      </c>
    </row>
    <row r="77" spans="1:7" ht="15.75" customHeight="1">
      <c r="A77" s="3">
        <v>21626</v>
      </c>
      <c r="B77" s="4">
        <v>42</v>
      </c>
      <c r="C77">
        <f t="shared" si="5"/>
        <v>33.121315060047444</v>
      </c>
      <c r="D77" s="8">
        <f t="shared" si="6"/>
        <v>8.8786849399525565</v>
      </c>
      <c r="E77" s="8">
        <f t="shared" si="7"/>
        <v>8.8786849399525565</v>
      </c>
      <c r="F77" s="8">
        <f t="shared" si="8"/>
        <v>78.831046262940333</v>
      </c>
      <c r="G77" s="5">
        <f t="shared" si="9"/>
        <v>0.21139726047506086</v>
      </c>
    </row>
    <row r="78" spans="1:7" ht="15.75" customHeight="1">
      <c r="A78" s="3">
        <v>21627</v>
      </c>
      <c r="B78" s="4">
        <v>46</v>
      </c>
      <c r="C78">
        <f t="shared" si="5"/>
        <v>35.784920542033205</v>
      </c>
      <c r="D78" s="8">
        <f t="shared" si="6"/>
        <v>10.215079457966795</v>
      </c>
      <c r="E78" s="8">
        <f t="shared" si="7"/>
        <v>10.215079457966795</v>
      </c>
      <c r="F78" s="8">
        <f t="shared" si="8"/>
        <v>104.34784833257518</v>
      </c>
      <c r="G78" s="5">
        <f t="shared" si="9"/>
        <v>0.22206694473840857</v>
      </c>
    </row>
    <row r="79" spans="1:7" ht="15.75" customHeight="1">
      <c r="A79" s="3">
        <v>21628</v>
      </c>
      <c r="B79" s="4">
        <v>41</v>
      </c>
      <c r="C79">
        <f t="shared" si="5"/>
        <v>38.84944437942324</v>
      </c>
      <c r="D79" s="8">
        <f t="shared" si="6"/>
        <v>2.1505556205767604</v>
      </c>
      <c r="E79" s="8">
        <f t="shared" si="7"/>
        <v>2.1505556205767604</v>
      </c>
      <c r="F79" s="8">
        <f t="shared" si="8"/>
        <v>4.6248894771942952</v>
      </c>
      <c r="G79" s="5">
        <f t="shared" si="9"/>
        <v>5.2452576111628305E-2</v>
      </c>
    </row>
    <row r="80" spans="1:7" ht="15.75" customHeight="1">
      <c r="A80" s="3">
        <v>21629</v>
      </c>
      <c r="B80" s="4">
        <v>36</v>
      </c>
      <c r="C80">
        <f t="shared" si="5"/>
        <v>39.494611065596267</v>
      </c>
      <c r="D80" s="8">
        <f t="shared" si="6"/>
        <v>-3.494611065596267</v>
      </c>
      <c r="E80" s="8">
        <f t="shared" si="7"/>
        <v>3.494611065596267</v>
      </c>
      <c r="F80" s="8">
        <f t="shared" si="8"/>
        <v>12.212306499787877</v>
      </c>
      <c r="G80" s="5">
        <f t="shared" si="9"/>
        <v>9.7072529599896304E-2</v>
      </c>
    </row>
    <row r="81" spans="1:7" ht="15.75" customHeight="1">
      <c r="A81" s="3">
        <v>21630</v>
      </c>
      <c r="B81" s="4">
        <v>45</v>
      </c>
      <c r="C81">
        <f t="shared" si="5"/>
        <v>38.446227745917383</v>
      </c>
      <c r="D81" s="8">
        <f t="shared" si="6"/>
        <v>6.5537722540826167</v>
      </c>
      <c r="E81" s="8">
        <f t="shared" si="7"/>
        <v>6.5537722540826167</v>
      </c>
      <c r="F81" s="8">
        <f t="shared" si="8"/>
        <v>42.951930758383142</v>
      </c>
      <c r="G81" s="5">
        <f t="shared" si="9"/>
        <v>0.14563938342405816</v>
      </c>
    </row>
    <row r="82" spans="1:7" ht="15.75" customHeight="1">
      <c r="A82" s="3">
        <v>21631</v>
      </c>
      <c r="B82" s="4">
        <v>46</v>
      </c>
      <c r="C82">
        <f t="shared" si="5"/>
        <v>40.412359422142167</v>
      </c>
      <c r="D82" s="8">
        <f t="shared" si="6"/>
        <v>5.5876405778578331</v>
      </c>
      <c r="E82" s="8">
        <f t="shared" si="7"/>
        <v>5.5876405778578331</v>
      </c>
      <c r="F82" s="8">
        <f t="shared" si="8"/>
        <v>31.22172722732342</v>
      </c>
      <c r="G82" s="5">
        <f t="shared" si="9"/>
        <v>0.1214704473447355</v>
      </c>
    </row>
    <row r="83" spans="1:7" ht="15.75" customHeight="1">
      <c r="A83" s="3">
        <v>21632</v>
      </c>
      <c r="B83" s="4">
        <v>43</v>
      </c>
      <c r="C83">
        <f t="shared" si="5"/>
        <v>42.088651595499513</v>
      </c>
      <c r="D83" s="8">
        <f t="shared" si="6"/>
        <v>0.91134840450048671</v>
      </c>
      <c r="E83" s="8">
        <f t="shared" si="7"/>
        <v>0.91134840450048671</v>
      </c>
      <c r="F83" s="8">
        <f t="shared" si="8"/>
        <v>0.83055591438558274</v>
      </c>
      <c r="G83" s="5">
        <f t="shared" si="9"/>
        <v>2.1194148941871785E-2</v>
      </c>
    </row>
    <row r="84" spans="1:7" ht="15.75" customHeight="1">
      <c r="A84" s="3">
        <v>21633</v>
      </c>
      <c r="B84" s="4">
        <v>38</v>
      </c>
      <c r="C84">
        <f t="shared" si="5"/>
        <v>42.362056116849658</v>
      </c>
      <c r="D84" s="8">
        <f t="shared" si="6"/>
        <v>-4.3620561168496579</v>
      </c>
      <c r="E84" s="8">
        <f t="shared" si="7"/>
        <v>4.3620561168496579</v>
      </c>
      <c r="F84" s="8">
        <f t="shared" si="8"/>
        <v>19.027533566545515</v>
      </c>
      <c r="G84" s="5">
        <f t="shared" si="9"/>
        <v>0.11479095044341205</v>
      </c>
    </row>
    <row r="85" spans="1:7" ht="15.75" customHeight="1">
      <c r="A85" s="3">
        <v>21634</v>
      </c>
      <c r="B85" s="4">
        <v>34</v>
      </c>
      <c r="C85">
        <f t="shared" si="5"/>
        <v>41.053439281794759</v>
      </c>
      <c r="D85" s="8">
        <f t="shared" si="6"/>
        <v>-7.0534392817947591</v>
      </c>
      <c r="E85" s="8">
        <f t="shared" si="7"/>
        <v>7.0534392817947591</v>
      </c>
      <c r="F85" s="8">
        <f t="shared" si="8"/>
        <v>49.751005701965369</v>
      </c>
      <c r="G85" s="5">
        <f t="shared" si="9"/>
        <v>0.20745409652337526</v>
      </c>
    </row>
    <row r="86" spans="1:7" ht="15.75" customHeight="1">
      <c r="A86" s="3">
        <v>21635</v>
      </c>
      <c r="B86" s="4">
        <v>35</v>
      </c>
      <c r="C86">
        <f t="shared" si="5"/>
        <v>38.937407497256331</v>
      </c>
      <c r="D86" s="8">
        <f t="shared" si="6"/>
        <v>-3.9374074972563307</v>
      </c>
      <c r="E86" s="8">
        <f t="shared" si="7"/>
        <v>3.9374074972563307</v>
      </c>
      <c r="F86" s="8">
        <f t="shared" si="8"/>
        <v>15.503177799450361</v>
      </c>
      <c r="G86" s="5">
        <f t="shared" si="9"/>
        <v>0.11249735706446659</v>
      </c>
    </row>
    <row r="87" spans="1:7" ht="15.75" customHeight="1">
      <c r="A87" s="3">
        <v>21636</v>
      </c>
      <c r="B87" s="4">
        <v>56</v>
      </c>
      <c r="C87">
        <f t="shared" si="5"/>
        <v>37.756185248079433</v>
      </c>
      <c r="D87" s="8">
        <f t="shared" si="6"/>
        <v>18.243814751920567</v>
      </c>
      <c r="E87" s="8">
        <f t="shared" si="7"/>
        <v>18.243814751920567</v>
      </c>
      <c r="F87" s="8">
        <f t="shared" si="8"/>
        <v>332.8367767023945</v>
      </c>
      <c r="G87" s="5">
        <f t="shared" si="9"/>
        <v>0.32578240628429583</v>
      </c>
    </row>
    <row r="88" spans="1:7" ht="15.75" customHeight="1">
      <c r="A88" s="3">
        <v>21637</v>
      </c>
      <c r="B88" s="4">
        <v>36</v>
      </c>
      <c r="C88">
        <f t="shared" si="5"/>
        <v>43.229329673655599</v>
      </c>
      <c r="D88" s="8">
        <f t="shared" si="6"/>
        <v>-7.2293296736555988</v>
      </c>
      <c r="E88" s="8">
        <f t="shared" si="7"/>
        <v>7.2293296736555988</v>
      </c>
      <c r="F88" s="8">
        <f t="shared" si="8"/>
        <v>52.263207530397366</v>
      </c>
      <c r="G88" s="5">
        <f t="shared" si="9"/>
        <v>0.20081471315709998</v>
      </c>
    </row>
    <row r="89" spans="1:7" ht="15.75" customHeight="1">
      <c r="A89" s="3">
        <v>21638</v>
      </c>
      <c r="B89" s="4">
        <v>32</v>
      </c>
      <c r="C89">
        <f t="shared" si="5"/>
        <v>41.060530771558916</v>
      </c>
      <c r="D89" s="8">
        <f t="shared" si="6"/>
        <v>-9.0605307715589163</v>
      </c>
      <c r="E89" s="8">
        <f t="shared" si="7"/>
        <v>9.0605307715589163</v>
      </c>
      <c r="F89" s="8">
        <f t="shared" si="8"/>
        <v>82.093217862366018</v>
      </c>
      <c r="G89" s="5">
        <f t="shared" si="9"/>
        <v>0.28314158661121613</v>
      </c>
    </row>
    <row r="90" spans="1:7" ht="15.75" customHeight="1">
      <c r="A90" s="3">
        <v>21639</v>
      </c>
      <c r="B90" s="4">
        <v>50</v>
      </c>
      <c r="C90">
        <f t="shared" si="5"/>
        <v>38.342371540091236</v>
      </c>
      <c r="D90" s="8">
        <f t="shared" si="6"/>
        <v>11.657628459908764</v>
      </c>
      <c r="E90" s="8">
        <f t="shared" si="7"/>
        <v>11.657628459908764</v>
      </c>
      <c r="F90" s="8">
        <f t="shared" si="8"/>
        <v>135.90030130927479</v>
      </c>
      <c r="G90" s="5">
        <f t="shared" si="9"/>
        <v>0.23315256919817529</v>
      </c>
    </row>
    <row r="91" spans="1:7" ht="15.75" customHeight="1">
      <c r="A91" s="3">
        <v>21640</v>
      </c>
      <c r="B91" s="4">
        <v>41</v>
      </c>
      <c r="C91">
        <f t="shared" si="5"/>
        <v>41.839660078063865</v>
      </c>
      <c r="D91" s="8">
        <f t="shared" si="6"/>
        <v>-0.839660078063865</v>
      </c>
      <c r="E91" s="8">
        <f t="shared" si="7"/>
        <v>0.839660078063865</v>
      </c>
      <c r="F91" s="8">
        <f t="shared" si="8"/>
        <v>0.70502904669421584</v>
      </c>
      <c r="G91" s="5">
        <f t="shared" si="9"/>
        <v>2.0479514099118658E-2</v>
      </c>
    </row>
    <row r="92" spans="1:7" ht="15.75" customHeight="1">
      <c r="A92" s="3">
        <v>21641</v>
      </c>
      <c r="B92" s="4">
        <v>39</v>
      </c>
      <c r="C92">
        <f t="shared" si="5"/>
        <v>41.587762054644699</v>
      </c>
      <c r="D92" s="8">
        <f t="shared" si="6"/>
        <v>-2.5877620546446991</v>
      </c>
      <c r="E92" s="8">
        <f t="shared" si="7"/>
        <v>2.5877620546446991</v>
      </c>
      <c r="F92" s="8">
        <f t="shared" si="8"/>
        <v>6.6965124514589549</v>
      </c>
      <c r="G92" s="5">
        <f t="shared" si="9"/>
        <v>6.6352873196017931E-2</v>
      </c>
    </row>
    <row r="93" spans="1:7" ht="15.75" customHeight="1">
      <c r="A93" s="3">
        <v>21642</v>
      </c>
      <c r="B93" s="4">
        <v>41</v>
      </c>
      <c r="C93">
        <f t="shared" si="5"/>
        <v>40.811433438251285</v>
      </c>
      <c r="D93" s="8">
        <f t="shared" si="6"/>
        <v>0.18856656174871489</v>
      </c>
      <c r="E93" s="8">
        <f t="shared" si="7"/>
        <v>0.18856656174871489</v>
      </c>
      <c r="F93" s="8">
        <f t="shared" si="8"/>
        <v>3.5557348209731908E-2</v>
      </c>
      <c r="G93" s="5">
        <f t="shared" si="9"/>
        <v>4.5991844328954852E-3</v>
      </c>
    </row>
    <row r="94" spans="1:7" ht="15.75" customHeight="1">
      <c r="A94" s="3">
        <v>21643</v>
      </c>
      <c r="B94" s="4">
        <v>47</v>
      </c>
      <c r="C94">
        <f t="shared" si="5"/>
        <v>40.868003406775898</v>
      </c>
      <c r="D94" s="8">
        <f t="shared" si="6"/>
        <v>6.1319965932241018</v>
      </c>
      <c r="E94" s="8">
        <f t="shared" si="7"/>
        <v>6.1319965932241018</v>
      </c>
      <c r="F94" s="8">
        <f t="shared" si="8"/>
        <v>37.601382219311994</v>
      </c>
      <c r="G94" s="5">
        <f t="shared" si="9"/>
        <v>0.13046801262178939</v>
      </c>
    </row>
    <row r="95" spans="1:7" ht="15.75" customHeight="1">
      <c r="A95" s="3">
        <v>21644</v>
      </c>
      <c r="B95" s="4">
        <v>34</v>
      </c>
      <c r="C95">
        <f t="shared" si="5"/>
        <v>42.707602384743126</v>
      </c>
      <c r="D95" s="8">
        <f t="shared" si="6"/>
        <v>-8.7076023847431259</v>
      </c>
      <c r="E95" s="8">
        <f t="shared" si="7"/>
        <v>8.7076023847431259</v>
      </c>
      <c r="F95" s="8">
        <f t="shared" si="8"/>
        <v>75.822339290784171</v>
      </c>
      <c r="G95" s="5">
        <f t="shared" si="9"/>
        <v>0.25610595249244489</v>
      </c>
    </row>
    <row r="96" spans="1:7" ht="15.75" customHeight="1">
      <c r="A96" s="3">
        <v>21645</v>
      </c>
      <c r="B96" s="4">
        <v>36</v>
      </c>
      <c r="C96">
        <f t="shared" si="5"/>
        <v>40.095321669320185</v>
      </c>
      <c r="D96" s="8">
        <f t="shared" si="6"/>
        <v>-4.0953216693201853</v>
      </c>
      <c r="E96" s="8">
        <f t="shared" si="7"/>
        <v>4.0953216693201853</v>
      </c>
      <c r="F96" s="8">
        <f t="shared" si="8"/>
        <v>16.771659575203469</v>
      </c>
      <c r="G96" s="5">
        <f t="shared" si="9"/>
        <v>0.11375893525889404</v>
      </c>
    </row>
    <row r="97" spans="1:7" ht="15.75" customHeight="1">
      <c r="A97" s="3">
        <v>21646</v>
      </c>
      <c r="B97" s="4">
        <v>33</v>
      </c>
      <c r="C97">
        <f t="shared" si="5"/>
        <v>38.866725168524127</v>
      </c>
      <c r="D97" s="8">
        <f t="shared" si="6"/>
        <v>-5.8667251685241268</v>
      </c>
      <c r="E97" s="8">
        <f t="shared" si="7"/>
        <v>5.8667251685241268</v>
      </c>
      <c r="F97" s="8">
        <f t="shared" si="8"/>
        <v>34.418464202994443</v>
      </c>
      <c r="G97" s="5">
        <f t="shared" si="9"/>
        <v>0.17777955056133718</v>
      </c>
    </row>
    <row r="98" spans="1:7" ht="15.75" customHeight="1">
      <c r="A98" s="3">
        <v>21647</v>
      </c>
      <c r="B98" s="4">
        <v>35</v>
      </c>
      <c r="C98">
        <f t="shared" si="5"/>
        <v>37.10670761796689</v>
      </c>
      <c r="D98" s="8">
        <f t="shared" si="6"/>
        <v>-2.1067076179668902</v>
      </c>
      <c r="E98" s="8">
        <f t="shared" si="7"/>
        <v>2.1067076179668902</v>
      </c>
      <c r="F98" s="8">
        <f t="shared" si="8"/>
        <v>4.4382169875997288</v>
      </c>
      <c r="G98" s="5">
        <f t="shared" si="9"/>
        <v>6.0191646227625434E-2</v>
      </c>
    </row>
    <row r="99" spans="1:7" ht="15.75" customHeight="1">
      <c r="A99" s="3">
        <v>21648</v>
      </c>
      <c r="B99" s="4">
        <v>38</v>
      </c>
      <c r="C99">
        <f t="shared" si="5"/>
        <v>36.474695332576822</v>
      </c>
      <c r="D99" s="8">
        <f t="shared" si="6"/>
        <v>1.5253046674231783</v>
      </c>
      <c r="E99" s="8">
        <f t="shared" si="7"/>
        <v>1.5253046674231783</v>
      </c>
      <c r="F99" s="8">
        <f t="shared" si="8"/>
        <v>2.3265543284629326</v>
      </c>
      <c r="G99" s="5">
        <f t="shared" si="9"/>
        <v>4.0139596511136272E-2</v>
      </c>
    </row>
    <row r="100" spans="1:7" ht="15.75" customHeight="1">
      <c r="A100" s="3">
        <v>21649</v>
      </c>
      <c r="B100" s="4">
        <v>38</v>
      </c>
      <c r="C100">
        <f t="shared" si="5"/>
        <v>36.932286732803774</v>
      </c>
      <c r="D100" s="8">
        <f t="shared" si="6"/>
        <v>1.0677132671962255</v>
      </c>
      <c r="E100" s="8">
        <f t="shared" si="7"/>
        <v>1.0677132671962255</v>
      </c>
      <c r="F100" s="8">
        <f t="shared" si="8"/>
        <v>1.1400116209468385</v>
      </c>
      <c r="G100" s="5">
        <f t="shared" si="9"/>
        <v>2.8097717557795408E-2</v>
      </c>
    </row>
    <row r="101" spans="1:7" ht="15.75" customHeight="1">
      <c r="A101" s="3">
        <v>21650</v>
      </c>
      <c r="B101" s="4">
        <v>34</v>
      </c>
      <c r="C101">
        <f t="shared" si="5"/>
        <v>37.252600712962639</v>
      </c>
      <c r="D101" s="8">
        <f t="shared" si="6"/>
        <v>-3.2526007129626393</v>
      </c>
      <c r="E101" s="8">
        <f t="shared" si="7"/>
        <v>3.2526007129626393</v>
      </c>
      <c r="F101" s="8">
        <f t="shared" si="8"/>
        <v>10.579411397965069</v>
      </c>
      <c r="G101" s="5">
        <f t="shared" si="9"/>
        <v>9.5664726851842338E-2</v>
      </c>
    </row>
    <row r="102" spans="1:7" ht="15.75" customHeight="1">
      <c r="A102" s="3">
        <v>21651</v>
      </c>
      <c r="B102" s="4">
        <v>53</v>
      </c>
      <c r="C102">
        <f t="shared" si="5"/>
        <v>36.27682049907385</v>
      </c>
      <c r="D102" s="8">
        <f t="shared" si="6"/>
        <v>16.72317950092615</v>
      </c>
      <c r="E102" s="8">
        <f t="shared" si="7"/>
        <v>16.72317950092615</v>
      </c>
      <c r="F102" s="8">
        <f t="shared" si="8"/>
        <v>279.66473262019662</v>
      </c>
      <c r="G102" s="5">
        <f t="shared" si="9"/>
        <v>0.31553168869671983</v>
      </c>
    </row>
    <row r="103" spans="1:7" ht="15.75" customHeight="1">
      <c r="A103" s="3">
        <v>21652</v>
      </c>
      <c r="B103" s="4">
        <v>34</v>
      </c>
      <c r="C103">
        <f t="shared" si="5"/>
        <v>41.293774349351693</v>
      </c>
      <c r="D103" s="8">
        <f t="shared" si="6"/>
        <v>-7.2937743493516933</v>
      </c>
      <c r="E103" s="8">
        <f t="shared" si="7"/>
        <v>7.2937743493516933</v>
      </c>
      <c r="F103" s="8">
        <f t="shared" si="8"/>
        <v>53.19914425926072</v>
      </c>
      <c r="G103" s="5">
        <f t="shared" si="9"/>
        <v>0.21452277498093217</v>
      </c>
    </row>
    <row r="104" spans="1:7" ht="15.75" customHeight="1">
      <c r="A104" s="3">
        <v>21653</v>
      </c>
      <c r="B104" s="4">
        <v>34</v>
      </c>
      <c r="C104">
        <f t="shared" si="5"/>
        <v>39.105642044546187</v>
      </c>
      <c r="D104" s="8">
        <f t="shared" si="6"/>
        <v>-5.1056420445461868</v>
      </c>
      <c r="E104" s="8">
        <f t="shared" si="7"/>
        <v>5.1056420445461868</v>
      </c>
      <c r="F104" s="8">
        <f t="shared" si="8"/>
        <v>26.067580687037765</v>
      </c>
      <c r="G104" s="5">
        <f t="shared" si="9"/>
        <v>0.15016594248665255</v>
      </c>
    </row>
    <row r="105" spans="1:7" ht="15.75" customHeight="1">
      <c r="A105" s="3">
        <v>21654</v>
      </c>
      <c r="B105" s="4">
        <v>38</v>
      </c>
      <c r="C105">
        <f t="shared" si="5"/>
        <v>37.573949431182328</v>
      </c>
      <c r="D105" s="8">
        <f t="shared" si="6"/>
        <v>0.42605056881767212</v>
      </c>
      <c r="E105" s="8">
        <f t="shared" si="7"/>
        <v>0.42605056881767212</v>
      </c>
      <c r="F105" s="8">
        <f t="shared" si="8"/>
        <v>0.18151908718986196</v>
      </c>
      <c r="G105" s="5">
        <f t="shared" si="9"/>
        <v>1.1211857074149267E-2</v>
      </c>
    </row>
    <row r="106" spans="1:7" ht="15.75" customHeight="1">
      <c r="A106" s="3">
        <v>21655</v>
      </c>
      <c r="B106" s="4">
        <v>35</v>
      </c>
      <c r="C106">
        <f t="shared" si="5"/>
        <v>37.701764601827627</v>
      </c>
      <c r="D106" s="8">
        <f t="shared" si="6"/>
        <v>-2.7017646018276267</v>
      </c>
      <c r="E106" s="8">
        <f t="shared" si="7"/>
        <v>2.7017646018276267</v>
      </c>
      <c r="F106" s="8">
        <f t="shared" si="8"/>
        <v>7.2995319636887945</v>
      </c>
      <c r="G106" s="5">
        <f t="shared" si="9"/>
        <v>7.7193274337932188E-2</v>
      </c>
    </row>
    <row r="107" spans="1:7" ht="15.75" customHeight="1">
      <c r="A107" s="3">
        <v>21656</v>
      </c>
      <c r="B107" s="4">
        <v>32</v>
      </c>
      <c r="C107">
        <f t="shared" si="5"/>
        <v>36.891235221279338</v>
      </c>
      <c r="D107" s="8">
        <f t="shared" si="6"/>
        <v>-4.891235221279338</v>
      </c>
      <c r="E107" s="8">
        <f t="shared" si="7"/>
        <v>4.891235221279338</v>
      </c>
      <c r="F107" s="8">
        <f t="shared" si="8"/>
        <v>23.924181989883536</v>
      </c>
      <c r="G107" s="5">
        <f t="shared" si="9"/>
        <v>0.15285110066497931</v>
      </c>
    </row>
    <row r="108" spans="1:7" ht="15.75" customHeight="1">
      <c r="A108" s="3">
        <v>21657</v>
      </c>
      <c r="B108" s="4">
        <v>42</v>
      </c>
      <c r="C108">
        <f t="shared" si="5"/>
        <v>35.423864654895532</v>
      </c>
      <c r="D108" s="8">
        <f t="shared" si="6"/>
        <v>6.5761353451044684</v>
      </c>
      <c r="E108" s="8">
        <f t="shared" si="7"/>
        <v>6.5761353451044684</v>
      </c>
      <c r="F108" s="8">
        <f t="shared" si="8"/>
        <v>43.245556077132264</v>
      </c>
      <c r="G108" s="5">
        <f t="shared" si="9"/>
        <v>0.15657465107391591</v>
      </c>
    </row>
    <row r="109" spans="1:7" ht="15.75" customHeight="1">
      <c r="A109" s="3">
        <v>21658</v>
      </c>
      <c r="B109" s="4">
        <v>34</v>
      </c>
      <c r="C109">
        <f t="shared" si="5"/>
        <v>37.39670525842687</v>
      </c>
      <c r="D109" s="8">
        <f t="shared" si="6"/>
        <v>-3.39670525842687</v>
      </c>
      <c r="E109" s="8">
        <f t="shared" si="7"/>
        <v>3.39670525842687</v>
      </c>
      <c r="F109" s="8">
        <f t="shared" si="8"/>
        <v>11.537606612624749</v>
      </c>
      <c r="G109" s="5">
        <f t="shared" si="9"/>
        <v>9.9903095836084407E-2</v>
      </c>
    </row>
    <row r="110" spans="1:7" ht="15.75" customHeight="1">
      <c r="A110" s="3">
        <v>21659</v>
      </c>
      <c r="B110" s="4">
        <v>46</v>
      </c>
      <c r="C110">
        <f t="shared" si="5"/>
        <v>36.377693680898808</v>
      </c>
      <c r="D110" s="8">
        <f t="shared" si="6"/>
        <v>9.6223063191011917</v>
      </c>
      <c r="E110" s="8">
        <f t="shared" si="7"/>
        <v>9.6223063191011917</v>
      </c>
      <c r="F110" s="8">
        <f t="shared" si="8"/>
        <v>92.58877889861472</v>
      </c>
      <c r="G110" s="5">
        <f t="shared" si="9"/>
        <v>0.20918057215437375</v>
      </c>
    </row>
    <row r="111" spans="1:7" ht="15.75" customHeight="1">
      <c r="A111" s="3">
        <v>21660</v>
      </c>
      <c r="B111" s="4">
        <v>30</v>
      </c>
      <c r="C111">
        <f t="shared" si="5"/>
        <v>39.264385576629167</v>
      </c>
      <c r="D111" s="8">
        <f t="shared" si="6"/>
        <v>-9.2643855766291665</v>
      </c>
      <c r="E111" s="8">
        <f t="shared" si="7"/>
        <v>9.2643855766291665</v>
      </c>
      <c r="F111" s="8">
        <f t="shared" si="8"/>
        <v>85.828840112454529</v>
      </c>
      <c r="G111" s="5">
        <f t="shared" si="9"/>
        <v>0.30881285255430557</v>
      </c>
    </row>
    <row r="112" spans="1:7" ht="15.75" customHeight="1">
      <c r="A112" s="3">
        <v>21661</v>
      </c>
      <c r="B112" s="4">
        <v>46</v>
      </c>
      <c r="C112">
        <f t="shared" si="5"/>
        <v>36.485069903640415</v>
      </c>
      <c r="D112" s="8">
        <f t="shared" si="6"/>
        <v>9.5149300963595849</v>
      </c>
      <c r="E112" s="8">
        <f t="shared" si="7"/>
        <v>9.5149300963595849</v>
      </c>
      <c r="F112" s="8">
        <f t="shared" si="8"/>
        <v>90.533894738609419</v>
      </c>
      <c r="G112" s="5">
        <f t="shared" si="9"/>
        <v>0.20684630644259966</v>
      </c>
    </row>
    <row r="113" spans="1:7" ht="15.75" customHeight="1">
      <c r="A113" s="3">
        <v>21662</v>
      </c>
      <c r="B113" s="4">
        <v>45</v>
      </c>
      <c r="C113">
        <f t="shared" si="5"/>
        <v>39.33954893254829</v>
      </c>
      <c r="D113" s="8">
        <f t="shared" si="6"/>
        <v>5.6604510674517101</v>
      </c>
      <c r="E113" s="8">
        <f t="shared" si="7"/>
        <v>5.6604510674517101</v>
      </c>
      <c r="F113" s="8">
        <f t="shared" si="8"/>
        <v>32.040706287015205</v>
      </c>
      <c r="G113" s="5">
        <f t="shared" si="9"/>
        <v>0.1257878014989269</v>
      </c>
    </row>
    <row r="114" spans="1:7" ht="15.75" customHeight="1">
      <c r="A114" s="3">
        <v>21663</v>
      </c>
      <c r="B114" s="4">
        <v>54</v>
      </c>
      <c r="C114">
        <f t="shared" si="5"/>
        <v>41.037684252783805</v>
      </c>
      <c r="D114" s="8">
        <f t="shared" si="6"/>
        <v>12.962315747216195</v>
      </c>
      <c r="E114" s="8">
        <f t="shared" si="7"/>
        <v>12.962315747216195</v>
      </c>
      <c r="F114" s="8">
        <f t="shared" si="8"/>
        <v>168.02162953052894</v>
      </c>
      <c r="G114" s="5">
        <f t="shared" si="9"/>
        <v>0.24004288420770731</v>
      </c>
    </row>
    <row r="115" spans="1:7" ht="15.75" customHeight="1">
      <c r="A115" s="3">
        <v>21664</v>
      </c>
      <c r="B115" s="4">
        <v>34</v>
      </c>
      <c r="C115">
        <f t="shared" si="5"/>
        <v>44.926378976948662</v>
      </c>
      <c r="D115" s="8">
        <f t="shared" si="6"/>
        <v>-10.926378976948662</v>
      </c>
      <c r="E115" s="8">
        <f t="shared" si="7"/>
        <v>10.926378976948662</v>
      </c>
      <c r="F115" s="8">
        <f t="shared" si="8"/>
        <v>119.3857575479057</v>
      </c>
      <c r="G115" s="5">
        <f t="shared" si="9"/>
        <v>0.3213640875573136</v>
      </c>
    </row>
    <row r="116" spans="1:7" ht="15.75" customHeight="1">
      <c r="A116" s="3">
        <v>21665</v>
      </c>
      <c r="B116" s="4">
        <v>37</v>
      </c>
      <c r="C116">
        <f t="shared" si="5"/>
        <v>41.648465283864056</v>
      </c>
      <c r="D116" s="8">
        <f t="shared" si="6"/>
        <v>-4.6484652838640557</v>
      </c>
      <c r="E116" s="8">
        <f t="shared" si="7"/>
        <v>4.6484652838640557</v>
      </c>
      <c r="F116" s="8">
        <f t="shared" si="8"/>
        <v>21.608229495289336</v>
      </c>
      <c r="G116" s="5">
        <f t="shared" si="9"/>
        <v>0.12563419686119071</v>
      </c>
    </row>
    <row r="117" spans="1:7" ht="15.75" customHeight="1">
      <c r="A117" s="3">
        <v>21666</v>
      </c>
      <c r="B117" s="4">
        <v>35</v>
      </c>
      <c r="C117">
        <f t="shared" si="5"/>
        <v>40.253925698704833</v>
      </c>
      <c r="D117" s="8">
        <f t="shared" si="6"/>
        <v>-5.2539256987048333</v>
      </c>
      <c r="E117" s="8">
        <f t="shared" si="7"/>
        <v>5.2539256987048333</v>
      </c>
      <c r="F117" s="8">
        <f t="shared" si="8"/>
        <v>27.603735247511072</v>
      </c>
      <c r="G117" s="5">
        <f t="shared" si="9"/>
        <v>0.15011216282013809</v>
      </c>
    </row>
    <row r="118" spans="1:7" ht="15.75" customHeight="1">
      <c r="A118" s="3">
        <v>21667</v>
      </c>
      <c r="B118" s="4">
        <v>40</v>
      </c>
      <c r="C118">
        <f t="shared" si="5"/>
        <v>38.677747989093376</v>
      </c>
      <c r="D118" s="8">
        <f t="shared" si="6"/>
        <v>1.3222520109066238</v>
      </c>
      <c r="E118" s="8">
        <f t="shared" si="7"/>
        <v>1.3222520109066238</v>
      </c>
      <c r="F118" s="8">
        <f t="shared" si="8"/>
        <v>1.7483503803466105</v>
      </c>
      <c r="G118" s="5">
        <f t="shared" si="9"/>
        <v>3.3056300272665595E-2</v>
      </c>
    </row>
    <row r="119" spans="1:7" ht="15.75" customHeight="1">
      <c r="A119" s="3">
        <v>21668</v>
      </c>
      <c r="B119" s="4">
        <v>42</v>
      </c>
      <c r="C119">
        <f t="shared" si="5"/>
        <v>39.074423592365363</v>
      </c>
      <c r="D119" s="8">
        <f t="shared" si="6"/>
        <v>2.9255764076346367</v>
      </c>
      <c r="E119" s="8">
        <f t="shared" si="7"/>
        <v>2.9255764076346367</v>
      </c>
      <c r="F119" s="8">
        <f t="shared" si="8"/>
        <v>8.5589973169083855</v>
      </c>
      <c r="G119" s="5">
        <f t="shared" si="9"/>
        <v>6.9656581134158013E-2</v>
      </c>
    </row>
    <row r="120" spans="1:7" ht="15.75" customHeight="1">
      <c r="A120" s="3">
        <v>21669</v>
      </c>
      <c r="B120" s="4">
        <v>58</v>
      </c>
      <c r="C120">
        <f t="shared" si="5"/>
        <v>39.95209651465575</v>
      </c>
      <c r="D120" s="8">
        <f t="shared" si="6"/>
        <v>18.04790348534425</v>
      </c>
      <c r="E120" s="8">
        <f t="shared" si="7"/>
        <v>18.04790348534425</v>
      </c>
      <c r="F120" s="8">
        <f t="shared" si="8"/>
        <v>325.72682021630112</v>
      </c>
      <c r="G120" s="5">
        <f t="shared" si="9"/>
        <v>0.31117074974731468</v>
      </c>
    </row>
    <row r="121" spans="1:7" ht="15.75" customHeight="1">
      <c r="A121" s="3">
        <v>21670</v>
      </c>
      <c r="B121" s="4">
        <v>51</v>
      </c>
      <c r="C121">
        <f t="shared" si="5"/>
        <v>45.366467560259025</v>
      </c>
      <c r="D121" s="8">
        <f t="shared" si="6"/>
        <v>5.633532439740975</v>
      </c>
      <c r="E121" s="8">
        <f t="shared" si="7"/>
        <v>5.633532439740975</v>
      </c>
      <c r="F121" s="8">
        <f t="shared" si="8"/>
        <v>31.736687749613903</v>
      </c>
      <c r="G121" s="5">
        <f t="shared" si="9"/>
        <v>0.11046142038707794</v>
      </c>
    </row>
    <row r="122" spans="1:7" ht="15.75" customHeight="1">
      <c r="A122" s="3">
        <v>21671</v>
      </c>
      <c r="B122" s="4">
        <v>32</v>
      </c>
      <c r="C122">
        <f t="shared" si="5"/>
        <v>47.056527292181315</v>
      </c>
      <c r="D122" s="8">
        <f t="shared" si="6"/>
        <v>-15.056527292181315</v>
      </c>
      <c r="E122" s="8">
        <f t="shared" si="7"/>
        <v>15.056527292181315</v>
      </c>
      <c r="F122" s="8">
        <f t="shared" si="8"/>
        <v>226.6990141002008</v>
      </c>
      <c r="G122" s="5">
        <f t="shared" si="9"/>
        <v>0.47051647788066608</v>
      </c>
    </row>
    <row r="123" spans="1:7" ht="15.75" customHeight="1">
      <c r="A123" s="3">
        <v>21672</v>
      </c>
      <c r="B123" s="4">
        <v>35</v>
      </c>
      <c r="C123">
        <f t="shared" si="5"/>
        <v>42.539569104526919</v>
      </c>
      <c r="D123" s="8">
        <f t="shared" si="6"/>
        <v>-7.5395691045269189</v>
      </c>
      <c r="E123" s="8">
        <f t="shared" si="7"/>
        <v>7.5395691045269189</v>
      </c>
      <c r="F123" s="8">
        <f t="shared" si="8"/>
        <v>56.845102281936846</v>
      </c>
      <c r="G123" s="5">
        <f t="shared" si="9"/>
        <v>0.21541626012934054</v>
      </c>
    </row>
    <row r="124" spans="1:7" ht="15.75" customHeight="1">
      <c r="A124" s="3">
        <v>21673</v>
      </c>
      <c r="B124" s="4">
        <v>38</v>
      </c>
      <c r="C124">
        <f t="shared" si="5"/>
        <v>40.277698373168846</v>
      </c>
      <c r="D124" s="8">
        <f t="shared" si="6"/>
        <v>-2.277698373168846</v>
      </c>
      <c r="E124" s="8">
        <f t="shared" si="7"/>
        <v>2.277698373168846</v>
      </c>
      <c r="F124" s="8">
        <f t="shared" si="8"/>
        <v>5.1879098791360079</v>
      </c>
      <c r="G124" s="5">
        <f t="shared" si="9"/>
        <v>5.9939430872864373E-2</v>
      </c>
    </row>
    <row r="125" spans="1:7" ht="15.75" customHeight="1">
      <c r="A125" s="3">
        <v>21674</v>
      </c>
      <c r="B125" s="4">
        <v>33</v>
      </c>
      <c r="C125">
        <f t="shared" si="5"/>
        <v>39.594388861218192</v>
      </c>
      <c r="D125" s="8">
        <f t="shared" si="6"/>
        <v>-6.5943888612181922</v>
      </c>
      <c r="E125" s="8">
        <f t="shared" si="7"/>
        <v>6.5943888612181922</v>
      </c>
      <c r="F125" s="8">
        <f t="shared" si="8"/>
        <v>43.485964452958569</v>
      </c>
      <c r="G125" s="5">
        <f t="shared" si="9"/>
        <v>0.19982996549146037</v>
      </c>
    </row>
    <row r="126" spans="1:7" ht="15.75" customHeight="1">
      <c r="A126" s="3">
        <v>21675</v>
      </c>
      <c r="B126" s="4">
        <v>39</v>
      </c>
      <c r="C126">
        <f t="shared" si="5"/>
        <v>37.616072202852735</v>
      </c>
      <c r="D126" s="8">
        <f t="shared" si="6"/>
        <v>1.3839277971472654</v>
      </c>
      <c r="E126" s="8">
        <f t="shared" si="7"/>
        <v>1.3839277971472654</v>
      </c>
      <c r="F126" s="8">
        <f t="shared" si="8"/>
        <v>1.9152561477168826</v>
      </c>
      <c r="G126" s="5">
        <f t="shared" si="9"/>
        <v>3.5485328131981166E-2</v>
      </c>
    </row>
    <row r="127" spans="1:7" ht="15.75" customHeight="1">
      <c r="A127" s="3">
        <v>21676</v>
      </c>
      <c r="B127" s="4">
        <v>47</v>
      </c>
      <c r="C127">
        <f t="shared" si="5"/>
        <v>38.031250541996911</v>
      </c>
      <c r="D127" s="8">
        <f t="shared" si="6"/>
        <v>8.9687494580030886</v>
      </c>
      <c r="E127" s="8">
        <f t="shared" si="7"/>
        <v>8.9687494580030886</v>
      </c>
      <c r="F127" s="8">
        <f t="shared" si="8"/>
        <v>80.438466840430692</v>
      </c>
      <c r="G127" s="5">
        <f t="shared" si="9"/>
        <v>0.19082445655325719</v>
      </c>
    </row>
    <row r="128" spans="1:7" ht="15.75" customHeight="1">
      <c r="A128" s="3">
        <v>21677</v>
      </c>
      <c r="B128" s="4">
        <v>38</v>
      </c>
      <c r="C128">
        <f t="shared" si="5"/>
        <v>40.721875379397837</v>
      </c>
      <c r="D128" s="8">
        <f t="shared" si="6"/>
        <v>-2.7218753793978365</v>
      </c>
      <c r="E128" s="8">
        <f t="shared" si="7"/>
        <v>2.7218753793978365</v>
      </c>
      <c r="F128" s="8">
        <f t="shared" si="8"/>
        <v>7.4086055809721163</v>
      </c>
      <c r="G128" s="5">
        <f t="shared" si="9"/>
        <v>7.1628299457837802E-2</v>
      </c>
    </row>
    <row r="129" spans="1:7" ht="15.75" customHeight="1">
      <c r="A129" s="3">
        <v>21678</v>
      </c>
      <c r="B129" s="4">
        <v>52</v>
      </c>
      <c r="C129">
        <f t="shared" si="5"/>
        <v>39.905312765578486</v>
      </c>
      <c r="D129" s="8">
        <f t="shared" si="6"/>
        <v>12.094687234421514</v>
      </c>
      <c r="E129" s="8">
        <f t="shared" si="7"/>
        <v>12.094687234421514</v>
      </c>
      <c r="F129" s="8">
        <f t="shared" si="8"/>
        <v>146.28145929847872</v>
      </c>
      <c r="G129" s="5">
        <f t="shared" si="9"/>
        <v>0.23259013912349064</v>
      </c>
    </row>
    <row r="130" spans="1:7" ht="15.75" customHeight="1">
      <c r="A130" s="3">
        <v>21679</v>
      </c>
      <c r="B130" s="4">
        <v>30</v>
      </c>
      <c r="C130">
        <f t="shared" si="5"/>
        <v>43.533718935904936</v>
      </c>
      <c r="D130" s="8">
        <f t="shared" si="6"/>
        <v>-13.533718935904936</v>
      </c>
      <c r="E130" s="8">
        <f t="shared" si="7"/>
        <v>13.533718935904936</v>
      </c>
      <c r="F130" s="8">
        <f t="shared" si="8"/>
        <v>183.16154823607184</v>
      </c>
      <c r="G130" s="5">
        <f t="shared" si="9"/>
        <v>0.45112396453016451</v>
      </c>
    </row>
    <row r="131" spans="1:7" ht="15.75" customHeight="1">
      <c r="A131" s="3">
        <v>21680</v>
      </c>
      <c r="B131" s="4">
        <v>34</v>
      </c>
      <c r="C131">
        <f t="shared" si="5"/>
        <v>39.473603255133455</v>
      </c>
      <c r="D131" s="8">
        <f t="shared" si="6"/>
        <v>-5.4736032551334546</v>
      </c>
      <c r="E131" s="8">
        <f t="shared" si="7"/>
        <v>5.4736032551334546</v>
      </c>
      <c r="F131" s="8">
        <f t="shared" si="8"/>
        <v>29.96033259460755</v>
      </c>
      <c r="G131" s="5">
        <f t="shared" si="9"/>
        <v>0.1609883310333369</v>
      </c>
    </row>
    <row r="132" spans="1:7" ht="15.75" customHeight="1">
      <c r="A132" s="3">
        <v>21681</v>
      </c>
      <c r="B132" s="4">
        <v>40</v>
      </c>
      <c r="C132">
        <f t="shared" ref="C132:C195" si="10">0.3*B131+0.7*C131</f>
        <v>37.831522278593411</v>
      </c>
      <c r="D132" s="8">
        <f t="shared" ref="D132:D195" si="11">B132-C132</f>
        <v>2.1684777214065889</v>
      </c>
      <c r="E132" s="8">
        <f t="shared" ref="E132:E195" si="12">ABS(D132)</f>
        <v>2.1684777214065889</v>
      </c>
      <c r="F132" s="8">
        <f t="shared" ref="F132:F195" si="13">E132^2</f>
        <v>4.7022956282367119</v>
      </c>
      <c r="G132" s="5">
        <f t="shared" ref="G132:G195" si="14">E132/B132</f>
        <v>5.4211943035164724E-2</v>
      </c>
    </row>
    <row r="133" spans="1:7" ht="15.75" customHeight="1">
      <c r="A133" s="3">
        <v>21682</v>
      </c>
      <c r="B133" s="4">
        <v>35</v>
      </c>
      <c r="C133">
        <f t="shared" si="10"/>
        <v>38.482065595015385</v>
      </c>
      <c r="D133" s="8">
        <f t="shared" si="11"/>
        <v>-3.4820655950153849</v>
      </c>
      <c r="E133" s="8">
        <f t="shared" si="12"/>
        <v>3.4820655950153849</v>
      </c>
      <c r="F133" s="8">
        <f t="shared" si="13"/>
        <v>12.124780807989847</v>
      </c>
      <c r="G133" s="5">
        <f t="shared" si="14"/>
        <v>9.9487588429010995E-2</v>
      </c>
    </row>
    <row r="134" spans="1:7" ht="15.75" customHeight="1">
      <c r="A134" s="3">
        <v>21683</v>
      </c>
      <c r="B134" s="4">
        <v>42</v>
      </c>
      <c r="C134">
        <f t="shared" si="10"/>
        <v>37.437445916510768</v>
      </c>
      <c r="D134" s="8">
        <f t="shared" si="11"/>
        <v>4.562554083489232</v>
      </c>
      <c r="E134" s="8">
        <f t="shared" si="12"/>
        <v>4.562554083489232</v>
      </c>
      <c r="F134" s="8">
        <f t="shared" si="13"/>
        <v>20.816899764764266</v>
      </c>
      <c r="G134" s="5">
        <f t="shared" si="14"/>
        <v>0.10863224008307695</v>
      </c>
    </row>
    <row r="135" spans="1:7" ht="15.75" customHeight="1">
      <c r="A135" s="3">
        <v>21684</v>
      </c>
      <c r="B135" s="4">
        <v>41</v>
      </c>
      <c r="C135">
        <f t="shared" si="10"/>
        <v>38.806212141557538</v>
      </c>
      <c r="D135" s="8">
        <f t="shared" si="11"/>
        <v>2.1937878584424624</v>
      </c>
      <c r="E135" s="8">
        <f t="shared" si="12"/>
        <v>2.1937878584424624</v>
      </c>
      <c r="F135" s="8">
        <f t="shared" si="13"/>
        <v>4.8127051678495656</v>
      </c>
      <c r="G135" s="5">
        <f t="shared" si="14"/>
        <v>5.3507020937621032E-2</v>
      </c>
    </row>
    <row r="136" spans="1:7" ht="15.75" customHeight="1">
      <c r="A136" s="3">
        <v>21685</v>
      </c>
      <c r="B136" s="4">
        <v>42</v>
      </c>
      <c r="C136">
        <f t="shared" si="10"/>
        <v>39.464348499090271</v>
      </c>
      <c r="D136" s="8">
        <f t="shared" si="11"/>
        <v>2.5356515009097294</v>
      </c>
      <c r="E136" s="8">
        <f t="shared" si="12"/>
        <v>2.5356515009097294</v>
      </c>
      <c r="F136" s="8">
        <f t="shared" si="13"/>
        <v>6.4295285340657635</v>
      </c>
      <c r="G136" s="5">
        <f t="shared" si="14"/>
        <v>6.0372654783564982E-2</v>
      </c>
    </row>
    <row r="137" spans="1:7" ht="15.75" customHeight="1">
      <c r="A137" s="3">
        <v>21686</v>
      </c>
      <c r="B137" s="4">
        <v>38</v>
      </c>
      <c r="C137">
        <f t="shared" si="10"/>
        <v>40.22504394936319</v>
      </c>
      <c r="D137" s="8">
        <f t="shared" si="11"/>
        <v>-2.2250439493631902</v>
      </c>
      <c r="E137" s="8">
        <f t="shared" si="12"/>
        <v>2.2250439493631902</v>
      </c>
      <c r="F137" s="8">
        <f t="shared" si="13"/>
        <v>4.9508205765977431</v>
      </c>
      <c r="G137" s="5">
        <f t="shared" si="14"/>
        <v>5.8553788141136584E-2</v>
      </c>
    </row>
    <row r="138" spans="1:7" ht="15.75" customHeight="1">
      <c r="A138" s="3">
        <v>21687</v>
      </c>
      <c r="B138" s="4">
        <v>24</v>
      </c>
      <c r="C138">
        <f t="shared" si="10"/>
        <v>39.55753076455423</v>
      </c>
      <c r="D138" s="8">
        <f t="shared" si="11"/>
        <v>-15.55753076455423</v>
      </c>
      <c r="E138" s="8">
        <f t="shared" si="12"/>
        <v>15.55753076455423</v>
      </c>
      <c r="F138" s="8">
        <f t="shared" si="13"/>
        <v>242.0367634900513</v>
      </c>
      <c r="G138" s="5">
        <f t="shared" si="14"/>
        <v>0.64823044852309286</v>
      </c>
    </row>
    <row r="139" spans="1:7" ht="15.75" customHeight="1">
      <c r="A139" s="3">
        <v>21688</v>
      </c>
      <c r="B139" s="4">
        <v>34</v>
      </c>
      <c r="C139">
        <f t="shared" si="10"/>
        <v>34.890271535187964</v>
      </c>
      <c r="D139" s="8">
        <f t="shared" si="11"/>
        <v>-0.89027153518796354</v>
      </c>
      <c r="E139" s="8">
        <f t="shared" si="12"/>
        <v>0.89027153518796354</v>
      </c>
      <c r="F139" s="8">
        <f t="shared" si="13"/>
        <v>0.79258340636593339</v>
      </c>
      <c r="G139" s="5">
        <f t="shared" si="14"/>
        <v>2.6184456917293045E-2</v>
      </c>
    </row>
    <row r="140" spans="1:7" ht="15.75" customHeight="1">
      <c r="A140" s="3">
        <v>21689</v>
      </c>
      <c r="B140" s="4">
        <v>43</v>
      </c>
      <c r="C140">
        <f t="shared" si="10"/>
        <v>34.623190074631573</v>
      </c>
      <c r="D140" s="8">
        <f t="shared" si="11"/>
        <v>8.3768099253684269</v>
      </c>
      <c r="E140" s="8">
        <f t="shared" si="12"/>
        <v>8.3768099253684269</v>
      </c>
      <c r="F140" s="8">
        <f t="shared" si="13"/>
        <v>70.170944525750997</v>
      </c>
      <c r="G140" s="5">
        <f t="shared" si="14"/>
        <v>0.19480953314810295</v>
      </c>
    </row>
    <row r="141" spans="1:7" ht="15.75" customHeight="1">
      <c r="A141" s="3">
        <v>21690</v>
      </c>
      <c r="B141" s="4">
        <v>36</v>
      </c>
      <c r="C141">
        <f t="shared" si="10"/>
        <v>37.136233052242098</v>
      </c>
      <c r="D141" s="8">
        <f t="shared" si="11"/>
        <v>-1.1362330522420976</v>
      </c>
      <c r="E141" s="8">
        <f t="shared" si="12"/>
        <v>1.1362330522420976</v>
      </c>
      <c r="F141" s="8">
        <f t="shared" si="13"/>
        <v>1.2910255490073932</v>
      </c>
      <c r="G141" s="5">
        <f t="shared" si="14"/>
        <v>3.1562029228947158E-2</v>
      </c>
    </row>
    <row r="142" spans="1:7" ht="15.75" customHeight="1">
      <c r="A142" s="3">
        <v>21691</v>
      </c>
      <c r="B142" s="4">
        <v>55</v>
      </c>
      <c r="C142">
        <f t="shared" si="10"/>
        <v>36.795363136569463</v>
      </c>
      <c r="D142" s="8">
        <f t="shared" si="11"/>
        <v>18.204636863430537</v>
      </c>
      <c r="E142" s="8">
        <f t="shared" si="12"/>
        <v>18.204636863430537</v>
      </c>
      <c r="F142" s="8">
        <f t="shared" si="13"/>
        <v>331.408803329374</v>
      </c>
      <c r="G142" s="5">
        <f t="shared" si="14"/>
        <v>0.33099339751691886</v>
      </c>
    </row>
    <row r="143" spans="1:7" ht="15.75" customHeight="1">
      <c r="A143" s="3">
        <v>21692</v>
      </c>
      <c r="B143" s="4">
        <v>41</v>
      </c>
      <c r="C143">
        <f t="shared" si="10"/>
        <v>42.256754195598624</v>
      </c>
      <c r="D143" s="8">
        <f t="shared" si="11"/>
        <v>-1.2567541955986243</v>
      </c>
      <c r="E143" s="8">
        <f t="shared" si="12"/>
        <v>1.2567541955986243</v>
      </c>
      <c r="F143" s="8">
        <f t="shared" si="13"/>
        <v>1.5794311081547454</v>
      </c>
      <c r="G143" s="5">
        <f t="shared" si="14"/>
        <v>3.0652541356064007E-2</v>
      </c>
    </row>
    <row r="144" spans="1:7" ht="15.75" customHeight="1">
      <c r="A144" s="3">
        <v>21693</v>
      </c>
      <c r="B144" s="4">
        <v>45</v>
      </c>
      <c r="C144">
        <f t="shared" si="10"/>
        <v>41.879727936919032</v>
      </c>
      <c r="D144" s="8">
        <f t="shared" si="11"/>
        <v>3.1202720630809679</v>
      </c>
      <c r="E144" s="8">
        <f t="shared" si="12"/>
        <v>3.1202720630809679</v>
      </c>
      <c r="F144" s="8">
        <f t="shared" si="13"/>
        <v>9.7360977476435604</v>
      </c>
      <c r="G144" s="5">
        <f t="shared" si="14"/>
        <v>6.9339379179577068E-2</v>
      </c>
    </row>
    <row r="145" spans="1:7" ht="15.75" customHeight="1">
      <c r="A145" s="3">
        <v>21694</v>
      </c>
      <c r="B145" s="4">
        <v>41</v>
      </c>
      <c r="C145">
        <f t="shared" si="10"/>
        <v>42.815809555843316</v>
      </c>
      <c r="D145" s="8">
        <f t="shared" si="11"/>
        <v>-1.815809555843316</v>
      </c>
      <c r="E145" s="8">
        <f t="shared" si="12"/>
        <v>1.815809555843316</v>
      </c>
      <c r="F145" s="8">
        <f t="shared" si="13"/>
        <v>3.2971643430919007</v>
      </c>
      <c r="G145" s="5">
        <f t="shared" si="14"/>
        <v>4.4288037947397954E-2</v>
      </c>
    </row>
    <row r="146" spans="1:7" ht="15.75" customHeight="1">
      <c r="A146" s="3">
        <v>21695</v>
      </c>
      <c r="B146" s="4">
        <v>37</v>
      </c>
      <c r="C146">
        <f t="shared" si="10"/>
        <v>42.271066689090318</v>
      </c>
      <c r="D146" s="8">
        <f t="shared" si="11"/>
        <v>-5.2710666890903184</v>
      </c>
      <c r="E146" s="8">
        <f t="shared" si="12"/>
        <v>5.2710666890903184</v>
      </c>
      <c r="F146" s="8">
        <f t="shared" si="13"/>
        <v>27.784144040837571</v>
      </c>
      <c r="G146" s="5">
        <f t="shared" si="14"/>
        <v>0.1424612618673059</v>
      </c>
    </row>
    <row r="147" spans="1:7" ht="15.75" customHeight="1">
      <c r="A147" s="3">
        <v>21696</v>
      </c>
      <c r="B147" s="4">
        <v>43</v>
      </c>
      <c r="C147">
        <f t="shared" si="10"/>
        <v>40.689746682363221</v>
      </c>
      <c r="D147" s="8">
        <f t="shared" si="11"/>
        <v>2.3102533176367785</v>
      </c>
      <c r="E147" s="8">
        <f t="shared" si="12"/>
        <v>2.3102533176367785</v>
      </c>
      <c r="F147" s="8">
        <f t="shared" si="13"/>
        <v>5.3372703916517423</v>
      </c>
      <c r="G147" s="5">
        <f t="shared" si="14"/>
        <v>5.3726821340390196E-2</v>
      </c>
    </row>
    <row r="148" spans="1:7" ht="15.75" customHeight="1">
      <c r="A148" s="3">
        <v>21697</v>
      </c>
      <c r="B148" s="4">
        <v>39</v>
      </c>
      <c r="C148">
        <f t="shared" si="10"/>
        <v>41.382822677654254</v>
      </c>
      <c r="D148" s="8">
        <f t="shared" si="11"/>
        <v>-2.3828226776542536</v>
      </c>
      <c r="E148" s="8">
        <f t="shared" si="12"/>
        <v>2.3828226776542536</v>
      </c>
      <c r="F148" s="8">
        <f t="shared" si="13"/>
        <v>5.6778439131433869</v>
      </c>
      <c r="G148" s="5">
        <f t="shared" si="14"/>
        <v>6.1098017375750095E-2</v>
      </c>
    </row>
    <row r="149" spans="1:7" ht="15.75" customHeight="1">
      <c r="A149" s="3">
        <v>21698</v>
      </c>
      <c r="B149" s="4">
        <v>33</v>
      </c>
      <c r="C149">
        <f t="shared" si="10"/>
        <v>40.667975874357978</v>
      </c>
      <c r="D149" s="8">
        <f t="shared" si="11"/>
        <v>-7.6679758743579782</v>
      </c>
      <c r="E149" s="8">
        <f t="shared" si="12"/>
        <v>7.6679758743579782</v>
      </c>
      <c r="F149" s="8">
        <f t="shared" si="13"/>
        <v>58.797854009736</v>
      </c>
      <c r="G149" s="5">
        <f t="shared" si="14"/>
        <v>0.23236290528357509</v>
      </c>
    </row>
    <row r="150" spans="1:7" ht="15.75" customHeight="1">
      <c r="A150" s="3">
        <v>21699</v>
      </c>
      <c r="B150" s="4">
        <v>43</v>
      </c>
      <c r="C150">
        <f t="shared" si="10"/>
        <v>38.367583112050582</v>
      </c>
      <c r="D150" s="8">
        <f t="shared" si="11"/>
        <v>4.6324168879494181</v>
      </c>
      <c r="E150" s="8">
        <f t="shared" si="12"/>
        <v>4.6324168879494181</v>
      </c>
      <c r="F150" s="8">
        <f t="shared" si="13"/>
        <v>21.459286223758973</v>
      </c>
      <c r="G150" s="5">
        <f t="shared" si="14"/>
        <v>0.10773062530114925</v>
      </c>
    </row>
    <row r="151" spans="1:7" ht="15.75" customHeight="1">
      <c r="A151" s="3">
        <v>21700</v>
      </c>
      <c r="B151" s="4">
        <v>40</v>
      </c>
      <c r="C151">
        <f t="shared" si="10"/>
        <v>39.757308178435409</v>
      </c>
      <c r="D151" s="8">
        <f t="shared" si="11"/>
        <v>0.24269182156459124</v>
      </c>
      <c r="E151" s="8">
        <f t="shared" si="12"/>
        <v>0.24269182156459124</v>
      </c>
      <c r="F151" s="8">
        <f t="shared" si="13"/>
        <v>5.8899320254339395E-2</v>
      </c>
      <c r="G151" s="5">
        <f t="shared" si="14"/>
        <v>6.0672955391147809E-3</v>
      </c>
    </row>
    <row r="152" spans="1:7" ht="15.75" customHeight="1">
      <c r="A152" s="3">
        <v>21701</v>
      </c>
      <c r="B152" s="4">
        <v>38</v>
      </c>
      <c r="C152">
        <f t="shared" si="10"/>
        <v>39.830115724904786</v>
      </c>
      <c r="D152" s="8">
        <f t="shared" si="11"/>
        <v>-1.8301157249047861</v>
      </c>
      <c r="E152" s="8">
        <f t="shared" si="12"/>
        <v>1.8301157249047861</v>
      </c>
      <c r="F152" s="8">
        <f t="shared" si="13"/>
        <v>3.3493235665437711</v>
      </c>
      <c r="G152" s="5">
        <f t="shared" si="14"/>
        <v>4.8160940129073321E-2</v>
      </c>
    </row>
    <row r="153" spans="1:7" ht="15.75" customHeight="1">
      <c r="A153" s="3">
        <v>21702</v>
      </c>
      <c r="B153" s="4">
        <v>45</v>
      </c>
      <c r="C153">
        <f t="shared" si="10"/>
        <v>39.28108100743335</v>
      </c>
      <c r="D153" s="8">
        <f t="shared" si="11"/>
        <v>5.7189189925666497</v>
      </c>
      <c r="E153" s="8">
        <f t="shared" si="12"/>
        <v>5.7189189925666497</v>
      </c>
      <c r="F153" s="8">
        <f t="shared" si="13"/>
        <v>32.706034443539544</v>
      </c>
      <c r="G153" s="5">
        <f t="shared" si="14"/>
        <v>0.12708708872370333</v>
      </c>
    </row>
    <row r="154" spans="1:7" ht="15.75" customHeight="1">
      <c r="A154" s="3">
        <v>21703</v>
      </c>
      <c r="B154" s="4">
        <v>46</v>
      </c>
      <c r="C154">
        <f t="shared" si="10"/>
        <v>40.996756705203339</v>
      </c>
      <c r="D154" s="8">
        <f t="shared" si="11"/>
        <v>5.0032432947966612</v>
      </c>
      <c r="E154" s="8">
        <f t="shared" si="12"/>
        <v>5.0032432947966612</v>
      </c>
      <c r="F154" s="8">
        <f t="shared" si="13"/>
        <v>25.032443466927749</v>
      </c>
      <c r="G154" s="5">
        <f t="shared" si="14"/>
        <v>0.10876615858253612</v>
      </c>
    </row>
    <row r="155" spans="1:7" ht="15.75" customHeight="1">
      <c r="A155" s="3">
        <v>21704</v>
      </c>
      <c r="B155" s="4">
        <v>34</v>
      </c>
      <c r="C155">
        <f t="shared" si="10"/>
        <v>42.497729693642334</v>
      </c>
      <c r="D155" s="8">
        <f t="shared" si="11"/>
        <v>-8.4977296936423343</v>
      </c>
      <c r="E155" s="8">
        <f t="shared" si="12"/>
        <v>8.4977296936423343</v>
      </c>
      <c r="F155" s="8">
        <f t="shared" si="13"/>
        <v>72.211409946210637</v>
      </c>
      <c r="G155" s="5">
        <f t="shared" si="14"/>
        <v>0.24993322628359807</v>
      </c>
    </row>
    <row r="156" spans="1:7" ht="15.75" customHeight="1">
      <c r="A156" s="3">
        <v>21705</v>
      </c>
      <c r="B156" s="4">
        <v>35</v>
      </c>
      <c r="C156">
        <f t="shared" si="10"/>
        <v>39.948410785549626</v>
      </c>
      <c r="D156" s="8">
        <f t="shared" si="11"/>
        <v>-4.9484107855496262</v>
      </c>
      <c r="E156" s="8">
        <f t="shared" si="12"/>
        <v>4.9484107855496262</v>
      </c>
      <c r="F156" s="8">
        <f t="shared" si="13"/>
        <v>24.48676930254387</v>
      </c>
      <c r="G156" s="5">
        <f t="shared" si="14"/>
        <v>0.1413831653014179</v>
      </c>
    </row>
    <row r="157" spans="1:7" ht="15.75" customHeight="1">
      <c r="A157" s="3">
        <v>21706</v>
      </c>
      <c r="B157" s="4">
        <v>48</v>
      </c>
      <c r="C157">
        <f t="shared" si="10"/>
        <v>38.463887549884738</v>
      </c>
      <c r="D157" s="8">
        <f t="shared" si="11"/>
        <v>9.5361124501152617</v>
      </c>
      <c r="E157" s="8">
        <f t="shared" si="12"/>
        <v>9.5361124501152617</v>
      </c>
      <c r="F157" s="8">
        <f t="shared" si="13"/>
        <v>90.937440661243301</v>
      </c>
      <c r="G157" s="5">
        <f t="shared" si="14"/>
        <v>0.19866900937740128</v>
      </c>
    </row>
    <row r="158" spans="1:7" ht="15.75" customHeight="1">
      <c r="A158" s="3">
        <v>21707</v>
      </c>
      <c r="B158" s="4">
        <v>51</v>
      </c>
      <c r="C158">
        <f t="shared" si="10"/>
        <v>41.324721284919313</v>
      </c>
      <c r="D158" s="8">
        <f t="shared" si="11"/>
        <v>9.6752787150806867</v>
      </c>
      <c r="E158" s="8">
        <f t="shared" si="12"/>
        <v>9.6752787150806867</v>
      </c>
      <c r="F158" s="8">
        <f t="shared" si="13"/>
        <v>93.611018214493384</v>
      </c>
      <c r="G158" s="5">
        <f t="shared" si="14"/>
        <v>0.18971134735452327</v>
      </c>
    </row>
    <row r="159" spans="1:7" ht="15.75" customHeight="1">
      <c r="A159" s="3">
        <v>21708</v>
      </c>
      <c r="B159" s="4">
        <v>36</v>
      </c>
      <c r="C159">
        <f t="shared" si="10"/>
        <v>44.227304899443517</v>
      </c>
      <c r="D159" s="8">
        <f t="shared" si="11"/>
        <v>-8.2273048994435172</v>
      </c>
      <c r="E159" s="8">
        <f t="shared" si="12"/>
        <v>8.2273048994435172</v>
      </c>
      <c r="F159" s="8">
        <f t="shared" si="13"/>
        <v>67.688545908407306</v>
      </c>
      <c r="G159" s="5">
        <f t="shared" si="14"/>
        <v>0.22853624720676435</v>
      </c>
    </row>
    <row r="160" spans="1:7" ht="15.75" customHeight="1">
      <c r="A160" s="3">
        <v>21709</v>
      </c>
      <c r="B160" s="4">
        <v>33</v>
      </c>
      <c r="C160">
        <f t="shared" si="10"/>
        <v>41.759113429610458</v>
      </c>
      <c r="D160" s="8">
        <f t="shared" si="11"/>
        <v>-8.7591134296104585</v>
      </c>
      <c r="E160" s="8">
        <f t="shared" si="12"/>
        <v>8.7591134296104585</v>
      </c>
      <c r="F160" s="8">
        <f t="shared" si="13"/>
        <v>76.722068072782292</v>
      </c>
      <c r="G160" s="5">
        <f t="shared" si="14"/>
        <v>0.2654276796851654</v>
      </c>
    </row>
    <row r="161" spans="1:7" ht="15.75" customHeight="1">
      <c r="A161" s="3">
        <v>21710</v>
      </c>
      <c r="B161" s="4">
        <v>46</v>
      </c>
      <c r="C161">
        <f t="shared" si="10"/>
        <v>39.131379400727319</v>
      </c>
      <c r="D161" s="8">
        <f t="shared" si="11"/>
        <v>6.8686205992726812</v>
      </c>
      <c r="E161" s="8">
        <f t="shared" si="12"/>
        <v>6.8686205992726812</v>
      </c>
      <c r="F161" s="8">
        <f t="shared" si="13"/>
        <v>47.177948936753005</v>
      </c>
      <c r="G161" s="5">
        <f t="shared" si="14"/>
        <v>0.14931783911462351</v>
      </c>
    </row>
    <row r="162" spans="1:7" ht="15.75" customHeight="1">
      <c r="A162" s="3">
        <v>21711</v>
      </c>
      <c r="B162" s="4">
        <v>42</v>
      </c>
      <c r="C162">
        <f t="shared" si="10"/>
        <v>41.19196558050912</v>
      </c>
      <c r="D162" s="8">
        <f t="shared" si="11"/>
        <v>0.8080344194908804</v>
      </c>
      <c r="E162" s="8">
        <f t="shared" si="12"/>
        <v>0.8080344194908804</v>
      </c>
      <c r="F162" s="8">
        <f t="shared" si="13"/>
        <v>0.65291962308196405</v>
      </c>
      <c r="G162" s="5">
        <f t="shared" si="14"/>
        <v>1.9238914749782867E-2</v>
      </c>
    </row>
    <row r="163" spans="1:7" ht="15.75" customHeight="1">
      <c r="A163" s="3">
        <v>21712</v>
      </c>
      <c r="B163" s="4">
        <v>48</v>
      </c>
      <c r="C163">
        <f t="shared" si="10"/>
        <v>41.434375906356379</v>
      </c>
      <c r="D163" s="8">
        <f t="shared" si="11"/>
        <v>6.5656240936436205</v>
      </c>
      <c r="E163" s="8">
        <f t="shared" si="12"/>
        <v>6.5656240936436205</v>
      </c>
      <c r="F163" s="8">
        <f t="shared" si="13"/>
        <v>43.107419739033617</v>
      </c>
      <c r="G163" s="5">
        <f t="shared" si="14"/>
        <v>0.13678383528424209</v>
      </c>
    </row>
    <row r="164" spans="1:7" ht="15.75" customHeight="1">
      <c r="A164" s="3">
        <v>21713</v>
      </c>
      <c r="B164" s="4">
        <v>34</v>
      </c>
      <c r="C164">
        <f t="shared" si="10"/>
        <v>43.404063134449459</v>
      </c>
      <c r="D164" s="8">
        <f t="shared" si="11"/>
        <v>-9.4040631344494585</v>
      </c>
      <c r="E164" s="8">
        <f t="shared" si="12"/>
        <v>9.4040631344494585</v>
      </c>
      <c r="F164" s="8">
        <f t="shared" si="13"/>
        <v>88.436403436711373</v>
      </c>
      <c r="G164" s="5">
        <f t="shared" si="14"/>
        <v>0.27659009218968994</v>
      </c>
    </row>
    <row r="165" spans="1:7" ht="15.75" customHeight="1">
      <c r="A165" s="3">
        <v>21714</v>
      </c>
      <c r="B165" s="4">
        <v>41</v>
      </c>
      <c r="C165">
        <f t="shared" si="10"/>
        <v>40.582844194114614</v>
      </c>
      <c r="D165" s="8">
        <f t="shared" si="11"/>
        <v>0.41715580588538614</v>
      </c>
      <c r="E165" s="8">
        <f t="shared" si="12"/>
        <v>0.41715580588538614</v>
      </c>
      <c r="F165" s="8">
        <f t="shared" si="13"/>
        <v>0.17401896638388598</v>
      </c>
      <c r="G165" s="5">
        <f t="shared" si="14"/>
        <v>1.0174531850863077E-2</v>
      </c>
    </row>
    <row r="166" spans="1:7" ht="15.75" customHeight="1">
      <c r="A166" s="3">
        <v>21715</v>
      </c>
      <c r="B166" s="4">
        <v>35</v>
      </c>
      <c r="C166">
        <f t="shared" si="10"/>
        <v>40.707990935880225</v>
      </c>
      <c r="D166" s="8">
        <f t="shared" si="11"/>
        <v>-5.7079909358802254</v>
      </c>
      <c r="E166" s="8">
        <f t="shared" si="12"/>
        <v>5.7079909358802254</v>
      </c>
      <c r="F166" s="8">
        <f t="shared" si="13"/>
        <v>32.581160524090812</v>
      </c>
      <c r="G166" s="5">
        <f t="shared" si="14"/>
        <v>0.16308545531086358</v>
      </c>
    </row>
    <row r="167" spans="1:7" ht="15.75" customHeight="1">
      <c r="A167" s="3">
        <v>21716</v>
      </c>
      <c r="B167" s="4">
        <v>40</v>
      </c>
      <c r="C167">
        <f t="shared" si="10"/>
        <v>38.995593655116153</v>
      </c>
      <c r="D167" s="8">
        <f t="shared" si="11"/>
        <v>1.0044063448838472</v>
      </c>
      <c r="E167" s="8">
        <f t="shared" si="12"/>
        <v>1.0044063448838472</v>
      </c>
      <c r="F167" s="8">
        <f t="shared" si="13"/>
        <v>1.0088321056429297</v>
      </c>
      <c r="G167" s="5">
        <f t="shared" si="14"/>
        <v>2.5110158622096181E-2</v>
      </c>
    </row>
    <row r="168" spans="1:7" ht="15.75" customHeight="1">
      <c r="A168" s="3">
        <v>21717</v>
      </c>
      <c r="B168" s="4">
        <v>34</v>
      </c>
      <c r="C168">
        <f t="shared" si="10"/>
        <v>39.296915558581304</v>
      </c>
      <c r="D168" s="8">
        <f t="shared" si="11"/>
        <v>-5.2969155585813041</v>
      </c>
      <c r="E168" s="8">
        <f t="shared" si="12"/>
        <v>5.2969155585813041</v>
      </c>
      <c r="F168" s="8">
        <f t="shared" si="13"/>
        <v>28.05731443474069</v>
      </c>
      <c r="G168" s="5">
        <f t="shared" si="14"/>
        <v>0.1557916340759207</v>
      </c>
    </row>
    <row r="169" spans="1:7" ht="15.75" customHeight="1">
      <c r="A169" s="3">
        <v>21718</v>
      </c>
      <c r="B169" s="4">
        <v>30</v>
      </c>
      <c r="C169">
        <f t="shared" si="10"/>
        <v>37.70784089100691</v>
      </c>
      <c r="D169" s="8">
        <f t="shared" si="11"/>
        <v>-7.7078408910069101</v>
      </c>
      <c r="E169" s="8">
        <f t="shared" si="12"/>
        <v>7.7078408910069101</v>
      </c>
      <c r="F169" s="8">
        <f t="shared" si="13"/>
        <v>59.410811201078197</v>
      </c>
      <c r="G169" s="5">
        <f t="shared" si="14"/>
        <v>0.25692802970023032</v>
      </c>
    </row>
    <row r="170" spans="1:7" ht="15.75" customHeight="1">
      <c r="A170" s="3">
        <v>21719</v>
      </c>
      <c r="B170" s="4">
        <v>36</v>
      </c>
      <c r="C170">
        <f t="shared" si="10"/>
        <v>35.395488623704836</v>
      </c>
      <c r="D170" s="8">
        <f t="shared" si="11"/>
        <v>0.60451137629516438</v>
      </c>
      <c r="E170" s="8">
        <f t="shared" si="12"/>
        <v>0.60451137629516438</v>
      </c>
      <c r="F170" s="8">
        <f t="shared" si="13"/>
        <v>0.36543400407027382</v>
      </c>
      <c r="G170" s="5">
        <f t="shared" si="14"/>
        <v>1.6791982674865678E-2</v>
      </c>
    </row>
    <row r="171" spans="1:7" ht="15.75" customHeight="1">
      <c r="A171" s="3">
        <v>21720</v>
      </c>
      <c r="B171" s="4">
        <v>40</v>
      </c>
      <c r="C171">
        <f t="shared" si="10"/>
        <v>35.576842036593384</v>
      </c>
      <c r="D171" s="8">
        <f t="shared" si="11"/>
        <v>4.4231579634066165</v>
      </c>
      <c r="E171" s="8">
        <f t="shared" si="12"/>
        <v>4.4231579634066165</v>
      </c>
      <c r="F171" s="8">
        <f t="shared" si="13"/>
        <v>19.564326369247368</v>
      </c>
      <c r="G171" s="5">
        <f t="shared" si="14"/>
        <v>0.11057894908516541</v>
      </c>
    </row>
    <row r="172" spans="1:7" ht="15.75" customHeight="1">
      <c r="A172" s="3">
        <v>21721</v>
      </c>
      <c r="B172" s="4">
        <v>39</v>
      </c>
      <c r="C172">
        <f t="shared" si="10"/>
        <v>36.903789425615372</v>
      </c>
      <c r="D172" s="8">
        <f t="shared" si="11"/>
        <v>2.096210574384628</v>
      </c>
      <c r="E172" s="8">
        <f t="shared" si="12"/>
        <v>2.096210574384628</v>
      </c>
      <c r="F172" s="8">
        <f t="shared" si="13"/>
        <v>4.3940987721619322</v>
      </c>
      <c r="G172" s="5">
        <f t="shared" si="14"/>
        <v>5.3748989086785333E-2</v>
      </c>
    </row>
    <row r="173" spans="1:7" ht="15.75" customHeight="1">
      <c r="A173" s="3">
        <v>21722</v>
      </c>
      <c r="B173" s="4">
        <v>45</v>
      </c>
      <c r="C173">
        <f t="shared" si="10"/>
        <v>37.532652597930763</v>
      </c>
      <c r="D173" s="8">
        <f t="shared" si="11"/>
        <v>7.4673474020692368</v>
      </c>
      <c r="E173" s="8">
        <f t="shared" si="12"/>
        <v>7.4673474020692368</v>
      </c>
      <c r="F173" s="8">
        <f t="shared" si="13"/>
        <v>55.761277223190177</v>
      </c>
      <c r="G173" s="5">
        <f t="shared" si="14"/>
        <v>0.16594105337931636</v>
      </c>
    </row>
    <row r="174" spans="1:7" ht="15.75" customHeight="1">
      <c r="A174" s="3">
        <v>21723</v>
      </c>
      <c r="B174" s="4">
        <v>38</v>
      </c>
      <c r="C174">
        <f t="shared" si="10"/>
        <v>39.772856818551531</v>
      </c>
      <c r="D174" s="8">
        <f t="shared" si="11"/>
        <v>-1.7728568185515314</v>
      </c>
      <c r="E174" s="8">
        <f t="shared" si="12"/>
        <v>1.7728568185515314</v>
      </c>
      <c r="F174" s="8">
        <f t="shared" si="13"/>
        <v>3.1430212990846575</v>
      </c>
      <c r="G174" s="5">
        <f t="shared" si="14"/>
        <v>4.6654126803987672E-2</v>
      </c>
    </row>
    <row r="175" spans="1:7" ht="15.75" customHeight="1">
      <c r="A175" s="3">
        <v>21724</v>
      </c>
      <c r="B175" s="4">
        <v>47</v>
      </c>
      <c r="C175">
        <f t="shared" si="10"/>
        <v>39.240999772986072</v>
      </c>
      <c r="D175" s="8">
        <f t="shared" si="11"/>
        <v>7.759000227013928</v>
      </c>
      <c r="E175" s="8">
        <f t="shared" si="12"/>
        <v>7.759000227013928</v>
      </c>
      <c r="F175" s="8">
        <f t="shared" si="13"/>
        <v>60.202084522802188</v>
      </c>
      <c r="G175" s="5">
        <f t="shared" si="14"/>
        <v>0.1650851112130623</v>
      </c>
    </row>
    <row r="176" spans="1:7" ht="15.75" customHeight="1">
      <c r="A176" s="3">
        <v>21725</v>
      </c>
      <c r="B176" s="4">
        <v>33</v>
      </c>
      <c r="C176">
        <f t="shared" si="10"/>
        <v>41.56869984109025</v>
      </c>
      <c r="D176" s="8">
        <f t="shared" si="11"/>
        <v>-8.5686998410902504</v>
      </c>
      <c r="E176" s="8">
        <f t="shared" si="12"/>
        <v>8.5686998410902504</v>
      </c>
      <c r="F176" s="8">
        <f t="shared" si="13"/>
        <v>73.422616966700076</v>
      </c>
      <c r="G176" s="5">
        <f t="shared" si="14"/>
        <v>0.25965757094212882</v>
      </c>
    </row>
    <row r="177" spans="1:7" ht="15.75" customHeight="1">
      <c r="A177" s="3">
        <v>21726</v>
      </c>
      <c r="B177" s="4">
        <v>30</v>
      </c>
      <c r="C177">
        <f t="shared" si="10"/>
        <v>38.998089888763175</v>
      </c>
      <c r="D177" s="8">
        <f t="shared" si="11"/>
        <v>-8.9980898887631753</v>
      </c>
      <c r="E177" s="8">
        <f t="shared" si="12"/>
        <v>8.9980898887631753</v>
      </c>
      <c r="F177" s="8">
        <f t="shared" si="13"/>
        <v>80.965621646262093</v>
      </c>
      <c r="G177" s="5">
        <f t="shared" si="14"/>
        <v>0.2999363296254392</v>
      </c>
    </row>
    <row r="178" spans="1:7" ht="15.75" customHeight="1">
      <c r="A178" s="3">
        <v>21727</v>
      </c>
      <c r="B178" s="4">
        <v>42</v>
      </c>
      <c r="C178">
        <f t="shared" si="10"/>
        <v>36.29866292213422</v>
      </c>
      <c r="D178" s="8">
        <f t="shared" si="11"/>
        <v>5.7013370778657801</v>
      </c>
      <c r="E178" s="8">
        <f t="shared" si="12"/>
        <v>5.7013370778657801</v>
      </c>
      <c r="F178" s="8">
        <f t="shared" si="13"/>
        <v>32.505244475447114</v>
      </c>
      <c r="G178" s="5">
        <f t="shared" si="14"/>
        <v>0.13574612090156618</v>
      </c>
    </row>
    <row r="179" spans="1:7" ht="15.75" customHeight="1">
      <c r="A179" s="3">
        <v>21728</v>
      </c>
      <c r="B179" s="4">
        <v>43</v>
      </c>
      <c r="C179">
        <f t="shared" si="10"/>
        <v>38.00906404549395</v>
      </c>
      <c r="D179" s="8">
        <f t="shared" si="11"/>
        <v>4.9909359545060497</v>
      </c>
      <c r="E179" s="8">
        <f t="shared" si="12"/>
        <v>4.9909359545060497</v>
      </c>
      <c r="F179" s="8">
        <f t="shared" si="13"/>
        <v>24.909441701981212</v>
      </c>
      <c r="G179" s="5">
        <f t="shared" si="14"/>
        <v>0.1160682780117686</v>
      </c>
    </row>
    <row r="180" spans="1:7" ht="15.75" customHeight="1">
      <c r="A180" s="3">
        <v>21729</v>
      </c>
      <c r="B180" s="4">
        <v>41</v>
      </c>
      <c r="C180">
        <f t="shared" si="10"/>
        <v>39.506344831845766</v>
      </c>
      <c r="D180" s="8">
        <f t="shared" si="11"/>
        <v>1.493655168154234</v>
      </c>
      <c r="E180" s="8">
        <f t="shared" si="12"/>
        <v>1.493655168154234</v>
      </c>
      <c r="F180" s="8">
        <f t="shared" si="13"/>
        <v>2.231005761353853</v>
      </c>
      <c r="G180" s="5">
        <f t="shared" si="14"/>
        <v>3.6430613857420344E-2</v>
      </c>
    </row>
    <row r="181" spans="1:7" ht="15.75" customHeight="1">
      <c r="A181" s="3">
        <v>21730</v>
      </c>
      <c r="B181" s="4">
        <v>41</v>
      </c>
      <c r="C181">
        <f t="shared" si="10"/>
        <v>39.954441382292032</v>
      </c>
      <c r="D181" s="8">
        <f t="shared" si="11"/>
        <v>1.0455586177079681</v>
      </c>
      <c r="E181" s="8">
        <f t="shared" si="12"/>
        <v>1.0455586177079681</v>
      </c>
      <c r="F181" s="8">
        <f t="shared" si="13"/>
        <v>1.0931928230633969</v>
      </c>
      <c r="G181" s="5">
        <f t="shared" si="14"/>
        <v>2.5501429700194343E-2</v>
      </c>
    </row>
    <row r="182" spans="1:7" ht="15.75" customHeight="1">
      <c r="A182" s="3">
        <v>21731</v>
      </c>
      <c r="B182" s="4">
        <v>59</v>
      </c>
      <c r="C182">
        <f t="shared" si="10"/>
        <v>40.268108967604419</v>
      </c>
      <c r="D182" s="8">
        <f t="shared" si="11"/>
        <v>18.731891032395581</v>
      </c>
      <c r="E182" s="8">
        <f t="shared" si="12"/>
        <v>18.731891032395581</v>
      </c>
      <c r="F182" s="8">
        <f t="shared" si="13"/>
        <v>350.88374164954195</v>
      </c>
      <c r="G182" s="5">
        <f t="shared" si="14"/>
        <v>0.31748967851517934</v>
      </c>
    </row>
    <row r="183" spans="1:7" ht="15.75" customHeight="1">
      <c r="A183" s="3">
        <v>21732</v>
      </c>
      <c r="B183" s="4">
        <v>43</v>
      </c>
      <c r="C183">
        <f t="shared" si="10"/>
        <v>45.887676277323095</v>
      </c>
      <c r="D183" s="8">
        <f t="shared" si="11"/>
        <v>-2.8876762773230951</v>
      </c>
      <c r="E183" s="8">
        <f t="shared" si="12"/>
        <v>2.8876762773230951</v>
      </c>
      <c r="F183" s="8">
        <f t="shared" si="13"/>
        <v>8.3386742826145692</v>
      </c>
      <c r="G183" s="5">
        <f t="shared" si="14"/>
        <v>6.7155262263327797E-2</v>
      </c>
    </row>
    <row r="184" spans="1:7" ht="15.75" customHeight="1">
      <c r="A184" s="3">
        <v>21733</v>
      </c>
      <c r="B184" s="4">
        <v>45</v>
      </c>
      <c r="C184">
        <f t="shared" si="10"/>
        <v>45.021373394126165</v>
      </c>
      <c r="D184" s="8">
        <f t="shared" si="11"/>
        <v>-2.1373394126165124E-2</v>
      </c>
      <c r="E184" s="8">
        <f t="shared" si="12"/>
        <v>2.1373394126165124E-2</v>
      </c>
      <c r="F184" s="8">
        <f t="shared" si="13"/>
        <v>4.5682197647238981E-4</v>
      </c>
      <c r="G184" s="5">
        <f t="shared" si="14"/>
        <v>4.7496431391478054E-4</v>
      </c>
    </row>
    <row r="185" spans="1:7" ht="15.75" customHeight="1">
      <c r="A185" s="3">
        <v>21734</v>
      </c>
      <c r="B185" s="4">
        <v>38</v>
      </c>
      <c r="C185">
        <f t="shared" si="10"/>
        <v>45.014961375888312</v>
      </c>
      <c r="D185" s="8">
        <f t="shared" si="11"/>
        <v>-7.014961375888312</v>
      </c>
      <c r="E185" s="8">
        <f t="shared" si="12"/>
        <v>7.014961375888312</v>
      </c>
      <c r="F185" s="8">
        <f t="shared" si="13"/>
        <v>49.209683105204839</v>
      </c>
      <c r="G185" s="5">
        <f t="shared" si="14"/>
        <v>0.18460424673390294</v>
      </c>
    </row>
    <row r="186" spans="1:7" ht="15.75" customHeight="1">
      <c r="A186" s="3">
        <v>21735</v>
      </c>
      <c r="B186" s="4">
        <v>37</v>
      </c>
      <c r="C186">
        <f t="shared" si="10"/>
        <v>42.910472963121819</v>
      </c>
      <c r="D186" s="8">
        <f t="shared" si="11"/>
        <v>-5.9104729631218191</v>
      </c>
      <c r="E186" s="8">
        <f t="shared" si="12"/>
        <v>5.9104729631218191</v>
      </c>
      <c r="F186" s="8">
        <f t="shared" si="13"/>
        <v>34.933690647794016</v>
      </c>
      <c r="G186" s="5">
        <f t="shared" si="14"/>
        <v>0.15974251251680593</v>
      </c>
    </row>
    <row r="187" spans="1:7" ht="15.75" customHeight="1">
      <c r="A187" s="3">
        <v>21736</v>
      </c>
      <c r="B187" s="4">
        <v>45</v>
      </c>
      <c r="C187">
        <f t="shared" si="10"/>
        <v>41.137331074185269</v>
      </c>
      <c r="D187" s="8">
        <f t="shared" si="11"/>
        <v>3.8626689258147309</v>
      </c>
      <c r="E187" s="8">
        <f t="shared" si="12"/>
        <v>3.8626689258147309</v>
      </c>
      <c r="F187" s="8">
        <f t="shared" si="13"/>
        <v>14.920211230454727</v>
      </c>
      <c r="G187" s="5">
        <f t="shared" si="14"/>
        <v>8.5837087240327348E-2</v>
      </c>
    </row>
    <row r="188" spans="1:7" ht="15.75" customHeight="1">
      <c r="A188" s="3">
        <v>21737</v>
      </c>
      <c r="B188" s="4">
        <v>42</v>
      </c>
      <c r="C188">
        <f t="shared" si="10"/>
        <v>42.296131751929686</v>
      </c>
      <c r="D188" s="8">
        <f t="shared" si="11"/>
        <v>-0.29613175192968555</v>
      </c>
      <c r="E188" s="8">
        <f t="shared" si="12"/>
        <v>0.29613175192968555</v>
      </c>
      <c r="F188" s="8">
        <f t="shared" si="13"/>
        <v>8.7694014500944828E-2</v>
      </c>
      <c r="G188" s="5">
        <f t="shared" si="14"/>
        <v>7.0507559983258462E-3</v>
      </c>
    </row>
    <row r="189" spans="1:7" ht="15.75" customHeight="1">
      <c r="A189" s="3">
        <v>21738</v>
      </c>
      <c r="B189" s="4">
        <v>57</v>
      </c>
      <c r="C189">
        <f t="shared" si="10"/>
        <v>42.207292226350781</v>
      </c>
      <c r="D189" s="8">
        <f t="shared" si="11"/>
        <v>14.792707773649219</v>
      </c>
      <c r="E189" s="8">
        <f t="shared" si="12"/>
        <v>14.792707773649219</v>
      </c>
      <c r="F189" s="8">
        <f t="shared" si="13"/>
        <v>218.82420327658204</v>
      </c>
      <c r="G189" s="5">
        <f t="shared" si="14"/>
        <v>0.25952118901138982</v>
      </c>
    </row>
    <row r="190" spans="1:7" ht="15.75" customHeight="1">
      <c r="A190" s="3">
        <v>21739</v>
      </c>
      <c r="B190" s="4">
        <v>46</v>
      </c>
      <c r="C190">
        <f t="shared" si="10"/>
        <v>46.645104558445539</v>
      </c>
      <c r="D190" s="8">
        <f t="shared" si="11"/>
        <v>-0.6451045584455386</v>
      </c>
      <c r="E190" s="8">
        <f t="shared" si="12"/>
        <v>0.6451045584455386</v>
      </c>
      <c r="F190" s="8">
        <f t="shared" si="13"/>
        <v>0.41615989132721332</v>
      </c>
      <c r="G190" s="5">
        <f t="shared" si="14"/>
        <v>1.4024012140120404E-2</v>
      </c>
    </row>
    <row r="191" spans="1:7" ht="15.75" customHeight="1">
      <c r="A191" s="3">
        <v>21740</v>
      </c>
      <c r="B191" s="4">
        <v>51</v>
      </c>
      <c r="C191">
        <f t="shared" si="10"/>
        <v>46.451573190911873</v>
      </c>
      <c r="D191" s="8">
        <f t="shared" si="11"/>
        <v>4.5484268090881272</v>
      </c>
      <c r="E191" s="8">
        <f t="shared" si="12"/>
        <v>4.5484268090881272</v>
      </c>
      <c r="F191" s="8">
        <f t="shared" si="13"/>
        <v>20.688186437631604</v>
      </c>
      <c r="G191" s="5">
        <f t="shared" si="14"/>
        <v>8.9184839393884843E-2</v>
      </c>
    </row>
    <row r="192" spans="1:7" ht="15.75" customHeight="1">
      <c r="A192" s="3">
        <v>21741</v>
      </c>
      <c r="B192" s="4">
        <v>41</v>
      </c>
      <c r="C192">
        <f t="shared" si="10"/>
        <v>47.816101233638307</v>
      </c>
      <c r="D192" s="8">
        <f t="shared" si="11"/>
        <v>-6.8161012336383067</v>
      </c>
      <c r="E192" s="8">
        <f t="shared" si="12"/>
        <v>6.8161012336383067</v>
      </c>
      <c r="F192" s="8">
        <f t="shared" si="13"/>
        <v>46.459236027205648</v>
      </c>
      <c r="G192" s="5">
        <f t="shared" si="14"/>
        <v>0.16624637155215383</v>
      </c>
    </row>
    <row r="193" spans="1:7" ht="15.75" customHeight="1">
      <c r="A193" s="3">
        <v>21742</v>
      </c>
      <c r="B193" s="4">
        <v>47</v>
      </c>
      <c r="C193">
        <f t="shared" si="10"/>
        <v>45.77127086354681</v>
      </c>
      <c r="D193" s="8">
        <f t="shared" si="11"/>
        <v>1.2287291364531896</v>
      </c>
      <c r="E193" s="8">
        <f t="shared" si="12"/>
        <v>1.2287291364531896</v>
      </c>
      <c r="F193" s="8">
        <f t="shared" si="13"/>
        <v>1.509775290769001</v>
      </c>
      <c r="G193" s="5">
        <f t="shared" si="14"/>
        <v>2.614317311602531E-2</v>
      </c>
    </row>
    <row r="194" spans="1:7" ht="15.75" customHeight="1">
      <c r="A194" s="3">
        <v>21743</v>
      </c>
      <c r="B194" s="4">
        <v>26</v>
      </c>
      <c r="C194">
        <f t="shared" si="10"/>
        <v>46.139889604482768</v>
      </c>
      <c r="D194" s="8">
        <f t="shared" si="11"/>
        <v>-20.139889604482768</v>
      </c>
      <c r="E194" s="8">
        <f t="shared" si="12"/>
        <v>20.139889604482768</v>
      </c>
      <c r="F194" s="8">
        <f t="shared" si="13"/>
        <v>405.61515328075308</v>
      </c>
      <c r="G194" s="5">
        <f t="shared" si="14"/>
        <v>0.77461113863395259</v>
      </c>
    </row>
    <row r="195" spans="1:7" ht="15.75" customHeight="1">
      <c r="A195" s="3">
        <v>21744</v>
      </c>
      <c r="B195" s="4">
        <v>35</v>
      </c>
      <c r="C195">
        <f t="shared" si="10"/>
        <v>40.097922723137934</v>
      </c>
      <c r="D195" s="8">
        <f t="shared" si="11"/>
        <v>-5.097922723137934</v>
      </c>
      <c r="E195" s="8">
        <f t="shared" si="12"/>
        <v>5.097922723137934</v>
      </c>
      <c r="F195" s="8">
        <f t="shared" si="13"/>
        <v>25.98881609108609</v>
      </c>
      <c r="G195" s="5">
        <f t="shared" si="14"/>
        <v>0.14565493494679813</v>
      </c>
    </row>
    <row r="196" spans="1:7" ht="15.75" customHeight="1">
      <c r="A196" s="3">
        <v>21745</v>
      </c>
      <c r="B196" s="4">
        <v>44</v>
      </c>
      <c r="C196">
        <f t="shared" ref="C196:C259" si="15">0.3*B195+0.7*C195</f>
        <v>38.568545906196547</v>
      </c>
      <c r="D196" s="8">
        <f t="shared" ref="D196:D259" si="16">B196-C196</f>
        <v>5.4314540938034526</v>
      </c>
      <c r="E196" s="8">
        <f t="shared" ref="E196:E259" si="17">ABS(D196)</f>
        <v>5.4314540938034526</v>
      </c>
      <c r="F196" s="8">
        <f t="shared" ref="F196:F259" si="18">E196^2</f>
        <v>29.500693573094285</v>
      </c>
      <c r="G196" s="5">
        <f t="shared" ref="G196:G259" si="19">E196/B196</f>
        <v>0.12344213849553301</v>
      </c>
    </row>
    <row r="197" spans="1:7" ht="15.75" customHeight="1">
      <c r="A197" s="3">
        <v>21746</v>
      </c>
      <c r="B197" s="4">
        <v>41</v>
      </c>
      <c r="C197">
        <f t="shared" si="15"/>
        <v>40.197982134337579</v>
      </c>
      <c r="D197" s="8">
        <f t="shared" si="16"/>
        <v>0.80201786566242106</v>
      </c>
      <c r="E197" s="8">
        <f t="shared" si="17"/>
        <v>0.80201786566242106</v>
      </c>
      <c r="F197" s="8">
        <f t="shared" si="18"/>
        <v>0.64323265684170527</v>
      </c>
      <c r="G197" s="5">
        <f t="shared" si="19"/>
        <v>1.9561411357620025E-2</v>
      </c>
    </row>
    <row r="198" spans="1:7" ht="15.75" customHeight="1">
      <c r="A198" s="3">
        <v>21747</v>
      </c>
      <c r="B198" s="4">
        <v>42</v>
      </c>
      <c r="C198">
        <f t="shared" si="15"/>
        <v>40.438587494036305</v>
      </c>
      <c r="D198" s="8">
        <f t="shared" si="16"/>
        <v>1.5614125059636947</v>
      </c>
      <c r="E198" s="8">
        <f t="shared" si="17"/>
        <v>1.5614125059636947</v>
      </c>
      <c r="F198" s="8">
        <f t="shared" si="18"/>
        <v>2.4380090137798249</v>
      </c>
      <c r="G198" s="5">
        <f t="shared" si="19"/>
        <v>3.7176488237230826E-2</v>
      </c>
    </row>
    <row r="199" spans="1:7" ht="15.75" customHeight="1">
      <c r="A199" s="3">
        <v>21748</v>
      </c>
      <c r="B199" s="4">
        <v>36</v>
      </c>
      <c r="C199">
        <f t="shared" si="15"/>
        <v>40.907011245825409</v>
      </c>
      <c r="D199" s="8">
        <f t="shared" si="16"/>
        <v>-4.9070112458254087</v>
      </c>
      <c r="E199" s="8">
        <f t="shared" si="17"/>
        <v>4.9070112458254087</v>
      </c>
      <c r="F199" s="8">
        <f t="shared" si="18"/>
        <v>24.078759366657028</v>
      </c>
      <c r="G199" s="5">
        <f t="shared" si="19"/>
        <v>0.13630586793959468</v>
      </c>
    </row>
    <row r="200" spans="1:7" ht="15.75" customHeight="1">
      <c r="A200" s="3">
        <v>21749</v>
      </c>
      <c r="B200" s="4">
        <v>45</v>
      </c>
      <c r="C200">
        <f t="shared" si="15"/>
        <v>39.43490787207778</v>
      </c>
      <c r="D200" s="8">
        <f t="shared" si="16"/>
        <v>5.5650921279222203</v>
      </c>
      <c r="E200" s="8">
        <f t="shared" si="17"/>
        <v>5.5650921279222203</v>
      </c>
      <c r="F200" s="8">
        <f t="shared" si="18"/>
        <v>30.970250392261867</v>
      </c>
      <c r="G200" s="5">
        <f t="shared" si="19"/>
        <v>0.12366871395382711</v>
      </c>
    </row>
    <row r="201" spans="1:7" ht="15.75" customHeight="1">
      <c r="A201" s="3">
        <v>21750</v>
      </c>
      <c r="B201" s="4">
        <v>45</v>
      </c>
      <c r="C201">
        <f t="shared" si="15"/>
        <v>41.104435510454444</v>
      </c>
      <c r="D201" s="8">
        <f t="shared" si="16"/>
        <v>3.8955644895455563</v>
      </c>
      <c r="E201" s="8">
        <f t="shared" si="17"/>
        <v>3.8955644895455563</v>
      </c>
      <c r="F201" s="8">
        <f t="shared" si="18"/>
        <v>15.175422692208331</v>
      </c>
      <c r="G201" s="5">
        <f t="shared" si="19"/>
        <v>8.6568099767679027E-2</v>
      </c>
    </row>
    <row r="202" spans="1:7" ht="15.75" customHeight="1">
      <c r="A202" s="3">
        <v>21751</v>
      </c>
      <c r="B202" s="4">
        <v>45</v>
      </c>
      <c r="C202">
        <f t="shared" si="15"/>
        <v>42.27310485731811</v>
      </c>
      <c r="D202" s="8">
        <f t="shared" si="16"/>
        <v>2.7268951426818901</v>
      </c>
      <c r="E202" s="8">
        <f t="shared" si="17"/>
        <v>2.7268951426818901</v>
      </c>
      <c r="F202" s="8">
        <f t="shared" si="18"/>
        <v>7.4359571191820857</v>
      </c>
      <c r="G202" s="5">
        <f t="shared" si="19"/>
        <v>6.0597669837375336E-2</v>
      </c>
    </row>
    <row r="203" spans="1:7" ht="15.75" customHeight="1">
      <c r="A203" s="3">
        <v>21752</v>
      </c>
      <c r="B203" s="4">
        <v>47</v>
      </c>
      <c r="C203">
        <f t="shared" si="15"/>
        <v>43.091173400122671</v>
      </c>
      <c r="D203" s="8">
        <f t="shared" si="16"/>
        <v>3.9088265998773295</v>
      </c>
      <c r="E203" s="8">
        <f t="shared" si="17"/>
        <v>3.9088265998773295</v>
      </c>
      <c r="F203" s="8">
        <f t="shared" si="18"/>
        <v>15.278925387908565</v>
      </c>
      <c r="G203" s="5">
        <f t="shared" si="19"/>
        <v>8.3166523401645306E-2</v>
      </c>
    </row>
    <row r="204" spans="1:7" ht="15.75" customHeight="1">
      <c r="A204" s="3">
        <v>21753</v>
      </c>
      <c r="B204" s="4">
        <v>38</v>
      </c>
      <c r="C204">
        <f t="shared" si="15"/>
        <v>44.263821380085865</v>
      </c>
      <c r="D204" s="8">
        <f t="shared" si="16"/>
        <v>-6.2638213800858651</v>
      </c>
      <c r="E204" s="8">
        <f t="shared" si="17"/>
        <v>6.2638213800858651</v>
      </c>
      <c r="F204" s="8">
        <f t="shared" si="18"/>
        <v>39.235458281620794</v>
      </c>
      <c r="G204" s="5">
        <f t="shared" si="19"/>
        <v>0.16483740473910172</v>
      </c>
    </row>
    <row r="205" spans="1:7" ht="15.75" customHeight="1">
      <c r="A205" s="3">
        <v>21754</v>
      </c>
      <c r="B205" s="4">
        <v>42</v>
      </c>
      <c r="C205">
        <f t="shared" si="15"/>
        <v>42.384674966060103</v>
      </c>
      <c r="D205" s="8">
        <f t="shared" si="16"/>
        <v>-0.38467496606010343</v>
      </c>
      <c r="E205" s="8">
        <f t="shared" si="17"/>
        <v>0.38467496606010343</v>
      </c>
      <c r="F205" s="8">
        <f t="shared" si="18"/>
        <v>0.14797482951334173</v>
      </c>
      <c r="G205" s="5">
        <f t="shared" si="19"/>
        <v>9.1589277633357963E-3</v>
      </c>
    </row>
    <row r="206" spans="1:7" ht="15.75" customHeight="1">
      <c r="A206" s="3">
        <v>21755</v>
      </c>
      <c r="B206" s="4">
        <v>35</v>
      </c>
      <c r="C206">
        <f t="shared" si="15"/>
        <v>42.269272476242072</v>
      </c>
      <c r="D206" s="8">
        <f t="shared" si="16"/>
        <v>-7.2692724762420724</v>
      </c>
      <c r="E206" s="8">
        <f t="shared" si="17"/>
        <v>7.2692724762420724</v>
      </c>
      <c r="F206" s="8">
        <f t="shared" si="18"/>
        <v>52.842322333850554</v>
      </c>
      <c r="G206" s="5">
        <f t="shared" si="19"/>
        <v>0.20769349932120207</v>
      </c>
    </row>
    <row r="207" spans="1:7" ht="15.75" customHeight="1">
      <c r="A207" s="3">
        <v>21756</v>
      </c>
      <c r="B207" s="4">
        <v>36</v>
      </c>
      <c r="C207">
        <f t="shared" si="15"/>
        <v>40.088490733369447</v>
      </c>
      <c r="D207" s="8">
        <f t="shared" si="16"/>
        <v>-4.0884907333694471</v>
      </c>
      <c r="E207" s="8">
        <f t="shared" si="17"/>
        <v>4.0884907333694471</v>
      </c>
      <c r="F207" s="8">
        <f t="shared" si="18"/>
        <v>16.71575647684784</v>
      </c>
      <c r="G207" s="5">
        <f t="shared" si="19"/>
        <v>0.1135691870380402</v>
      </c>
    </row>
    <row r="208" spans="1:7" ht="15.75" customHeight="1">
      <c r="A208" s="3">
        <v>21757</v>
      </c>
      <c r="B208" s="4">
        <v>39</v>
      </c>
      <c r="C208">
        <f t="shared" si="15"/>
        <v>38.861943513358611</v>
      </c>
      <c r="D208" s="8">
        <f t="shared" si="16"/>
        <v>0.13805648664138914</v>
      </c>
      <c r="E208" s="8">
        <f t="shared" si="17"/>
        <v>0.13805648664138914</v>
      </c>
      <c r="F208" s="8">
        <f t="shared" si="18"/>
        <v>1.9059593503764058E-2</v>
      </c>
      <c r="G208" s="5">
        <f t="shared" si="19"/>
        <v>3.5399099138817727E-3</v>
      </c>
    </row>
    <row r="209" spans="1:7" ht="15.75" customHeight="1">
      <c r="A209" s="3">
        <v>21758</v>
      </c>
      <c r="B209" s="4">
        <v>45</v>
      </c>
      <c r="C209">
        <f t="shared" si="15"/>
        <v>38.90336045935102</v>
      </c>
      <c r="D209" s="8">
        <f t="shared" si="16"/>
        <v>6.0966395406489795</v>
      </c>
      <c r="E209" s="8">
        <f t="shared" si="17"/>
        <v>6.0966395406489795</v>
      </c>
      <c r="F209" s="8">
        <f t="shared" si="18"/>
        <v>37.169013688604601</v>
      </c>
      <c r="G209" s="5">
        <f t="shared" si="19"/>
        <v>0.13548087868108843</v>
      </c>
    </row>
    <row r="210" spans="1:7" ht="15.75" customHeight="1">
      <c r="A210" s="3">
        <v>21759</v>
      </c>
      <c r="B210" s="4">
        <v>43</v>
      </c>
      <c r="C210">
        <f t="shared" si="15"/>
        <v>40.732352321545712</v>
      </c>
      <c r="D210" s="8">
        <f t="shared" si="16"/>
        <v>2.2676476784542885</v>
      </c>
      <c r="E210" s="8">
        <f t="shared" si="17"/>
        <v>2.2676476784542885</v>
      </c>
      <c r="F210" s="8">
        <f t="shared" si="18"/>
        <v>5.1422259935991246</v>
      </c>
      <c r="G210" s="5">
        <f t="shared" si="19"/>
        <v>5.2735992522192757E-2</v>
      </c>
    </row>
    <row r="211" spans="1:7" ht="15.75" customHeight="1">
      <c r="A211" s="3">
        <v>21760</v>
      </c>
      <c r="B211" s="4">
        <v>47</v>
      </c>
      <c r="C211">
        <f t="shared" si="15"/>
        <v>41.412646625081997</v>
      </c>
      <c r="D211" s="8">
        <f t="shared" si="16"/>
        <v>5.5873533749180027</v>
      </c>
      <c r="E211" s="8">
        <f t="shared" si="17"/>
        <v>5.5873533749180027</v>
      </c>
      <c r="F211" s="8">
        <f t="shared" si="18"/>
        <v>31.218517736207595</v>
      </c>
      <c r="G211" s="5">
        <f t="shared" si="19"/>
        <v>0.11887985904080857</v>
      </c>
    </row>
    <row r="212" spans="1:7" ht="15.75" customHeight="1">
      <c r="A212" s="3">
        <v>21761</v>
      </c>
      <c r="B212" s="4">
        <v>36</v>
      </c>
      <c r="C212">
        <f t="shared" si="15"/>
        <v>43.088852637557395</v>
      </c>
      <c r="D212" s="8">
        <f t="shared" si="16"/>
        <v>-7.0888526375573946</v>
      </c>
      <c r="E212" s="8">
        <f t="shared" si="17"/>
        <v>7.0888526375573946</v>
      </c>
      <c r="F212" s="8">
        <f t="shared" si="18"/>
        <v>50.251831717004428</v>
      </c>
      <c r="G212" s="5">
        <f t="shared" si="19"/>
        <v>0.19691257326548317</v>
      </c>
    </row>
    <row r="213" spans="1:7" ht="15.75" customHeight="1">
      <c r="A213" s="3">
        <v>21762</v>
      </c>
      <c r="B213" s="4">
        <v>41</v>
      </c>
      <c r="C213">
        <f t="shared" si="15"/>
        <v>40.962196846290176</v>
      </c>
      <c r="D213" s="8">
        <f t="shared" si="16"/>
        <v>3.7803153709823789E-2</v>
      </c>
      <c r="E213" s="8">
        <f t="shared" si="17"/>
        <v>3.7803153709823789E-2</v>
      </c>
      <c r="F213" s="8">
        <f t="shared" si="18"/>
        <v>1.4290784304085641E-3</v>
      </c>
      <c r="G213" s="5">
        <f t="shared" si="19"/>
        <v>9.2202813926399484E-4</v>
      </c>
    </row>
    <row r="214" spans="1:7" ht="15.75" customHeight="1">
      <c r="A214" s="3">
        <v>21763</v>
      </c>
      <c r="B214" s="4">
        <v>50</v>
      </c>
      <c r="C214">
        <f t="shared" si="15"/>
        <v>40.973537792403121</v>
      </c>
      <c r="D214" s="8">
        <f t="shared" si="16"/>
        <v>9.0264622075968788</v>
      </c>
      <c r="E214" s="8">
        <f t="shared" si="17"/>
        <v>9.0264622075968788</v>
      </c>
      <c r="F214" s="8">
        <f t="shared" si="18"/>
        <v>81.477019985174721</v>
      </c>
      <c r="G214" s="5">
        <f t="shared" si="19"/>
        <v>0.18052924415193758</v>
      </c>
    </row>
    <row r="215" spans="1:7" ht="15.75" customHeight="1">
      <c r="A215" s="3">
        <v>21764</v>
      </c>
      <c r="B215" s="4">
        <v>39</v>
      </c>
      <c r="C215">
        <f t="shared" si="15"/>
        <v>43.681476454682183</v>
      </c>
      <c r="D215" s="8">
        <f t="shared" si="16"/>
        <v>-4.6814764546821834</v>
      </c>
      <c r="E215" s="8">
        <f t="shared" si="17"/>
        <v>4.6814764546821834</v>
      </c>
      <c r="F215" s="8">
        <f t="shared" si="18"/>
        <v>21.916221795743667</v>
      </c>
      <c r="G215" s="5">
        <f t="shared" si="19"/>
        <v>0.12003785781236367</v>
      </c>
    </row>
    <row r="216" spans="1:7" ht="15.75" customHeight="1">
      <c r="A216" s="3">
        <v>21765</v>
      </c>
      <c r="B216" s="4">
        <v>41</v>
      </c>
      <c r="C216">
        <f t="shared" si="15"/>
        <v>42.277033518277527</v>
      </c>
      <c r="D216" s="8">
        <f t="shared" si="16"/>
        <v>-1.277033518277527</v>
      </c>
      <c r="E216" s="8">
        <f t="shared" si="17"/>
        <v>1.277033518277527</v>
      </c>
      <c r="F216" s="8">
        <f t="shared" si="18"/>
        <v>1.6308146068042788</v>
      </c>
      <c r="G216" s="5">
        <f t="shared" si="19"/>
        <v>3.1147158982378707E-2</v>
      </c>
    </row>
    <row r="217" spans="1:7" ht="15.75" customHeight="1">
      <c r="A217" s="3">
        <v>21766</v>
      </c>
      <c r="B217" s="4">
        <v>46</v>
      </c>
      <c r="C217">
        <f t="shared" si="15"/>
        <v>41.893923462794262</v>
      </c>
      <c r="D217" s="8">
        <f t="shared" si="16"/>
        <v>4.1060765372057375</v>
      </c>
      <c r="E217" s="8">
        <f t="shared" si="17"/>
        <v>4.1060765372057375</v>
      </c>
      <c r="F217" s="8">
        <f t="shared" si="18"/>
        <v>16.859864529391459</v>
      </c>
      <c r="G217" s="5">
        <f t="shared" si="19"/>
        <v>8.9262533417516027E-2</v>
      </c>
    </row>
    <row r="218" spans="1:7" ht="15.75" customHeight="1">
      <c r="A218" s="3">
        <v>21767</v>
      </c>
      <c r="B218" s="4">
        <v>64</v>
      </c>
      <c r="C218">
        <f t="shared" si="15"/>
        <v>43.125746423955981</v>
      </c>
      <c r="D218" s="8">
        <f t="shared" si="16"/>
        <v>20.874253576044019</v>
      </c>
      <c r="E218" s="8">
        <f t="shared" si="17"/>
        <v>20.874253576044019</v>
      </c>
      <c r="F218" s="8">
        <f t="shared" si="18"/>
        <v>435.73446235698651</v>
      </c>
      <c r="G218" s="5">
        <f t="shared" si="19"/>
        <v>0.3261602121256878</v>
      </c>
    </row>
    <row r="219" spans="1:7" ht="15.75" customHeight="1">
      <c r="A219" s="3">
        <v>21768</v>
      </c>
      <c r="B219" s="4">
        <v>45</v>
      </c>
      <c r="C219">
        <f t="shared" si="15"/>
        <v>49.388022496769182</v>
      </c>
      <c r="D219" s="8">
        <f t="shared" si="16"/>
        <v>-4.3880224967691817</v>
      </c>
      <c r="E219" s="8">
        <f t="shared" si="17"/>
        <v>4.3880224967691817</v>
      </c>
      <c r="F219" s="8">
        <f t="shared" si="18"/>
        <v>19.254741432152443</v>
      </c>
      <c r="G219" s="5">
        <f t="shared" si="19"/>
        <v>9.7511611039315146E-2</v>
      </c>
    </row>
    <row r="220" spans="1:7" ht="15.75" customHeight="1">
      <c r="A220" s="3">
        <v>21769</v>
      </c>
      <c r="B220" s="4">
        <v>34</v>
      </c>
      <c r="C220">
        <f t="shared" si="15"/>
        <v>48.071615747738427</v>
      </c>
      <c r="D220" s="8">
        <f t="shared" si="16"/>
        <v>-14.071615747738427</v>
      </c>
      <c r="E220" s="8">
        <f t="shared" si="17"/>
        <v>14.071615747738427</v>
      </c>
      <c r="F220" s="8">
        <f t="shared" si="18"/>
        <v>198.01036975200009</v>
      </c>
      <c r="G220" s="5">
        <f t="shared" si="19"/>
        <v>0.41387105140407138</v>
      </c>
    </row>
    <row r="221" spans="1:7" ht="15.75" customHeight="1">
      <c r="A221" s="3">
        <v>21770</v>
      </c>
      <c r="B221" s="4">
        <v>38</v>
      </c>
      <c r="C221">
        <f t="shared" si="15"/>
        <v>43.850131023416893</v>
      </c>
      <c r="D221" s="8">
        <f t="shared" si="16"/>
        <v>-5.8501310234168926</v>
      </c>
      <c r="E221" s="8">
        <f t="shared" si="17"/>
        <v>5.8501310234168926</v>
      </c>
      <c r="F221" s="8">
        <f t="shared" si="18"/>
        <v>34.224032991144782</v>
      </c>
      <c r="G221" s="5">
        <f t="shared" si="19"/>
        <v>0.15395081640570771</v>
      </c>
    </row>
    <row r="222" spans="1:7" ht="15.75" customHeight="1">
      <c r="A222" s="3">
        <v>21771</v>
      </c>
      <c r="B222" s="4">
        <v>44</v>
      </c>
      <c r="C222">
        <f t="shared" si="15"/>
        <v>42.095091716391821</v>
      </c>
      <c r="D222" s="8">
        <f t="shared" si="16"/>
        <v>1.9049082836081794</v>
      </c>
      <c r="E222" s="8">
        <f t="shared" si="17"/>
        <v>1.9049082836081794</v>
      </c>
      <c r="F222" s="8">
        <f t="shared" si="18"/>
        <v>3.6286755689590602</v>
      </c>
      <c r="G222" s="5">
        <f t="shared" si="19"/>
        <v>4.3293370082004075E-2</v>
      </c>
    </row>
    <row r="223" spans="1:7" ht="15.75" customHeight="1">
      <c r="A223" s="3">
        <v>21772</v>
      </c>
      <c r="B223" s="4">
        <v>48</v>
      </c>
      <c r="C223">
        <f t="shared" si="15"/>
        <v>42.666564201474273</v>
      </c>
      <c r="D223" s="8">
        <f t="shared" si="16"/>
        <v>5.333435798525727</v>
      </c>
      <c r="E223" s="8">
        <f t="shared" si="17"/>
        <v>5.333435798525727</v>
      </c>
      <c r="F223" s="8">
        <f t="shared" si="18"/>
        <v>28.445537416995759</v>
      </c>
      <c r="G223" s="5">
        <f t="shared" si="19"/>
        <v>0.11111324580261932</v>
      </c>
    </row>
    <row r="224" spans="1:7" ht="15.75" customHeight="1">
      <c r="A224" s="3">
        <v>21773</v>
      </c>
      <c r="B224" s="4">
        <v>46</v>
      </c>
      <c r="C224">
        <f t="shared" si="15"/>
        <v>44.266594941031983</v>
      </c>
      <c r="D224" s="8">
        <f t="shared" si="16"/>
        <v>1.7334050589680174</v>
      </c>
      <c r="E224" s="8">
        <f t="shared" si="17"/>
        <v>1.7334050589680174</v>
      </c>
      <c r="F224" s="8">
        <f t="shared" si="18"/>
        <v>3.0046930984559159</v>
      </c>
      <c r="G224" s="5">
        <f t="shared" si="19"/>
        <v>3.768271867321777E-2</v>
      </c>
    </row>
    <row r="225" spans="1:7" ht="15.75" customHeight="1">
      <c r="A225" s="3">
        <v>21774</v>
      </c>
      <c r="B225" s="4">
        <v>44</v>
      </c>
      <c r="C225">
        <f t="shared" si="15"/>
        <v>44.786616458722385</v>
      </c>
      <c r="D225" s="8">
        <f t="shared" si="16"/>
        <v>-0.78661645872238495</v>
      </c>
      <c r="E225" s="8">
        <f t="shared" si="17"/>
        <v>0.78661645872238495</v>
      </c>
      <c r="F225" s="8">
        <f t="shared" si="18"/>
        <v>0.61876545313294551</v>
      </c>
      <c r="G225" s="5">
        <f t="shared" si="19"/>
        <v>1.7877646789145111E-2</v>
      </c>
    </row>
    <row r="226" spans="1:7" ht="15.75" customHeight="1">
      <c r="A226" s="3">
        <v>21775</v>
      </c>
      <c r="B226" s="4">
        <v>37</v>
      </c>
      <c r="C226">
        <f t="shared" si="15"/>
        <v>44.550631521105672</v>
      </c>
      <c r="D226" s="8">
        <f t="shared" si="16"/>
        <v>-7.5506315211056716</v>
      </c>
      <c r="E226" s="8">
        <f t="shared" si="17"/>
        <v>7.5506315211056716</v>
      </c>
      <c r="F226" s="8">
        <f t="shared" si="18"/>
        <v>57.012036367514547</v>
      </c>
      <c r="G226" s="5">
        <f t="shared" si="19"/>
        <v>0.20407112219204518</v>
      </c>
    </row>
    <row r="227" spans="1:7" ht="15.75" customHeight="1">
      <c r="A227" s="3">
        <v>21776</v>
      </c>
      <c r="B227" s="4">
        <v>39</v>
      </c>
      <c r="C227">
        <f t="shared" si="15"/>
        <v>42.285442064773967</v>
      </c>
      <c r="D227" s="8">
        <f t="shared" si="16"/>
        <v>-3.2854420647739673</v>
      </c>
      <c r="E227" s="8">
        <f t="shared" si="17"/>
        <v>3.2854420647739673</v>
      </c>
      <c r="F227" s="8">
        <f t="shared" si="18"/>
        <v>10.79412956098623</v>
      </c>
      <c r="G227" s="5">
        <f t="shared" si="19"/>
        <v>8.4242104224973524E-2</v>
      </c>
    </row>
    <row r="228" spans="1:7" ht="15.75" customHeight="1">
      <c r="A228" s="3">
        <v>21777</v>
      </c>
      <c r="B228" s="4">
        <v>44</v>
      </c>
      <c r="C228">
        <f t="shared" si="15"/>
        <v>41.299809445341779</v>
      </c>
      <c r="D228" s="8">
        <f t="shared" si="16"/>
        <v>2.7001905546582208</v>
      </c>
      <c r="E228" s="8">
        <f t="shared" si="17"/>
        <v>2.7001905546582208</v>
      </c>
      <c r="F228" s="8">
        <f t="shared" si="18"/>
        <v>7.2910290314654702</v>
      </c>
      <c r="G228" s="5">
        <f t="shared" si="19"/>
        <v>6.1367967151323199E-2</v>
      </c>
    </row>
    <row r="229" spans="1:7" ht="15.75" customHeight="1">
      <c r="A229" s="3">
        <v>21778</v>
      </c>
      <c r="B229" s="4">
        <v>45</v>
      </c>
      <c r="C229">
        <f t="shared" si="15"/>
        <v>42.109866611739243</v>
      </c>
      <c r="D229" s="8">
        <f t="shared" si="16"/>
        <v>2.8901333882607574</v>
      </c>
      <c r="E229" s="8">
        <f t="shared" si="17"/>
        <v>2.8901333882607574</v>
      </c>
      <c r="F229" s="8">
        <f t="shared" si="18"/>
        <v>8.3528710019396062</v>
      </c>
      <c r="G229" s="5">
        <f t="shared" si="19"/>
        <v>6.422518640579461E-2</v>
      </c>
    </row>
    <row r="230" spans="1:7" ht="15.75" customHeight="1">
      <c r="A230" s="3">
        <v>21779</v>
      </c>
      <c r="B230" s="4">
        <v>33</v>
      </c>
      <c r="C230">
        <f t="shared" si="15"/>
        <v>42.976906628217463</v>
      </c>
      <c r="D230" s="8">
        <f t="shared" si="16"/>
        <v>-9.9769066282174634</v>
      </c>
      <c r="E230" s="8">
        <f t="shared" si="17"/>
        <v>9.9769066282174634</v>
      </c>
      <c r="F230" s="8">
        <f t="shared" si="18"/>
        <v>99.538665868169559</v>
      </c>
      <c r="G230" s="5">
        <f t="shared" si="19"/>
        <v>0.30233050388537769</v>
      </c>
    </row>
    <row r="231" spans="1:7" ht="15.75" customHeight="1">
      <c r="A231" s="3">
        <v>21780</v>
      </c>
      <c r="B231" s="4">
        <v>44</v>
      </c>
      <c r="C231">
        <f t="shared" si="15"/>
        <v>39.983834639752224</v>
      </c>
      <c r="D231" s="8">
        <f t="shared" si="16"/>
        <v>4.0161653602477756</v>
      </c>
      <c r="E231" s="8">
        <f t="shared" si="17"/>
        <v>4.0161653602477756</v>
      </c>
      <c r="F231" s="8">
        <f t="shared" si="18"/>
        <v>16.129584200854143</v>
      </c>
      <c r="G231" s="5">
        <f t="shared" si="19"/>
        <v>9.1276485460176721E-2</v>
      </c>
    </row>
    <row r="232" spans="1:7" ht="15.75" customHeight="1">
      <c r="A232" s="3">
        <v>21781</v>
      </c>
      <c r="B232" s="4">
        <v>38</v>
      </c>
      <c r="C232">
        <f t="shared" si="15"/>
        <v>41.188684247826558</v>
      </c>
      <c r="D232" s="8">
        <f t="shared" si="16"/>
        <v>-3.1886842478265578</v>
      </c>
      <c r="E232" s="8">
        <f t="shared" si="17"/>
        <v>3.1886842478265578</v>
      </c>
      <c r="F232" s="8">
        <f t="shared" si="18"/>
        <v>10.167707232337222</v>
      </c>
      <c r="G232" s="5">
        <f t="shared" si="19"/>
        <v>8.391274336385679E-2</v>
      </c>
    </row>
    <row r="233" spans="1:7" ht="15.75" customHeight="1">
      <c r="A233" s="3">
        <v>21782</v>
      </c>
      <c r="B233" s="4">
        <v>46</v>
      </c>
      <c r="C233">
        <f t="shared" si="15"/>
        <v>40.232078973478586</v>
      </c>
      <c r="D233" s="8">
        <f t="shared" si="16"/>
        <v>5.7679210265214138</v>
      </c>
      <c r="E233" s="8">
        <f t="shared" si="17"/>
        <v>5.7679210265214138</v>
      </c>
      <c r="F233" s="8">
        <f t="shared" si="18"/>
        <v>33.268912968187841</v>
      </c>
      <c r="G233" s="5">
        <f t="shared" si="19"/>
        <v>0.12538958753307422</v>
      </c>
    </row>
    <row r="234" spans="1:7" ht="15.75" customHeight="1">
      <c r="A234" s="3">
        <v>21783</v>
      </c>
      <c r="B234" s="4">
        <v>46</v>
      </c>
      <c r="C234">
        <f t="shared" si="15"/>
        <v>41.962455281435005</v>
      </c>
      <c r="D234" s="8">
        <f t="shared" si="16"/>
        <v>4.0375447185649946</v>
      </c>
      <c r="E234" s="8">
        <f t="shared" si="17"/>
        <v>4.0375447185649946</v>
      </c>
      <c r="F234" s="8">
        <f t="shared" si="18"/>
        <v>16.301767354412082</v>
      </c>
      <c r="G234" s="5">
        <f t="shared" si="19"/>
        <v>8.777271127315206E-2</v>
      </c>
    </row>
    <row r="235" spans="1:7" ht="15.75" customHeight="1">
      <c r="A235" s="3">
        <v>21784</v>
      </c>
      <c r="B235" s="4">
        <v>40</v>
      </c>
      <c r="C235">
        <f t="shared" si="15"/>
        <v>43.173718697004503</v>
      </c>
      <c r="D235" s="8">
        <f t="shared" si="16"/>
        <v>-3.173718697004503</v>
      </c>
      <c r="E235" s="8">
        <f t="shared" si="17"/>
        <v>3.173718697004503</v>
      </c>
      <c r="F235" s="8">
        <f t="shared" si="18"/>
        <v>10.072490367715961</v>
      </c>
      <c r="G235" s="5">
        <f t="shared" si="19"/>
        <v>7.9342967425112571E-2</v>
      </c>
    </row>
    <row r="236" spans="1:7" ht="15.75" customHeight="1">
      <c r="A236" s="3">
        <v>21785</v>
      </c>
      <c r="B236" s="4">
        <v>39</v>
      </c>
      <c r="C236">
        <f t="shared" si="15"/>
        <v>42.221603087903148</v>
      </c>
      <c r="D236" s="8">
        <f t="shared" si="16"/>
        <v>-3.2216030879031479</v>
      </c>
      <c r="E236" s="8">
        <f t="shared" si="17"/>
        <v>3.2216030879031479</v>
      </c>
      <c r="F236" s="8">
        <f t="shared" si="18"/>
        <v>10.378726455987097</v>
      </c>
      <c r="G236" s="5">
        <f t="shared" si="19"/>
        <v>8.2605207382131993E-2</v>
      </c>
    </row>
    <row r="237" spans="1:7" ht="15.75" customHeight="1">
      <c r="A237" s="3">
        <v>21786</v>
      </c>
      <c r="B237" s="4">
        <v>44</v>
      </c>
      <c r="C237">
        <f t="shared" si="15"/>
        <v>41.255122161532199</v>
      </c>
      <c r="D237" s="8">
        <f t="shared" si="16"/>
        <v>2.7448778384678008</v>
      </c>
      <c r="E237" s="8">
        <f t="shared" si="17"/>
        <v>2.7448778384678008</v>
      </c>
      <c r="F237" s="8">
        <f t="shared" si="18"/>
        <v>7.5343543481116662</v>
      </c>
      <c r="G237" s="5">
        <f t="shared" si="19"/>
        <v>6.2383587237904561E-2</v>
      </c>
    </row>
    <row r="238" spans="1:7" ht="15.75" customHeight="1">
      <c r="A238" s="3">
        <v>21787</v>
      </c>
      <c r="B238" s="4">
        <v>48</v>
      </c>
      <c r="C238">
        <f t="shared" si="15"/>
        <v>42.078585513072539</v>
      </c>
      <c r="D238" s="8">
        <f t="shared" si="16"/>
        <v>5.9214144869274605</v>
      </c>
      <c r="E238" s="8">
        <f t="shared" si="17"/>
        <v>5.9214144869274605</v>
      </c>
      <c r="F238" s="8">
        <f t="shared" si="18"/>
        <v>35.063149525994397</v>
      </c>
      <c r="G238" s="5">
        <f t="shared" si="19"/>
        <v>0.12336280181098876</v>
      </c>
    </row>
    <row r="239" spans="1:7" ht="15.75" customHeight="1">
      <c r="A239" s="3">
        <v>21788</v>
      </c>
      <c r="B239" s="4">
        <v>50</v>
      </c>
      <c r="C239">
        <f t="shared" si="15"/>
        <v>43.855009859150769</v>
      </c>
      <c r="D239" s="8">
        <f t="shared" si="16"/>
        <v>6.1449901408492309</v>
      </c>
      <c r="E239" s="8">
        <f t="shared" si="17"/>
        <v>6.1449901408492309</v>
      </c>
      <c r="F239" s="8">
        <f t="shared" si="18"/>
        <v>37.76090383113425</v>
      </c>
      <c r="G239" s="5">
        <f t="shared" si="19"/>
        <v>0.12289980281698462</v>
      </c>
    </row>
    <row r="240" spans="1:7" ht="15.75" customHeight="1">
      <c r="A240" s="3">
        <v>21789</v>
      </c>
      <c r="B240" s="4">
        <v>41</v>
      </c>
      <c r="C240">
        <f t="shared" si="15"/>
        <v>45.698506901405537</v>
      </c>
      <c r="D240" s="8">
        <f t="shared" si="16"/>
        <v>-4.698506901405537</v>
      </c>
      <c r="E240" s="8">
        <f t="shared" si="17"/>
        <v>4.698506901405537</v>
      </c>
      <c r="F240" s="8">
        <f t="shared" si="18"/>
        <v>22.07596710255546</v>
      </c>
      <c r="G240" s="5">
        <f t="shared" si="19"/>
        <v>0.11459772930257407</v>
      </c>
    </row>
    <row r="241" spans="1:7" ht="15.75" customHeight="1">
      <c r="A241" s="3">
        <v>21790</v>
      </c>
      <c r="B241" s="4">
        <v>42</v>
      </c>
      <c r="C241">
        <f t="shared" si="15"/>
        <v>44.288954830983876</v>
      </c>
      <c r="D241" s="8">
        <f t="shared" si="16"/>
        <v>-2.2889548309838759</v>
      </c>
      <c r="E241" s="8">
        <f t="shared" si="17"/>
        <v>2.2889548309838759</v>
      </c>
      <c r="F241" s="8">
        <f t="shared" si="18"/>
        <v>5.2393142182844237</v>
      </c>
      <c r="G241" s="5">
        <f t="shared" si="19"/>
        <v>5.4498924547235136E-2</v>
      </c>
    </row>
    <row r="242" spans="1:7" ht="15.75" customHeight="1">
      <c r="A242" s="3">
        <v>21791</v>
      </c>
      <c r="B242" s="4">
        <v>51</v>
      </c>
      <c r="C242">
        <f t="shared" si="15"/>
        <v>43.60226838168871</v>
      </c>
      <c r="D242" s="8">
        <f t="shared" si="16"/>
        <v>7.3977316183112904</v>
      </c>
      <c r="E242" s="8">
        <f t="shared" si="17"/>
        <v>7.3977316183112904</v>
      </c>
      <c r="F242" s="8">
        <f t="shared" si="18"/>
        <v>54.726433096562587</v>
      </c>
      <c r="G242" s="5">
        <f t="shared" si="19"/>
        <v>0.14505356114335863</v>
      </c>
    </row>
    <row r="243" spans="1:7" ht="15.75" customHeight="1">
      <c r="A243" s="3">
        <v>21792</v>
      </c>
      <c r="B243" s="4">
        <v>41</v>
      </c>
      <c r="C243">
        <f t="shared" si="15"/>
        <v>45.821587867182096</v>
      </c>
      <c r="D243" s="8">
        <f t="shared" si="16"/>
        <v>-4.821587867182096</v>
      </c>
      <c r="E243" s="8">
        <f t="shared" si="17"/>
        <v>4.821587867182096</v>
      </c>
      <c r="F243" s="8">
        <f t="shared" si="18"/>
        <v>23.247709560957592</v>
      </c>
      <c r="G243" s="5">
        <f t="shared" si="19"/>
        <v>0.1175997040776121</v>
      </c>
    </row>
    <row r="244" spans="1:7" ht="15.75" customHeight="1">
      <c r="A244" s="3">
        <v>21793</v>
      </c>
      <c r="B244" s="4">
        <v>44</v>
      </c>
      <c r="C244">
        <f t="shared" si="15"/>
        <v>44.375111507027462</v>
      </c>
      <c r="D244" s="8">
        <f t="shared" si="16"/>
        <v>-0.37511150702746221</v>
      </c>
      <c r="E244" s="8">
        <f t="shared" si="17"/>
        <v>0.37511150702746221</v>
      </c>
      <c r="F244" s="8">
        <f t="shared" si="18"/>
        <v>0.14070864270441383</v>
      </c>
      <c r="G244" s="5">
        <f t="shared" si="19"/>
        <v>8.5252615233514135E-3</v>
      </c>
    </row>
    <row r="245" spans="1:7" ht="15.75" customHeight="1">
      <c r="A245" s="3">
        <v>21794</v>
      </c>
      <c r="B245" s="4">
        <v>38</v>
      </c>
      <c r="C245">
        <f t="shared" si="15"/>
        <v>44.262578054919217</v>
      </c>
      <c r="D245" s="8">
        <f t="shared" si="16"/>
        <v>-6.2625780549192172</v>
      </c>
      <c r="E245" s="8">
        <f t="shared" si="17"/>
        <v>6.2625780549192172</v>
      </c>
      <c r="F245" s="8">
        <f t="shared" si="18"/>
        <v>39.219883893955767</v>
      </c>
      <c r="G245" s="5">
        <f t="shared" si="19"/>
        <v>0.16480468565576886</v>
      </c>
    </row>
    <row r="246" spans="1:7" ht="15.75" customHeight="1">
      <c r="A246" s="3">
        <v>21795</v>
      </c>
      <c r="B246" s="4">
        <v>68</v>
      </c>
      <c r="C246">
        <f t="shared" si="15"/>
        <v>42.383804638443451</v>
      </c>
      <c r="D246" s="8">
        <f t="shared" si="16"/>
        <v>25.616195361556549</v>
      </c>
      <c r="E246" s="8">
        <f t="shared" si="17"/>
        <v>25.616195361556549</v>
      </c>
      <c r="F246" s="8">
        <f t="shared" si="18"/>
        <v>656.18946480143131</v>
      </c>
      <c r="G246" s="5">
        <f t="shared" si="19"/>
        <v>0.37670875531700809</v>
      </c>
    </row>
    <row r="247" spans="1:7" ht="15.75" customHeight="1">
      <c r="A247" s="3">
        <v>21796</v>
      </c>
      <c r="B247" s="4">
        <v>40</v>
      </c>
      <c r="C247">
        <f t="shared" si="15"/>
        <v>50.068663246910411</v>
      </c>
      <c r="D247" s="8">
        <f t="shared" si="16"/>
        <v>-10.068663246910411</v>
      </c>
      <c r="E247" s="8">
        <f t="shared" si="17"/>
        <v>10.068663246910411</v>
      </c>
      <c r="F247" s="8">
        <f t="shared" si="18"/>
        <v>101.37797957968451</v>
      </c>
      <c r="G247" s="5">
        <f t="shared" si="19"/>
        <v>0.2517165811727603</v>
      </c>
    </row>
    <row r="248" spans="1:7" ht="15.75" customHeight="1">
      <c r="A248" s="3">
        <v>21797</v>
      </c>
      <c r="B248" s="4">
        <v>42</v>
      </c>
      <c r="C248">
        <f t="shared" si="15"/>
        <v>47.048064272837287</v>
      </c>
      <c r="D248" s="8">
        <f t="shared" si="16"/>
        <v>-5.0480642728372871</v>
      </c>
      <c r="E248" s="8">
        <f t="shared" si="17"/>
        <v>5.0480642728372871</v>
      </c>
      <c r="F248" s="8">
        <f t="shared" si="18"/>
        <v>25.482952902696248</v>
      </c>
      <c r="G248" s="5">
        <f t="shared" si="19"/>
        <v>0.12019200649612588</v>
      </c>
    </row>
    <row r="249" spans="1:7" ht="15.75" customHeight="1">
      <c r="A249" s="3">
        <v>21798</v>
      </c>
      <c r="B249" s="4">
        <v>51</v>
      </c>
      <c r="C249">
        <f t="shared" si="15"/>
        <v>45.533644990986097</v>
      </c>
      <c r="D249" s="8">
        <f t="shared" si="16"/>
        <v>5.4663550090139026</v>
      </c>
      <c r="E249" s="8">
        <f t="shared" si="17"/>
        <v>5.4663550090139026</v>
      </c>
      <c r="F249" s="8">
        <f t="shared" si="18"/>
        <v>29.881037084571382</v>
      </c>
      <c r="G249" s="5">
        <f t="shared" si="19"/>
        <v>0.1071834315492922</v>
      </c>
    </row>
    <row r="250" spans="1:7" ht="15.75" customHeight="1">
      <c r="A250" s="3">
        <v>21799</v>
      </c>
      <c r="B250" s="4">
        <v>44</v>
      </c>
      <c r="C250">
        <f t="shared" si="15"/>
        <v>47.173551493690262</v>
      </c>
      <c r="D250" s="8">
        <f t="shared" si="16"/>
        <v>-3.1735514936902618</v>
      </c>
      <c r="E250" s="8">
        <f t="shared" si="17"/>
        <v>3.1735514936902618</v>
      </c>
      <c r="F250" s="8">
        <f t="shared" si="18"/>
        <v>10.071429083103691</v>
      </c>
      <c r="G250" s="5">
        <f t="shared" si="19"/>
        <v>7.212617031114231E-2</v>
      </c>
    </row>
    <row r="251" spans="1:7" ht="15.75" customHeight="1">
      <c r="A251" s="3">
        <v>21800</v>
      </c>
      <c r="B251" s="4">
        <v>45</v>
      </c>
      <c r="C251">
        <f t="shared" si="15"/>
        <v>46.221486045583177</v>
      </c>
      <c r="D251" s="8">
        <f t="shared" si="16"/>
        <v>-1.2214860455831769</v>
      </c>
      <c r="E251" s="8">
        <f t="shared" si="17"/>
        <v>1.2214860455831769</v>
      </c>
      <c r="F251" s="8">
        <f t="shared" si="18"/>
        <v>1.4920281595544269</v>
      </c>
      <c r="G251" s="5">
        <f t="shared" si="19"/>
        <v>2.7144134346292818E-2</v>
      </c>
    </row>
    <row r="252" spans="1:7" ht="15.75" customHeight="1">
      <c r="A252" s="3">
        <v>21801</v>
      </c>
      <c r="B252" s="4">
        <v>36</v>
      </c>
      <c r="C252">
        <f t="shared" si="15"/>
        <v>45.85504023190822</v>
      </c>
      <c r="D252" s="8">
        <f t="shared" si="16"/>
        <v>-9.8550402319082195</v>
      </c>
      <c r="E252" s="8">
        <f t="shared" si="17"/>
        <v>9.8550402319082195</v>
      </c>
      <c r="F252" s="8">
        <f t="shared" si="18"/>
        <v>97.121817972529612</v>
      </c>
      <c r="G252" s="5">
        <f t="shared" si="19"/>
        <v>0.27375111755300607</v>
      </c>
    </row>
    <row r="253" spans="1:7" ht="15.75" customHeight="1">
      <c r="A253" s="3">
        <v>21802</v>
      </c>
      <c r="B253" s="4">
        <v>57</v>
      </c>
      <c r="C253">
        <f t="shared" si="15"/>
        <v>42.898528162335751</v>
      </c>
      <c r="D253" s="8">
        <f t="shared" si="16"/>
        <v>14.101471837664249</v>
      </c>
      <c r="E253" s="8">
        <f t="shared" si="17"/>
        <v>14.101471837664249</v>
      </c>
      <c r="F253" s="8">
        <f t="shared" si="18"/>
        <v>198.85150798843793</v>
      </c>
      <c r="G253" s="5">
        <f t="shared" si="19"/>
        <v>0.24739424276603947</v>
      </c>
    </row>
    <row r="254" spans="1:7" ht="15.75" customHeight="1">
      <c r="A254" s="3">
        <v>21803</v>
      </c>
      <c r="B254" s="4">
        <v>44</v>
      </c>
      <c r="C254">
        <f t="shared" si="15"/>
        <v>47.128969713635023</v>
      </c>
      <c r="D254" s="8">
        <f t="shared" si="16"/>
        <v>-3.1289697136350227</v>
      </c>
      <c r="E254" s="8">
        <f t="shared" si="17"/>
        <v>3.1289697136350227</v>
      </c>
      <c r="F254" s="8">
        <f t="shared" si="18"/>
        <v>9.7904514688452355</v>
      </c>
      <c r="G254" s="5">
        <f t="shared" si="19"/>
        <v>7.1112948037159604E-2</v>
      </c>
    </row>
    <row r="255" spans="1:7" ht="15.75" customHeight="1">
      <c r="A255" s="3">
        <v>21804</v>
      </c>
      <c r="B255" s="4">
        <v>42</v>
      </c>
      <c r="C255">
        <f t="shared" si="15"/>
        <v>46.190278799544515</v>
      </c>
      <c r="D255" s="8">
        <f t="shared" si="16"/>
        <v>-4.1902787995445152</v>
      </c>
      <c r="E255" s="8">
        <f t="shared" si="17"/>
        <v>4.1902787995445152</v>
      </c>
      <c r="F255" s="8">
        <f t="shared" si="18"/>
        <v>17.558436417912223</v>
      </c>
      <c r="G255" s="5">
        <f t="shared" si="19"/>
        <v>9.9768542846297978E-2</v>
      </c>
    </row>
    <row r="256" spans="1:7" ht="15.75" customHeight="1">
      <c r="A256" s="3">
        <v>21805</v>
      </c>
      <c r="B256" s="4">
        <v>53</v>
      </c>
      <c r="C256">
        <f t="shared" si="15"/>
        <v>44.933195159681162</v>
      </c>
      <c r="D256" s="8">
        <f t="shared" si="16"/>
        <v>8.0668048403188379</v>
      </c>
      <c r="E256" s="8">
        <f t="shared" si="17"/>
        <v>8.0668048403188379</v>
      </c>
      <c r="F256" s="8">
        <f t="shared" si="18"/>
        <v>65.073340331791428</v>
      </c>
      <c r="G256" s="5">
        <f t="shared" si="19"/>
        <v>0.1522038649116762</v>
      </c>
    </row>
    <row r="257" spans="1:7" ht="15.75" customHeight="1">
      <c r="A257" s="3">
        <v>21806</v>
      </c>
      <c r="B257" s="4">
        <v>42</v>
      </c>
      <c r="C257">
        <f t="shared" si="15"/>
        <v>47.353236611776808</v>
      </c>
      <c r="D257" s="8">
        <f t="shared" si="16"/>
        <v>-5.3532366117768078</v>
      </c>
      <c r="E257" s="8">
        <f t="shared" si="17"/>
        <v>5.3532366117768078</v>
      </c>
      <c r="F257" s="8">
        <f t="shared" si="18"/>
        <v>28.657142221667637</v>
      </c>
      <c r="G257" s="5">
        <f t="shared" si="19"/>
        <v>0.12745801456611447</v>
      </c>
    </row>
    <row r="258" spans="1:7" ht="15.75" customHeight="1">
      <c r="A258" s="3">
        <v>21807</v>
      </c>
      <c r="B258" s="4">
        <v>34</v>
      </c>
      <c r="C258">
        <f t="shared" si="15"/>
        <v>45.747265628243767</v>
      </c>
      <c r="D258" s="8">
        <f t="shared" si="16"/>
        <v>-11.747265628243767</v>
      </c>
      <c r="E258" s="8">
        <f t="shared" si="17"/>
        <v>11.747265628243767</v>
      </c>
      <c r="F258" s="8">
        <f t="shared" si="18"/>
        <v>137.99824974051742</v>
      </c>
      <c r="G258" s="5">
        <f t="shared" si="19"/>
        <v>0.34550781259540492</v>
      </c>
    </row>
    <row r="259" spans="1:7" ht="15.75" customHeight="1">
      <c r="A259" s="3">
        <v>21808</v>
      </c>
      <c r="B259" s="4">
        <v>40</v>
      </c>
      <c r="C259">
        <f t="shared" si="15"/>
        <v>42.223085939770641</v>
      </c>
      <c r="D259" s="8">
        <f t="shared" si="16"/>
        <v>-2.2230859397706411</v>
      </c>
      <c r="E259" s="8">
        <f t="shared" si="17"/>
        <v>2.2230859397706411</v>
      </c>
      <c r="F259" s="8">
        <f t="shared" si="18"/>
        <v>4.942111095605914</v>
      </c>
      <c r="G259" s="5">
        <f t="shared" si="19"/>
        <v>5.5577148494266024E-2</v>
      </c>
    </row>
    <row r="260" spans="1:7" ht="15.75" customHeight="1">
      <c r="A260" s="3">
        <v>21809</v>
      </c>
      <c r="B260" s="4">
        <v>56</v>
      </c>
      <c r="C260">
        <f t="shared" ref="C260:C323" si="20">0.3*B259+0.7*C259</f>
        <v>41.556160157839443</v>
      </c>
      <c r="D260" s="8">
        <f t="shared" ref="D260:D323" si="21">B260-C260</f>
        <v>14.443839842160557</v>
      </c>
      <c r="E260" s="8">
        <f t="shared" ref="E260:E323" si="22">ABS(D260)</f>
        <v>14.443839842160557</v>
      </c>
      <c r="F260" s="8">
        <f t="shared" ref="F260:F323" si="23">E260^2</f>
        <v>208.62450938598471</v>
      </c>
      <c r="G260" s="5">
        <f t="shared" ref="G260:G323" si="24">E260/B260</f>
        <v>0.25792571146715282</v>
      </c>
    </row>
    <row r="261" spans="1:7" ht="15.75" customHeight="1">
      <c r="A261" s="3">
        <v>21810</v>
      </c>
      <c r="B261" s="4">
        <v>44</v>
      </c>
      <c r="C261">
        <f t="shared" si="20"/>
        <v>45.889312110487609</v>
      </c>
      <c r="D261" s="8">
        <f t="shared" si="21"/>
        <v>-1.8893121104876087</v>
      </c>
      <c r="E261" s="8">
        <f t="shared" si="22"/>
        <v>1.8893121104876087</v>
      </c>
      <c r="F261" s="8">
        <f t="shared" si="23"/>
        <v>3.5695002508351421</v>
      </c>
      <c r="G261" s="5">
        <f t="shared" si="24"/>
        <v>4.2938911601991106E-2</v>
      </c>
    </row>
    <row r="262" spans="1:7" ht="15.75" customHeight="1">
      <c r="A262" s="3">
        <v>21811</v>
      </c>
      <c r="B262" s="4">
        <v>53</v>
      </c>
      <c r="C262">
        <f t="shared" si="20"/>
        <v>45.322518477341319</v>
      </c>
      <c r="D262" s="8">
        <f t="shared" si="21"/>
        <v>7.677481522658681</v>
      </c>
      <c r="E262" s="8">
        <f t="shared" si="22"/>
        <v>7.677481522658681</v>
      </c>
      <c r="F262" s="8">
        <f t="shared" si="23"/>
        <v>58.943722530765456</v>
      </c>
      <c r="G262" s="5">
        <f t="shared" si="24"/>
        <v>0.14485814193695626</v>
      </c>
    </row>
    <row r="263" spans="1:7" ht="15.75" customHeight="1">
      <c r="A263" s="3">
        <v>21812</v>
      </c>
      <c r="B263" s="4">
        <v>55</v>
      </c>
      <c r="C263">
        <f t="shared" si="20"/>
        <v>47.625762934138919</v>
      </c>
      <c r="D263" s="8">
        <f t="shared" si="21"/>
        <v>7.374237065861081</v>
      </c>
      <c r="E263" s="8">
        <f t="shared" si="22"/>
        <v>7.374237065861081</v>
      </c>
      <c r="F263" s="8">
        <f t="shared" si="23"/>
        <v>54.379372303519446</v>
      </c>
      <c r="G263" s="5">
        <f t="shared" si="24"/>
        <v>0.13407703756111056</v>
      </c>
    </row>
    <row r="264" spans="1:7" ht="15.75" customHeight="1">
      <c r="A264" s="3">
        <v>21813</v>
      </c>
      <c r="B264" s="4">
        <v>39</v>
      </c>
      <c r="C264">
        <f t="shared" si="20"/>
        <v>49.838034053897239</v>
      </c>
      <c r="D264" s="8">
        <f t="shared" si="21"/>
        <v>-10.838034053897239</v>
      </c>
      <c r="E264" s="8">
        <f t="shared" si="22"/>
        <v>10.838034053897239</v>
      </c>
      <c r="F264" s="8">
        <f t="shared" si="23"/>
        <v>117.46298215343622</v>
      </c>
      <c r="G264" s="5">
        <f t="shared" si="24"/>
        <v>0.2778983090742882</v>
      </c>
    </row>
    <row r="265" spans="1:7" ht="15.75" customHeight="1">
      <c r="A265" s="3">
        <v>21814</v>
      </c>
      <c r="B265" s="4">
        <v>59</v>
      </c>
      <c r="C265">
        <f t="shared" si="20"/>
        <v>46.586623837728069</v>
      </c>
      <c r="D265" s="8">
        <f t="shared" si="21"/>
        <v>12.413376162271931</v>
      </c>
      <c r="E265" s="8">
        <f t="shared" si="22"/>
        <v>12.413376162271931</v>
      </c>
      <c r="F265" s="8">
        <f t="shared" si="23"/>
        <v>154.091907746061</v>
      </c>
      <c r="G265" s="5">
        <f t="shared" si="24"/>
        <v>0.21039620614020221</v>
      </c>
    </row>
    <row r="266" spans="1:7" ht="15.75" customHeight="1">
      <c r="A266" s="3">
        <v>21815</v>
      </c>
      <c r="B266" s="4">
        <v>55</v>
      </c>
      <c r="C266">
        <f t="shared" si="20"/>
        <v>50.310636686409651</v>
      </c>
      <c r="D266" s="8">
        <f t="shared" si="21"/>
        <v>4.6893633135903485</v>
      </c>
      <c r="E266" s="8">
        <f t="shared" si="22"/>
        <v>4.6893633135903485</v>
      </c>
      <c r="F266" s="8">
        <f t="shared" si="23"/>
        <v>21.990128286847053</v>
      </c>
      <c r="G266" s="5">
        <f t="shared" si="24"/>
        <v>8.5261151156188153E-2</v>
      </c>
    </row>
    <row r="267" spans="1:7" ht="15.75" customHeight="1">
      <c r="A267" s="3">
        <v>21816</v>
      </c>
      <c r="B267" s="4">
        <v>73</v>
      </c>
      <c r="C267">
        <f t="shared" si="20"/>
        <v>51.717445680486755</v>
      </c>
      <c r="D267" s="8">
        <f t="shared" si="21"/>
        <v>21.282554319513245</v>
      </c>
      <c r="E267" s="8">
        <f t="shared" si="22"/>
        <v>21.282554319513245</v>
      </c>
      <c r="F267" s="8">
        <f t="shared" si="23"/>
        <v>452.9471183630319</v>
      </c>
      <c r="G267" s="5">
        <f t="shared" si="24"/>
        <v>0.29154183999333211</v>
      </c>
    </row>
    <row r="268" spans="1:7" ht="15.75" customHeight="1">
      <c r="A268" s="3">
        <v>21817</v>
      </c>
      <c r="B268" s="4">
        <v>55</v>
      </c>
      <c r="C268">
        <f t="shared" si="20"/>
        <v>58.102211976340726</v>
      </c>
      <c r="D268" s="8">
        <f t="shared" si="21"/>
        <v>-3.1022119763407261</v>
      </c>
      <c r="E268" s="8">
        <f t="shared" si="22"/>
        <v>3.1022119763407261</v>
      </c>
      <c r="F268" s="8">
        <f t="shared" si="23"/>
        <v>9.6237191461518332</v>
      </c>
      <c r="G268" s="5">
        <f t="shared" si="24"/>
        <v>5.640385411528593E-2</v>
      </c>
    </row>
    <row r="269" spans="1:7" ht="15.75" customHeight="1">
      <c r="A269" s="3">
        <v>21818</v>
      </c>
      <c r="B269" s="4">
        <v>44</v>
      </c>
      <c r="C269">
        <f t="shared" si="20"/>
        <v>57.171548383438505</v>
      </c>
      <c r="D269" s="8">
        <f t="shared" si="21"/>
        <v>-13.171548383438505</v>
      </c>
      <c r="E269" s="8">
        <f t="shared" si="22"/>
        <v>13.171548383438505</v>
      </c>
      <c r="F269" s="8">
        <f t="shared" si="23"/>
        <v>173.48968681726151</v>
      </c>
      <c r="G269" s="5">
        <f t="shared" si="24"/>
        <v>0.29935337235087511</v>
      </c>
    </row>
    <row r="270" spans="1:7" ht="15.75" customHeight="1">
      <c r="A270" s="3">
        <v>21819</v>
      </c>
      <c r="B270" s="4">
        <v>43</v>
      </c>
      <c r="C270">
        <f t="shared" si="20"/>
        <v>53.220083868406945</v>
      </c>
      <c r="D270" s="8">
        <f t="shared" si="21"/>
        <v>-10.220083868406945</v>
      </c>
      <c r="E270" s="8">
        <f t="shared" si="22"/>
        <v>10.220083868406945</v>
      </c>
      <c r="F270" s="8">
        <f t="shared" si="23"/>
        <v>104.45011427727187</v>
      </c>
      <c r="G270" s="5">
        <f t="shared" si="24"/>
        <v>0.23767636903271966</v>
      </c>
    </row>
    <row r="271" spans="1:7" ht="15.75" customHeight="1">
      <c r="A271" s="3">
        <v>21820</v>
      </c>
      <c r="B271" s="4">
        <v>40</v>
      </c>
      <c r="C271">
        <f t="shared" si="20"/>
        <v>50.154058707884857</v>
      </c>
      <c r="D271" s="8">
        <f t="shared" si="21"/>
        <v>-10.154058707884857</v>
      </c>
      <c r="E271" s="8">
        <f t="shared" si="22"/>
        <v>10.154058707884857</v>
      </c>
      <c r="F271" s="8">
        <f t="shared" si="23"/>
        <v>103.1049082431723</v>
      </c>
      <c r="G271" s="5">
        <f t="shared" si="24"/>
        <v>0.25385146769712141</v>
      </c>
    </row>
    <row r="272" spans="1:7" ht="15.75" customHeight="1">
      <c r="A272" s="3">
        <v>21821</v>
      </c>
      <c r="B272" s="4">
        <v>47</v>
      </c>
      <c r="C272">
        <f t="shared" si="20"/>
        <v>47.107841095519397</v>
      </c>
      <c r="D272" s="8">
        <f t="shared" si="21"/>
        <v>-0.10784109551939736</v>
      </c>
      <c r="E272" s="8">
        <f t="shared" si="22"/>
        <v>0.10784109551939736</v>
      </c>
      <c r="F272" s="8">
        <f t="shared" si="23"/>
        <v>1.1629701882823784E-2</v>
      </c>
      <c r="G272" s="5">
        <f t="shared" si="24"/>
        <v>2.2944913940297308E-3</v>
      </c>
    </row>
    <row r="273" spans="1:7" ht="15.75" customHeight="1">
      <c r="A273" s="3">
        <v>21822</v>
      </c>
      <c r="B273" s="4">
        <v>51</v>
      </c>
      <c r="C273">
        <f t="shared" si="20"/>
        <v>47.075488766863579</v>
      </c>
      <c r="D273" s="8">
        <f t="shared" si="21"/>
        <v>3.9245112331364211</v>
      </c>
      <c r="E273" s="8">
        <f t="shared" si="22"/>
        <v>3.9245112331364211</v>
      </c>
      <c r="F273" s="8">
        <f t="shared" si="23"/>
        <v>15.401788419013952</v>
      </c>
      <c r="G273" s="5">
        <f t="shared" si="24"/>
        <v>7.695120064973375E-2</v>
      </c>
    </row>
    <row r="274" spans="1:7" ht="15.75" customHeight="1">
      <c r="A274" s="3">
        <v>21823</v>
      </c>
      <c r="B274" s="4">
        <v>56</v>
      </c>
      <c r="C274">
        <f t="shared" si="20"/>
        <v>48.252842136804503</v>
      </c>
      <c r="D274" s="8">
        <f t="shared" si="21"/>
        <v>7.7471578631954969</v>
      </c>
      <c r="E274" s="8">
        <f t="shared" si="22"/>
        <v>7.7471578631954969</v>
      </c>
      <c r="F274" s="8">
        <f t="shared" si="23"/>
        <v>60.018454957271821</v>
      </c>
      <c r="G274" s="5">
        <f t="shared" si="24"/>
        <v>0.13834210469991959</v>
      </c>
    </row>
    <row r="275" spans="1:7" ht="15.75" customHeight="1">
      <c r="A275" s="3">
        <v>21824</v>
      </c>
      <c r="B275" s="4">
        <v>49</v>
      </c>
      <c r="C275">
        <f t="shared" si="20"/>
        <v>50.576989495763144</v>
      </c>
      <c r="D275" s="8">
        <f t="shared" si="21"/>
        <v>-1.5769894957631436</v>
      </c>
      <c r="E275" s="8">
        <f t="shared" si="22"/>
        <v>1.5769894957631436</v>
      </c>
      <c r="F275" s="8">
        <f t="shared" si="23"/>
        <v>2.4868958697472938</v>
      </c>
      <c r="G275" s="5">
        <f t="shared" si="24"/>
        <v>3.2183459097207011E-2</v>
      </c>
    </row>
    <row r="276" spans="1:7" ht="15.75" customHeight="1">
      <c r="A276" s="3">
        <v>21825</v>
      </c>
      <c r="B276" s="4">
        <v>54</v>
      </c>
      <c r="C276">
        <f t="shared" si="20"/>
        <v>50.103892647034201</v>
      </c>
      <c r="D276" s="8">
        <f t="shared" si="21"/>
        <v>3.8961073529657995</v>
      </c>
      <c r="E276" s="8">
        <f t="shared" si="22"/>
        <v>3.8961073529657995</v>
      </c>
      <c r="F276" s="8">
        <f t="shared" si="23"/>
        <v>15.179652505834168</v>
      </c>
      <c r="G276" s="5">
        <f t="shared" si="24"/>
        <v>7.215013616603333E-2</v>
      </c>
    </row>
    <row r="277" spans="1:7" ht="15.75" customHeight="1">
      <c r="A277" s="3">
        <v>21826</v>
      </c>
      <c r="B277" s="4">
        <v>56</v>
      </c>
      <c r="C277">
        <f t="shared" si="20"/>
        <v>51.272724852923943</v>
      </c>
      <c r="D277" s="8">
        <f t="shared" si="21"/>
        <v>4.7272751470760568</v>
      </c>
      <c r="E277" s="8">
        <f t="shared" si="22"/>
        <v>4.7272751470760568</v>
      </c>
      <c r="F277" s="8">
        <f t="shared" si="23"/>
        <v>22.347130316162954</v>
      </c>
      <c r="G277" s="5">
        <f t="shared" si="24"/>
        <v>8.4415627626358153E-2</v>
      </c>
    </row>
    <row r="278" spans="1:7" ht="15.75" customHeight="1">
      <c r="A278" s="3">
        <v>21827</v>
      </c>
      <c r="B278" s="4">
        <v>47</v>
      </c>
      <c r="C278">
        <f t="shared" si="20"/>
        <v>52.690907397046757</v>
      </c>
      <c r="D278" s="8">
        <f t="shared" si="21"/>
        <v>-5.6909073970467574</v>
      </c>
      <c r="E278" s="8">
        <f t="shared" si="22"/>
        <v>5.6909073970467574</v>
      </c>
      <c r="F278" s="8">
        <f t="shared" si="23"/>
        <v>32.386427001761497</v>
      </c>
      <c r="G278" s="5">
        <f t="shared" si="24"/>
        <v>0.12108313610737782</v>
      </c>
    </row>
    <row r="279" spans="1:7" ht="15.75" customHeight="1">
      <c r="A279" s="3">
        <v>21828</v>
      </c>
      <c r="B279" s="4">
        <v>44</v>
      </c>
      <c r="C279">
        <f t="shared" si="20"/>
        <v>50.983635177932726</v>
      </c>
      <c r="D279" s="8">
        <f t="shared" si="21"/>
        <v>-6.9836351779327259</v>
      </c>
      <c r="E279" s="8">
        <f t="shared" si="22"/>
        <v>6.9836351779327259</v>
      </c>
      <c r="F279" s="8">
        <f t="shared" si="23"/>
        <v>48.771160298459456</v>
      </c>
      <c r="G279" s="5">
        <f t="shared" si="24"/>
        <v>0.15871898131665285</v>
      </c>
    </row>
    <row r="280" spans="1:7" ht="15.75" customHeight="1">
      <c r="A280" s="3">
        <v>21829</v>
      </c>
      <c r="B280" s="4">
        <v>43</v>
      </c>
      <c r="C280">
        <f t="shared" si="20"/>
        <v>48.888544624552907</v>
      </c>
      <c r="D280" s="8">
        <f t="shared" si="21"/>
        <v>-5.8885446245529067</v>
      </c>
      <c r="E280" s="8">
        <f t="shared" si="22"/>
        <v>5.8885446245529067</v>
      </c>
      <c r="F280" s="8">
        <f t="shared" si="23"/>
        <v>34.674957795350934</v>
      </c>
      <c r="G280" s="5">
        <f t="shared" si="24"/>
        <v>0.13694289824541644</v>
      </c>
    </row>
    <row r="281" spans="1:7" ht="15.75" customHeight="1">
      <c r="A281" s="3">
        <v>21830</v>
      </c>
      <c r="B281" s="4">
        <v>42</v>
      </c>
      <c r="C281">
        <f t="shared" si="20"/>
        <v>47.121981237187029</v>
      </c>
      <c r="D281" s="8">
        <f t="shared" si="21"/>
        <v>-5.121981237187029</v>
      </c>
      <c r="E281" s="8">
        <f t="shared" si="22"/>
        <v>5.121981237187029</v>
      </c>
      <c r="F281" s="8">
        <f t="shared" si="23"/>
        <v>26.234691794095969</v>
      </c>
      <c r="G281" s="5">
        <f t="shared" si="24"/>
        <v>0.12195193421873879</v>
      </c>
    </row>
    <row r="282" spans="1:7" ht="15.75" customHeight="1">
      <c r="A282" s="3">
        <v>21831</v>
      </c>
      <c r="B282" s="4">
        <v>45</v>
      </c>
      <c r="C282">
        <f t="shared" si="20"/>
        <v>45.585386866030923</v>
      </c>
      <c r="D282" s="8">
        <f t="shared" si="21"/>
        <v>-0.58538686603092316</v>
      </c>
      <c r="E282" s="8">
        <f t="shared" si="22"/>
        <v>0.58538686603092316</v>
      </c>
      <c r="F282" s="8">
        <f t="shared" si="23"/>
        <v>0.34267778292150597</v>
      </c>
      <c r="G282" s="5">
        <f t="shared" si="24"/>
        <v>1.3008597022909404E-2</v>
      </c>
    </row>
    <row r="283" spans="1:7" ht="15.75" customHeight="1">
      <c r="A283" s="3">
        <v>21832</v>
      </c>
      <c r="B283" s="4">
        <v>50</v>
      </c>
      <c r="C283">
        <f t="shared" si="20"/>
        <v>45.409770806221644</v>
      </c>
      <c r="D283" s="8">
        <f t="shared" si="21"/>
        <v>4.5902291937783559</v>
      </c>
      <c r="E283" s="8">
        <f t="shared" si="22"/>
        <v>4.5902291937783559</v>
      </c>
      <c r="F283" s="8">
        <f t="shared" si="23"/>
        <v>21.070204051415097</v>
      </c>
      <c r="G283" s="5">
        <f t="shared" si="24"/>
        <v>9.1804583875567114E-2</v>
      </c>
    </row>
    <row r="284" spans="1:7" ht="15.75" customHeight="1">
      <c r="A284" s="3">
        <v>21833</v>
      </c>
      <c r="B284" s="4">
        <v>48</v>
      </c>
      <c r="C284">
        <f t="shared" si="20"/>
        <v>46.786839564355148</v>
      </c>
      <c r="D284" s="8">
        <f t="shared" si="21"/>
        <v>1.213160435644852</v>
      </c>
      <c r="E284" s="8">
        <f t="shared" si="22"/>
        <v>1.213160435644852</v>
      </c>
      <c r="F284" s="8">
        <f t="shared" si="23"/>
        <v>1.471758242614007</v>
      </c>
      <c r="G284" s="5">
        <f t="shared" si="24"/>
        <v>2.5274175742601084E-2</v>
      </c>
    </row>
    <row r="285" spans="1:7" ht="15.75" customHeight="1">
      <c r="A285" s="3">
        <v>21834</v>
      </c>
      <c r="B285" s="4">
        <v>43</v>
      </c>
      <c r="C285">
        <f t="shared" si="20"/>
        <v>47.150787695048599</v>
      </c>
      <c r="D285" s="8">
        <f t="shared" si="21"/>
        <v>-4.1507876950485993</v>
      </c>
      <c r="E285" s="8">
        <f t="shared" si="22"/>
        <v>4.1507876950485993</v>
      </c>
      <c r="F285" s="8">
        <f t="shared" si="23"/>
        <v>17.229038489366864</v>
      </c>
      <c r="G285" s="5">
        <f t="shared" si="24"/>
        <v>9.6529946396479049E-2</v>
      </c>
    </row>
    <row r="286" spans="1:7" ht="15.75" customHeight="1">
      <c r="A286" s="3">
        <v>21835</v>
      </c>
      <c r="B286" s="4">
        <v>40</v>
      </c>
      <c r="C286">
        <f t="shared" si="20"/>
        <v>45.905551386534015</v>
      </c>
      <c r="D286" s="8">
        <f t="shared" si="21"/>
        <v>-5.9055513865340146</v>
      </c>
      <c r="E286" s="8">
        <f t="shared" si="22"/>
        <v>5.9055513865340146</v>
      </c>
      <c r="F286" s="8">
        <f t="shared" si="23"/>
        <v>34.875537178993824</v>
      </c>
      <c r="G286" s="5">
        <f t="shared" si="24"/>
        <v>0.14763878466335037</v>
      </c>
    </row>
    <row r="287" spans="1:7" ht="15.75" customHeight="1">
      <c r="A287" s="3">
        <v>21836</v>
      </c>
      <c r="B287" s="4">
        <v>59</v>
      </c>
      <c r="C287">
        <f t="shared" si="20"/>
        <v>44.133885970573807</v>
      </c>
      <c r="D287" s="8">
        <f t="shared" si="21"/>
        <v>14.866114029426193</v>
      </c>
      <c r="E287" s="8">
        <f t="shared" si="22"/>
        <v>14.866114029426193</v>
      </c>
      <c r="F287" s="8">
        <f t="shared" si="23"/>
        <v>221.00134633590227</v>
      </c>
      <c r="G287" s="5">
        <f t="shared" si="24"/>
        <v>0.25196803439705412</v>
      </c>
    </row>
    <row r="288" spans="1:7" ht="15.75" customHeight="1">
      <c r="A288" s="3">
        <v>21837</v>
      </c>
      <c r="B288" s="4">
        <v>41</v>
      </c>
      <c r="C288">
        <f t="shared" si="20"/>
        <v>48.593720179401657</v>
      </c>
      <c r="D288" s="8">
        <f t="shared" si="21"/>
        <v>-7.5937201794016573</v>
      </c>
      <c r="E288" s="8">
        <f t="shared" si="22"/>
        <v>7.5937201794016573</v>
      </c>
      <c r="F288" s="8">
        <f t="shared" si="23"/>
        <v>57.664586163051936</v>
      </c>
      <c r="G288" s="5">
        <f t="shared" si="24"/>
        <v>0.18521268730247945</v>
      </c>
    </row>
    <row r="289" spans="1:7" ht="15.75" customHeight="1">
      <c r="A289" s="3">
        <v>21838</v>
      </c>
      <c r="B289" s="4">
        <v>42</v>
      </c>
      <c r="C289">
        <f t="shared" si="20"/>
        <v>46.315604125581153</v>
      </c>
      <c r="D289" s="8">
        <f t="shared" si="21"/>
        <v>-4.315604125581153</v>
      </c>
      <c r="E289" s="8">
        <f t="shared" si="22"/>
        <v>4.315604125581153</v>
      </c>
      <c r="F289" s="8">
        <f t="shared" si="23"/>
        <v>18.624438968733067</v>
      </c>
      <c r="G289" s="5">
        <f t="shared" si="24"/>
        <v>0.10275247918050365</v>
      </c>
    </row>
    <row r="290" spans="1:7" ht="15.75" customHeight="1">
      <c r="A290" s="3">
        <v>21839</v>
      </c>
      <c r="B290" s="4">
        <v>51</v>
      </c>
      <c r="C290">
        <f t="shared" si="20"/>
        <v>45.020922887906806</v>
      </c>
      <c r="D290" s="8">
        <f t="shared" si="21"/>
        <v>5.9790771120931936</v>
      </c>
      <c r="E290" s="8">
        <f t="shared" si="22"/>
        <v>5.9790771120931936</v>
      </c>
      <c r="F290" s="8">
        <f t="shared" si="23"/>
        <v>35.749363112356683</v>
      </c>
      <c r="G290" s="5">
        <f t="shared" si="24"/>
        <v>0.11723680611947439</v>
      </c>
    </row>
    <row r="291" spans="1:7" ht="15.75" customHeight="1">
      <c r="A291" s="3">
        <v>21840</v>
      </c>
      <c r="B291" s="4">
        <v>49</v>
      </c>
      <c r="C291">
        <f t="shared" si="20"/>
        <v>46.814646021534763</v>
      </c>
      <c r="D291" s="8">
        <f t="shared" si="21"/>
        <v>2.1853539784652369</v>
      </c>
      <c r="E291" s="8">
        <f t="shared" si="22"/>
        <v>2.1853539784652369</v>
      </c>
      <c r="F291" s="8">
        <f t="shared" si="23"/>
        <v>4.7757720111938395</v>
      </c>
      <c r="G291" s="5">
        <f t="shared" si="24"/>
        <v>4.4599060785004835E-2</v>
      </c>
    </row>
    <row r="292" spans="1:7" ht="15.75" customHeight="1">
      <c r="A292" s="3">
        <v>21841</v>
      </c>
      <c r="B292" s="4">
        <v>45</v>
      </c>
      <c r="C292">
        <f t="shared" si="20"/>
        <v>47.470252215074325</v>
      </c>
      <c r="D292" s="8">
        <f t="shared" si="21"/>
        <v>-2.4702522150743249</v>
      </c>
      <c r="E292" s="8">
        <f t="shared" si="22"/>
        <v>2.4702522150743249</v>
      </c>
      <c r="F292" s="8">
        <f t="shared" si="23"/>
        <v>6.1021460060796091</v>
      </c>
      <c r="G292" s="5">
        <f t="shared" si="24"/>
        <v>5.4894493668318334E-2</v>
      </c>
    </row>
    <row r="293" spans="1:7" ht="15.75" customHeight="1">
      <c r="A293" s="3">
        <v>21842</v>
      </c>
      <c r="B293" s="4">
        <v>43</v>
      </c>
      <c r="C293">
        <f t="shared" si="20"/>
        <v>46.729176550552026</v>
      </c>
      <c r="D293" s="8">
        <f t="shared" si="21"/>
        <v>-3.729176550552026</v>
      </c>
      <c r="E293" s="8">
        <f t="shared" si="22"/>
        <v>3.729176550552026</v>
      </c>
      <c r="F293" s="8">
        <f t="shared" si="23"/>
        <v>13.906757745187107</v>
      </c>
      <c r="G293" s="5">
        <f t="shared" si="24"/>
        <v>8.6725036059349447E-2</v>
      </c>
    </row>
    <row r="294" spans="1:7" ht="15.75" customHeight="1">
      <c r="A294" s="3">
        <v>21843</v>
      </c>
      <c r="B294" s="4">
        <v>42</v>
      </c>
      <c r="C294">
        <f t="shared" si="20"/>
        <v>45.610423585386414</v>
      </c>
      <c r="D294" s="8">
        <f t="shared" si="21"/>
        <v>-3.6104235853864139</v>
      </c>
      <c r="E294" s="8">
        <f t="shared" si="22"/>
        <v>3.6104235853864139</v>
      </c>
      <c r="F294" s="8">
        <f t="shared" si="23"/>
        <v>13.035158465914488</v>
      </c>
      <c r="G294" s="5">
        <f t="shared" si="24"/>
        <v>8.5962466318724146E-2</v>
      </c>
    </row>
    <row r="295" spans="1:7" ht="15.75" customHeight="1">
      <c r="A295" s="3">
        <v>21844</v>
      </c>
      <c r="B295" s="4">
        <v>38</v>
      </c>
      <c r="C295">
        <f t="shared" si="20"/>
        <v>44.527296509770487</v>
      </c>
      <c r="D295" s="8">
        <f t="shared" si="21"/>
        <v>-6.5272965097704869</v>
      </c>
      <c r="E295" s="8">
        <f t="shared" si="22"/>
        <v>6.5272965097704869</v>
      </c>
      <c r="F295" s="8">
        <f t="shared" si="23"/>
        <v>42.605599726461982</v>
      </c>
      <c r="G295" s="5">
        <f t="shared" si="24"/>
        <v>0.17177096078343387</v>
      </c>
    </row>
    <row r="296" spans="1:7" ht="15.75" customHeight="1">
      <c r="A296" s="3">
        <v>21845</v>
      </c>
      <c r="B296" s="4">
        <v>47</v>
      </c>
      <c r="C296">
        <f t="shared" si="20"/>
        <v>42.569107556839342</v>
      </c>
      <c r="D296" s="8">
        <f t="shared" si="21"/>
        <v>4.4308924431606584</v>
      </c>
      <c r="E296" s="8">
        <f t="shared" si="22"/>
        <v>4.4308924431606584</v>
      </c>
      <c r="F296" s="8">
        <f t="shared" si="23"/>
        <v>19.632807842858227</v>
      </c>
      <c r="G296" s="5">
        <f t="shared" si="24"/>
        <v>9.4274307301290605E-2</v>
      </c>
    </row>
    <row r="297" spans="1:7" ht="15.75" customHeight="1">
      <c r="A297" s="3">
        <v>21846</v>
      </c>
      <c r="B297" s="4">
        <v>38</v>
      </c>
      <c r="C297">
        <f t="shared" si="20"/>
        <v>43.898375289787538</v>
      </c>
      <c r="D297" s="8">
        <f t="shared" si="21"/>
        <v>-5.8983752897875377</v>
      </c>
      <c r="E297" s="8">
        <f t="shared" si="22"/>
        <v>5.8983752897875377</v>
      </c>
      <c r="F297" s="8">
        <f t="shared" si="23"/>
        <v>34.79083105917622</v>
      </c>
      <c r="G297" s="5">
        <f t="shared" si="24"/>
        <v>0.15522040236282994</v>
      </c>
    </row>
    <row r="298" spans="1:7" ht="15.75" customHeight="1">
      <c r="A298" s="3">
        <v>21847</v>
      </c>
      <c r="B298" s="4">
        <v>36</v>
      </c>
      <c r="C298">
        <f t="shared" si="20"/>
        <v>42.128862702851272</v>
      </c>
      <c r="D298" s="8">
        <f t="shared" si="21"/>
        <v>-6.1288627028512721</v>
      </c>
      <c r="E298" s="8">
        <f t="shared" si="22"/>
        <v>6.1288627028512721</v>
      </c>
      <c r="F298" s="8">
        <f t="shared" si="23"/>
        <v>37.562958030401397</v>
      </c>
      <c r="G298" s="5">
        <f t="shared" si="24"/>
        <v>0.17024618619031312</v>
      </c>
    </row>
    <row r="299" spans="1:7" ht="15.75" customHeight="1">
      <c r="A299" s="3">
        <v>21848</v>
      </c>
      <c r="B299" s="4">
        <v>42</v>
      </c>
      <c r="C299">
        <f t="shared" si="20"/>
        <v>40.290203891995887</v>
      </c>
      <c r="D299" s="8">
        <f t="shared" si="21"/>
        <v>1.7097961080041131</v>
      </c>
      <c r="E299" s="8">
        <f t="shared" si="22"/>
        <v>1.7097961080041131</v>
      </c>
      <c r="F299" s="8">
        <f t="shared" si="23"/>
        <v>2.9234027309460129</v>
      </c>
      <c r="G299" s="5">
        <f t="shared" si="24"/>
        <v>4.0709431142955076E-2</v>
      </c>
    </row>
    <row r="300" spans="1:7" ht="15.75" customHeight="1">
      <c r="A300" s="3">
        <v>21849</v>
      </c>
      <c r="B300" s="4">
        <v>35</v>
      </c>
      <c r="C300">
        <f t="shared" si="20"/>
        <v>40.803142724397119</v>
      </c>
      <c r="D300" s="8">
        <f t="shared" si="21"/>
        <v>-5.8031427243971194</v>
      </c>
      <c r="E300" s="8">
        <f t="shared" si="22"/>
        <v>5.8031427243971194</v>
      </c>
      <c r="F300" s="8">
        <f t="shared" si="23"/>
        <v>33.67646547972322</v>
      </c>
      <c r="G300" s="5">
        <f t="shared" si="24"/>
        <v>0.16580407783991769</v>
      </c>
    </row>
    <row r="301" spans="1:7" ht="15.75" customHeight="1">
      <c r="A301" s="3">
        <v>21850</v>
      </c>
      <c r="B301" s="4">
        <v>28</v>
      </c>
      <c r="C301">
        <f t="shared" si="20"/>
        <v>39.062199907077982</v>
      </c>
      <c r="D301" s="8">
        <f t="shared" si="21"/>
        <v>-11.062199907077982</v>
      </c>
      <c r="E301" s="8">
        <f t="shared" si="22"/>
        <v>11.062199907077982</v>
      </c>
      <c r="F301" s="8">
        <f t="shared" si="23"/>
        <v>122.37226678415611</v>
      </c>
      <c r="G301" s="5">
        <f t="shared" si="24"/>
        <v>0.39507856810992792</v>
      </c>
    </row>
    <row r="302" spans="1:7" ht="15.75" customHeight="1">
      <c r="A302" s="3">
        <v>21851</v>
      </c>
      <c r="B302" s="4">
        <v>44</v>
      </c>
      <c r="C302">
        <f t="shared" si="20"/>
        <v>35.743539934954583</v>
      </c>
      <c r="D302" s="8">
        <f t="shared" si="21"/>
        <v>8.2564600650454167</v>
      </c>
      <c r="E302" s="8">
        <f t="shared" si="22"/>
        <v>8.2564600650454167</v>
      </c>
      <c r="F302" s="8">
        <f t="shared" si="23"/>
        <v>68.16913280568977</v>
      </c>
      <c r="G302" s="5">
        <f t="shared" si="24"/>
        <v>0.18764681966012312</v>
      </c>
    </row>
    <row r="303" spans="1:7" ht="15.75" customHeight="1">
      <c r="A303" s="3">
        <v>21852</v>
      </c>
      <c r="B303" s="4">
        <v>36</v>
      </c>
      <c r="C303">
        <f t="shared" si="20"/>
        <v>38.220477954468208</v>
      </c>
      <c r="D303" s="8">
        <f t="shared" si="21"/>
        <v>-2.2204779544682083</v>
      </c>
      <c r="E303" s="8">
        <f t="shared" si="22"/>
        <v>2.2204779544682083</v>
      </c>
      <c r="F303" s="8">
        <f t="shared" si="23"/>
        <v>4.9305223462793188</v>
      </c>
      <c r="G303" s="5">
        <f t="shared" si="24"/>
        <v>6.1679943179672451E-2</v>
      </c>
    </row>
    <row r="304" spans="1:7" ht="15.75" customHeight="1">
      <c r="A304" s="3">
        <v>21853</v>
      </c>
      <c r="B304" s="4">
        <v>45</v>
      </c>
      <c r="C304">
        <f t="shared" si="20"/>
        <v>37.554334568127743</v>
      </c>
      <c r="D304" s="8">
        <f t="shared" si="21"/>
        <v>7.445665431872257</v>
      </c>
      <c r="E304" s="8">
        <f t="shared" si="22"/>
        <v>7.445665431872257</v>
      </c>
      <c r="F304" s="8">
        <f t="shared" si="23"/>
        <v>55.437933723377483</v>
      </c>
      <c r="G304" s="5">
        <f t="shared" si="24"/>
        <v>0.16545923181938349</v>
      </c>
    </row>
    <row r="305" spans="1:7" ht="15.75" customHeight="1">
      <c r="A305" s="3">
        <v>21854</v>
      </c>
      <c r="B305" s="4">
        <v>46</v>
      </c>
      <c r="C305">
        <f t="shared" si="20"/>
        <v>39.78803419768942</v>
      </c>
      <c r="D305" s="8">
        <f t="shared" si="21"/>
        <v>6.2119658023105799</v>
      </c>
      <c r="E305" s="8">
        <f t="shared" si="22"/>
        <v>6.2119658023105799</v>
      </c>
      <c r="F305" s="8">
        <f t="shared" si="23"/>
        <v>38.588519129076126</v>
      </c>
      <c r="G305" s="5">
        <f t="shared" si="24"/>
        <v>0.13504273483283868</v>
      </c>
    </row>
    <row r="306" spans="1:7" ht="15.75" customHeight="1">
      <c r="A306" s="3">
        <v>21855</v>
      </c>
      <c r="B306" s="4">
        <v>48</v>
      </c>
      <c r="C306">
        <f t="shared" si="20"/>
        <v>41.651623938382592</v>
      </c>
      <c r="D306" s="8">
        <f t="shared" si="21"/>
        <v>6.3483760616174081</v>
      </c>
      <c r="E306" s="8">
        <f t="shared" si="22"/>
        <v>6.3483760616174081</v>
      </c>
      <c r="F306" s="8">
        <f t="shared" si="23"/>
        <v>40.301878619716952</v>
      </c>
      <c r="G306" s="5">
        <f t="shared" si="24"/>
        <v>0.13225783461702934</v>
      </c>
    </row>
    <row r="307" spans="1:7" ht="15.75" customHeight="1">
      <c r="A307" s="3">
        <v>21856</v>
      </c>
      <c r="B307" s="4">
        <v>49</v>
      </c>
      <c r="C307">
        <f t="shared" si="20"/>
        <v>43.556136756867815</v>
      </c>
      <c r="D307" s="8">
        <f t="shared" si="21"/>
        <v>5.4438632431321849</v>
      </c>
      <c r="E307" s="8">
        <f t="shared" si="22"/>
        <v>5.4438632431321849</v>
      </c>
      <c r="F307" s="8">
        <f t="shared" si="23"/>
        <v>29.63564700992567</v>
      </c>
      <c r="G307" s="5">
        <f t="shared" si="24"/>
        <v>0.11109924985984052</v>
      </c>
    </row>
    <row r="308" spans="1:7" ht="15.75" customHeight="1">
      <c r="A308" s="3">
        <v>21857</v>
      </c>
      <c r="B308" s="4">
        <v>43</v>
      </c>
      <c r="C308">
        <f t="shared" si="20"/>
        <v>45.189295729807469</v>
      </c>
      <c r="D308" s="8">
        <f t="shared" si="21"/>
        <v>-2.1892957298074691</v>
      </c>
      <c r="E308" s="8">
        <f t="shared" si="22"/>
        <v>2.1892957298074691</v>
      </c>
      <c r="F308" s="8">
        <f t="shared" si="23"/>
        <v>4.7930157925532191</v>
      </c>
      <c r="G308" s="5">
        <f t="shared" si="24"/>
        <v>5.0913854181569046E-2</v>
      </c>
    </row>
    <row r="309" spans="1:7" ht="15.75" customHeight="1">
      <c r="A309" s="3">
        <v>21858</v>
      </c>
      <c r="B309" s="4">
        <v>42</v>
      </c>
      <c r="C309">
        <f t="shared" si="20"/>
        <v>44.532507010865224</v>
      </c>
      <c r="D309" s="8">
        <f t="shared" si="21"/>
        <v>-2.5325070108652241</v>
      </c>
      <c r="E309" s="8">
        <f t="shared" si="22"/>
        <v>2.5325070108652241</v>
      </c>
      <c r="F309" s="8">
        <f t="shared" si="23"/>
        <v>6.4135917600815127</v>
      </c>
      <c r="G309" s="5">
        <f t="shared" si="24"/>
        <v>6.0297785972981528E-2</v>
      </c>
    </row>
    <row r="310" spans="1:7" ht="15.75" customHeight="1">
      <c r="A310" s="3">
        <v>21859</v>
      </c>
      <c r="B310" s="4">
        <v>59</v>
      </c>
      <c r="C310">
        <f t="shared" si="20"/>
        <v>43.772754907605652</v>
      </c>
      <c r="D310" s="8">
        <f t="shared" si="21"/>
        <v>15.227245092394348</v>
      </c>
      <c r="E310" s="8">
        <f t="shared" si="22"/>
        <v>15.227245092394348</v>
      </c>
      <c r="F310" s="8">
        <f t="shared" si="23"/>
        <v>231.86899310384777</v>
      </c>
      <c r="G310" s="5">
        <f t="shared" si="24"/>
        <v>0.25808889987109063</v>
      </c>
    </row>
    <row r="311" spans="1:7" ht="15.75" customHeight="1">
      <c r="A311" s="3">
        <v>21860</v>
      </c>
      <c r="B311" s="4">
        <v>45</v>
      </c>
      <c r="C311">
        <f t="shared" si="20"/>
        <v>48.340928435323953</v>
      </c>
      <c r="D311" s="8">
        <f t="shared" si="21"/>
        <v>-3.3409284353239528</v>
      </c>
      <c r="E311" s="8">
        <f t="shared" si="22"/>
        <v>3.3409284353239528</v>
      </c>
      <c r="F311" s="8">
        <f t="shared" si="23"/>
        <v>11.161802809956155</v>
      </c>
      <c r="G311" s="5">
        <f t="shared" si="24"/>
        <v>7.4242854118310067E-2</v>
      </c>
    </row>
    <row r="312" spans="1:7" ht="15.75" customHeight="1">
      <c r="A312" s="3">
        <v>21861</v>
      </c>
      <c r="B312" s="4">
        <v>52</v>
      </c>
      <c r="C312">
        <f t="shared" si="20"/>
        <v>47.338649904726765</v>
      </c>
      <c r="D312" s="8">
        <f t="shared" si="21"/>
        <v>4.6613500952732352</v>
      </c>
      <c r="E312" s="8">
        <f t="shared" si="22"/>
        <v>4.6613500952732352</v>
      </c>
      <c r="F312" s="8">
        <f t="shared" si="23"/>
        <v>21.7281847107038</v>
      </c>
      <c r="G312" s="5">
        <f t="shared" si="24"/>
        <v>8.9641347986023759E-2</v>
      </c>
    </row>
    <row r="313" spans="1:7" ht="15.75" customHeight="1">
      <c r="A313" s="3">
        <v>21862</v>
      </c>
      <c r="B313" s="4">
        <v>46</v>
      </c>
      <c r="C313">
        <f t="shared" si="20"/>
        <v>48.737054933308734</v>
      </c>
      <c r="D313" s="8">
        <f t="shared" si="21"/>
        <v>-2.737054933308734</v>
      </c>
      <c r="E313" s="8">
        <f t="shared" si="22"/>
        <v>2.737054933308734</v>
      </c>
      <c r="F313" s="8">
        <f t="shared" si="23"/>
        <v>7.4914697079496779</v>
      </c>
      <c r="G313" s="5">
        <f t="shared" si="24"/>
        <v>5.9501194202363779E-2</v>
      </c>
    </row>
    <row r="314" spans="1:7" ht="15.75" customHeight="1">
      <c r="A314" s="3">
        <v>21863</v>
      </c>
      <c r="B314" s="4">
        <v>42</v>
      </c>
      <c r="C314">
        <f t="shared" si="20"/>
        <v>47.915938453316109</v>
      </c>
      <c r="D314" s="8">
        <f t="shared" si="21"/>
        <v>-5.9159384533161088</v>
      </c>
      <c r="E314" s="8">
        <f t="shared" si="22"/>
        <v>5.9159384533161088</v>
      </c>
      <c r="F314" s="8">
        <f t="shared" si="23"/>
        <v>34.998327783424195</v>
      </c>
      <c r="G314" s="5">
        <f t="shared" si="24"/>
        <v>0.14085567745990735</v>
      </c>
    </row>
    <row r="315" spans="1:7" ht="15.75" customHeight="1">
      <c r="A315" s="3">
        <v>21864</v>
      </c>
      <c r="B315" s="4">
        <v>40</v>
      </c>
      <c r="C315">
        <f t="shared" si="20"/>
        <v>46.141156917321275</v>
      </c>
      <c r="D315" s="8">
        <f t="shared" si="21"/>
        <v>-6.1411569173212754</v>
      </c>
      <c r="E315" s="8">
        <f t="shared" si="22"/>
        <v>6.1411569173212754</v>
      </c>
      <c r="F315" s="8">
        <f t="shared" si="23"/>
        <v>37.713808283162948</v>
      </c>
      <c r="G315" s="5">
        <f t="shared" si="24"/>
        <v>0.15352892293303189</v>
      </c>
    </row>
    <row r="316" spans="1:7" ht="15.75" customHeight="1">
      <c r="A316" s="3">
        <v>21865</v>
      </c>
      <c r="B316" s="4">
        <v>40</v>
      </c>
      <c r="C316">
        <f t="shared" si="20"/>
        <v>44.298809842124889</v>
      </c>
      <c r="D316" s="8">
        <f t="shared" si="21"/>
        <v>-4.2988098421248893</v>
      </c>
      <c r="E316" s="8">
        <f t="shared" si="22"/>
        <v>4.2988098421248893</v>
      </c>
      <c r="F316" s="8">
        <f t="shared" si="23"/>
        <v>18.479766058749814</v>
      </c>
      <c r="G316" s="5">
        <f t="shared" si="24"/>
        <v>0.10747024605312223</v>
      </c>
    </row>
    <row r="317" spans="1:7" ht="15.75" customHeight="1">
      <c r="A317" s="3">
        <v>21866</v>
      </c>
      <c r="B317" s="4">
        <v>45</v>
      </c>
      <c r="C317">
        <f t="shared" si="20"/>
        <v>43.009166889487418</v>
      </c>
      <c r="D317" s="8">
        <f t="shared" si="21"/>
        <v>1.9908331105125825</v>
      </c>
      <c r="E317" s="8">
        <f t="shared" si="22"/>
        <v>1.9908331105125825</v>
      </c>
      <c r="F317" s="8">
        <f t="shared" si="23"/>
        <v>3.9634164739132043</v>
      </c>
      <c r="G317" s="5">
        <f t="shared" si="24"/>
        <v>4.4240735789168498E-2</v>
      </c>
    </row>
    <row r="318" spans="1:7" ht="15.75" customHeight="1">
      <c r="A318" s="3">
        <v>21867</v>
      </c>
      <c r="B318" s="4">
        <v>35</v>
      </c>
      <c r="C318">
        <f t="shared" si="20"/>
        <v>43.606416822641194</v>
      </c>
      <c r="D318" s="8">
        <f t="shared" si="21"/>
        <v>-8.6064168226411937</v>
      </c>
      <c r="E318" s="8">
        <f t="shared" si="22"/>
        <v>8.6064168226411937</v>
      </c>
      <c r="F318" s="8">
        <f t="shared" si="23"/>
        <v>74.070410525041339</v>
      </c>
      <c r="G318" s="5">
        <f t="shared" si="24"/>
        <v>0.2458976235040341</v>
      </c>
    </row>
    <row r="319" spans="1:7" ht="15.75" customHeight="1">
      <c r="A319" s="3">
        <v>21868</v>
      </c>
      <c r="B319" s="4">
        <v>35</v>
      </c>
      <c r="C319">
        <f t="shared" si="20"/>
        <v>41.02449177584883</v>
      </c>
      <c r="D319" s="8">
        <f t="shared" si="21"/>
        <v>-6.0244917758488299</v>
      </c>
      <c r="E319" s="8">
        <f t="shared" si="22"/>
        <v>6.0244917758488299</v>
      </c>
      <c r="F319" s="8">
        <f t="shared" si="23"/>
        <v>36.29450115727019</v>
      </c>
      <c r="G319" s="5">
        <f t="shared" si="24"/>
        <v>0.17212833645282372</v>
      </c>
    </row>
    <row r="320" spans="1:7" ht="15.75" customHeight="1">
      <c r="A320" s="3">
        <v>21869</v>
      </c>
      <c r="B320" s="4">
        <v>40</v>
      </c>
      <c r="C320">
        <f t="shared" si="20"/>
        <v>39.217144243094182</v>
      </c>
      <c r="D320" s="8">
        <f t="shared" si="21"/>
        <v>0.78285575690581766</v>
      </c>
      <c r="E320" s="8">
        <f t="shared" si="22"/>
        <v>0.78285575690581766</v>
      </c>
      <c r="F320" s="8">
        <f t="shared" si="23"/>
        <v>0.61286313612058063</v>
      </c>
      <c r="G320" s="5">
        <f t="shared" si="24"/>
        <v>1.9571393922645442E-2</v>
      </c>
    </row>
    <row r="321" spans="1:7" ht="15.75" customHeight="1">
      <c r="A321" s="3">
        <v>21870</v>
      </c>
      <c r="B321" s="4">
        <v>39</v>
      </c>
      <c r="C321">
        <f t="shared" si="20"/>
        <v>39.452000970165926</v>
      </c>
      <c r="D321" s="8">
        <f t="shared" si="21"/>
        <v>-0.45200097016592622</v>
      </c>
      <c r="E321" s="8">
        <f t="shared" si="22"/>
        <v>0.45200097016592622</v>
      </c>
      <c r="F321" s="8">
        <f t="shared" si="23"/>
        <v>0.20430487703093853</v>
      </c>
      <c r="G321" s="5">
        <f t="shared" si="24"/>
        <v>1.1589768465792979E-2</v>
      </c>
    </row>
    <row r="322" spans="1:7" ht="15.75" customHeight="1">
      <c r="A322" s="3">
        <v>21871</v>
      </c>
      <c r="B322" s="4">
        <v>33</v>
      </c>
      <c r="C322">
        <f t="shared" si="20"/>
        <v>39.316400679116143</v>
      </c>
      <c r="D322" s="8">
        <f t="shared" si="21"/>
        <v>-6.3164006791161427</v>
      </c>
      <c r="E322" s="8">
        <f t="shared" si="22"/>
        <v>6.3164006791161427</v>
      </c>
      <c r="F322" s="8">
        <f t="shared" si="23"/>
        <v>39.896917539138869</v>
      </c>
      <c r="G322" s="5">
        <f t="shared" si="24"/>
        <v>0.19140608118533767</v>
      </c>
    </row>
    <row r="323" spans="1:7" ht="15.75" customHeight="1">
      <c r="A323" s="3">
        <v>21872</v>
      </c>
      <c r="B323" s="4">
        <v>42</v>
      </c>
      <c r="C323">
        <f t="shared" si="20"/>
        <v>37.421480475381301</v>
      </c>
      <c r="D323" s="8">
        <f t="shared" si="21"/>
        <v>4.5785195246186987</v>
      </c>
      <c r="E323" s="8">
        <f t="shared" si="22"/>
        <v>4.5785195246186987</v>
      </c>
      <c r="F323" s="8">
        <f t="shared" si="23"/>
        <v>20.962841037314636</v>
      </c>
      <c r="G323" s="5">
        <f t="shared" si="24"/>
        <v>0.10901236963377854</v>
      </c>
    </row>
    <row r="324" spans="1:7" ht="15.75" customHeight="1">
      <c r="A324" s="3">
        <v>21873</v>
      </c>
      <c r="B324" s="4">
        <v>47</v>
      </c>
      <c r="C324">
        <f t="shared" ref="C324:C366" si="25">0.3*B323+0.7*C323</f>
        <v>38.795036332766912</v>
      </c>
      <c r="D324" s="8">
        <f t="shared" ref="D324:D366" si="26">B324-C324</f>
        <v>8.2049636672330877</v>
      </c>
      <c r="E324" s="8">
        <f t="shared" ref="E324:E366" si="27">ABS(D324)</f>
        <v>8.2049636672330877</v>
      </c>
      <c r="F324" s="8">
        <f t="shared" ref="F324:F366" si="28">E324^2</f>
        <v>67.321428780615037</v>
      </c>
      <c r="G324" s="5">
        <f t="shared" ref="G324:G366" si="29">E324/B324</f>
        <v>0.17457369504751249</v>
      </c>
    </row>
    <row r="325" spans="1:7" ht="15.75" customHeight="1">
      <c r="A325" s="3">
        <v>21874</v>
      </c>
      <c r="B325" s="4">
        <v>51</v>
      </c>
      <c r="C325">
        <f t="shared" si="25"/>
        <v>41.25652543293684</v>
      </c>
      <c r="D325" s="8">
        <f t="shared" si="26"/>
        <v>9.74347456706316</v>
      </c>
      <c r="E325" s="8">
        <f t="shared" si="27"/>
        <v>9.74347456706316</v>
      </c>
      <c r="F325" s="8">
        <f t="shared" si="28"/>
        <v>94.935296639006637</v>
      </c>
      <c r="G325" s="5">
        <f t="shared" si="29"/>
        <v>0.19104852092280705</v>
      </c>
    </row>
    <row r="326" spans="1:7" ht="15.75" customHeight="1">
      <c r="A326" s="3">
        <v>21875</v>
      </c>
      <c r="B326" s="4">
        <v>44</v>
      </c>
      <c r="C326">
        <f t="shared" si="25"/>
        <v>44.179567803055782</v>
      </c>
      <c r="D326" s="8">
        <f t="shared" si="26"/>
        <v>-0.17956780305578235</v>
      </c>
      <c r="E326" s="8">
        <f t="shared" si="27"/>
        <v>0.17956780305578235</v>
      </c>
      <c r="F326" s="8">
        <f t="shared" si="28"/>
        <v>3.2244595894280234E-2</v>
      </c>
      <c r="G326" s="5">
        <f t="shared" si="29"/>
        <v>4.0810864330859623E-3</v>
      </c>
    </row>
    <row r="327" spans="1:7" ht="15.75" customHeight="1">
      <c r="A327" s="3">
        <v>21876</v>
      </c>
      <c r="B327" s="4">
        <v>40</v>
      </c>
      <c r="C327">
        <f t="shared" si="25"/>
        <v>44.125697462139044</v>
      </c>
      <c r="D327" s="8">
        <f t="shared" si="26"/>
        <v>-4.1256974621390441</v>
      </c>
      <c r="E327" s="8">
        <f t="shared" si="27"/>
        <v>4.1256974621390441</v>
      </c>
      <c r="F327" s="8">
        <f t="shared" si="28"/>
        <v>17.021379549100548</v>
      </c>
      <c r="G327" s="5">
        <f t="shared" si="29"/>
        <v>0.1031424365534761</v>
      </c>
    </row>
    <row r="328" spans="1:7" ht="15.75" customHeight="1">
      <c r="A328" s="3">
        <v>21877</v>
      </c>
      <c r="B328" s="4">
        <v>57</v>
      </c>
      <c r="C328">
        <f t="shared" si="25"/>
        <v>42.887988223497331</v>
      </c>
      <c r="D328" s="8">
        <f t="shared" si="26"/>
        <v>14.112011776502669</v>
      </c>
      <c r="E328" s="8">
        <f t="shared" si="27"/>
        <v>14.112011776502669</v>
      </c>
      <c r="F328" s="8">
        <f t="shared" si="28"/>
        <v>199.14887638015003</v>
      </c>
      <c r="G328" s="5">
        <f t="shared" si="29"/>
        <v>0.24757915397373104</v>
      </c>
    </row>
    <row r="329" spans="1:7" ht="15.75" customHeight="1">
      <c r="A329" s="3">
        <v>21878</v>
      </c>
      <c r="B329" s="4">
        <v>49</v>
      </c>
      <c r="C329">
        <f t="shared" si="25"/>
        <v>47.121591756448126</v>
      </c>
      <c r="D329" s="8">
        <f t="shared" si="26"/>
        <v>1.8784082435518741</v>
      </c>
      <c r="E329" s="8">
        <f t="shared" si="27"/>
        <v>1.8784082435518741</v>
      </c>
      <c r="F329" s="8">
        <f t="shared" si="28"/>
        <v>3.5284175294436366</v>
      </c>
      <c r="G329" s="5">
        <f t="shared" si="29"/>
        <v>3.8334862113303551E-2</v>
      </c>
    </row>
    <row r="330" spans="1:7" ht="15.75" customHeight="1">
      <c r="A330" s="3">
        <v>21879</v>
      </c>
      <c r="B330" s="4">
        <v>45</v>
      </c>
      <c r="C330">
        <f t="shared" si="25"/>
        <v>47.685114229513687</v>
      </c>
      <c r="D330" s="8">
        <f t="shared" si="26"/>
        <v>-2.6851142295136867</v>
      </c>
      <c r="E330" s="8">
        <f t="shared" si="27"/>
        <v>2.6851142295136867</v>
      </c>
      <c r="F330" s="8">
        <f t="shared" si="28"/>
        <v>7.2098384255368799</v>
      </c>
      <c r="G330" s="5">
        <f t="shared" si="29"/>
        <v>5.966920510030415E-2</v>
      </c>
    </row>
    <row r="331" spans="1:7" ht="15.75" customHeight="1">
      <c r="A331" s="3">
        <v>21880</v>
      </c>
      <c r="B331" s="4">
        <v>49</v>
      </c>
      <c r="C331">
        <f t="shared" si="25"/>
        <v>46.879579960659576</v>
      </c>
      <c r="D331" s="8">
        <f t="shared" si="26"/>
        <v>2.1204200393404236</v>
      </c>
      <c r="E331" s="8">
        <f t="shared" si="27"/>
        <v>2.1204200393404236</v>
      </c>
      <c r="F331" s="8">
        <f t="shared" si="28"/>
        <v>4.4961811432364431</v>
      </c>
      <c r="G331" s="5">
        <f t="shared" si="29"/>
        <v>4.3273878353886193E-2</v>
      </c>
    </row>
    <row r="332" spans="1:7" ht="15.75" customHeight="1">
      <c r="A332" s="3">
        <v>21881</v>
      </c>
      <c r="B332" s="4">
        <v>51</v>
      </c>
      <c r="C332">
        <f t="shared" si="25"/>
        <v>47.515705972461703</v>
      </c>
      <c r="D332" s="8">
        <f t="shared" si="26"/>
        <v>3.4842940275382972</v>
      </c>
      <c r="E332" s="8">
        <f t="shared" si="27"/>
        <v>3.4842940275382972</v>
      </c>
      <c r="F332" s="8">
        <f t="shared" si="28"/>
        <v>12.140304870339047</v>
      </c>
      <c r="G332" s="5">
        <f t="shared" si="29"/>
        <v>6.8319490736045041E-2</v>
      </c>
    </row>
    <row r="333" spans="1:7" ht="15.75" customHeight="1">
      <c r="A333" s="3">
        <v>21882</v>
      </c>
      <c r="B333" s="4">
        <v>46</v>
      </c>
      <c r="C333">
        <f t="shared" si="25"/>
        <v>48.560994180723185</v>
      </c>
      <c r="D333" s="8">
        <f t="shared" si="26"/>
        <v>-2.5609941807231849</v>
      </c>
      <c r="E333" s="8">
        <f t="shared" si="27"/>
        <v>2.5609941807231849</v>
      </c>
      <c r="F333" s="8">
        <f t="shared" si="28"/>
        <v>6.5586911936980172</v>
      </c>
      <c r="G333" s="5">
        <f t="shared" si="29"/>
        <v>5.5673786537460537E-2</v>
      </c>
    </row>
    <row r="334" spans="1:7" ht="15.75" customHeight="1">
      <c r="A334" s="3">
        <v>21883</v>
      </c>
      <c r="B334" s="4">
        <v>44</v>
      </c>
      <c r="C334">
        <f t="shared" si="25"/>
        <v>47.792695926506227</v>
      </c>
      <c r="D334" s="8">
        <f t="shared" si="26"/>
        <v>-3.7926959265062266</v>
      </c>
      <c r="E334" s="8">
        <f t="shared" si="27"/>
        <v>3.7926959265062266</v>
      </c>
      <c r="F334" s="8">
        <f t="shared" si="28"/>
        <v>14.384542390936923</v>
      </c>
      <c r="G334" s="5">
        <f t="shared" si="29"/>
        <v>8.6197634693323325E-2</v>
      </c>
    </row>
    <row r="335" spans="1:7" ht="15.75" customHeight="1">
      <c r="A335" s="3">
        <v>21884</v>
      </c>
      <c r="B335" s="4">
        <v>52</v>
      </c>
      <c r="C335">
        <f t="shared" si="25"/>
        <v>46.654887148554351</v>
      </c>
      <c r="D335" s="8">
        <f t="shared" si="26"/>
        <v>5.3451128514456485</v>
      </c>
      <c r="E335" s="8">
        <f t="shared" si="27"/>
        <v>5.3451128514456485</v>
      </c>
      <c r="F335" s="8">
        <f t="shared" si="28"/>
        <v>28.570231394689433</v>
      </c>
      <c r="G335" s="5">
        <f t="shared" si="29"/>
        <v>0.10279063175857016</v>
      </c>
    </row>
    <row r="336" spans="1:7" ht="15.75" customHeight="1">
      <c r="A336" s="3">
        <v>21885</v>
      </c>
      <c r="B336" s="4">
        <v>45</v>
      </c>
      <c r="C336">
        <f t="shared" si="25"/>
        <v>48.258421003988047</v>
      </c>
      <c r="D336" s="8">
        <f t="shared" si="26"/>
        <v>-3.2584210039880475</v>
      </c>
      <c r="E336" s="8">
        <f t="shared" si="27"/>
        <v>3.2584210039880475</v>
      </c>
      <c r="F336" s="8">
        <f t="shared" si="28"/>
        <v>10.617307439230474</v>
      </c>
      <c r="G336" s="5">
        <f t="shared" si="29"/>
        <v>7.240935564417883E-2</v>
      </c>
    </row>
    <row r="337" spans="1:7" ht="15.75" customHeight="1">
      <c r="A337" s="3">
        <v>21886</v>
      </c>
      <c r="B337" s="4">
        <v>32</v>
      </c>
      <c r="C337">
        <f t="shared" si="25"/>
        <v>47.280894702791628</v>
      </c>
      <c r="D337" s="8">
        <f t="shared" si="26"/>
        <v>-15.280894702791628</v>
      </c>
      <c r="E337" s="8">
        <f t="shared" si="27"/>
        <v>15.280894702791628</v>
      </c>
      <c r="F337" s="8">
        <f t="shared" si="28"/>
        <v>233.50574291780524</v>
      </c>
      <c r="G337" s="5">
        <f t="shared" si="29"/>
        <v>0.47752795946223836</v>
      </c>
    </row>
    <row r="338" spans="1:7" ht="15.75" customHeight="1">
      <c r="A338" s="3">
        <v>21887</v>
      </c>
      <c r="B338" s="4">
        <v>46</v>
      </c>
      <c r="C338">
        <f t="shared" si="25"/>
        <v>42.696626291954139</v>
      </c>
      <c r="D338" s="8">
        <f t="shared" si="26"/>
        <v>3.3033737080458607</v>
      </c>
      <c r="E338" s="8">
        <f t="shared" si="27"/>
        <v>3.3033737080458607</v>
      </c>
      <c r="F338" s="8">
        <f t="shared" si="28"/>
        <v>10.912277855008659</v>
      </c>
      <c r="G338" s="5">
        <f t="shared" si="29"/>
        <v>7.1812471914040457E-2</v>
      </c>
    </row>
    <row r="339" spans="1:7" ht="15.75" customHeight="1">
      <c r="A339" s="3">
        <v>21888</v>
      </c>
      <c r="B339" s="4">
        <v>41</v>
      </c>
      <c r="C339">
        <f t="shared" si="25"/>
        <v>43.687638404367895</v>
      </c>
      <c r="D339" s="8">
        <f t="shared" si="26"/>
        <v>-2.6876384043678954</v>
      </c>
      <c r="E339" s="8">
        <f t="shared" si="27"/>
        <v>2.6876384043678954</v>
      </c>
      <c r="F339" s="8">
        <f t="shared" si="28"/>
        <v>7.223400192633207</v>
      </c>
      <c r="G339" s="5">
        <f t="shared" si="29"/>
        <v>6.5552156204095005E-2</v>
      </c>
    </row>
    <row r="340" spans="1:7" ht="15.75" customHeight="1">
      <c r="A340" s="3">
        <v>21889</v>
      </c>
      <c r="B340" s="4">
        <v>34</v>
      </c>
      <c r="C340">
        <f t="shared" si="25"/>
        <v>42.881346883057525</v>
      </c>
      <c r="D340" s="8">
        <f t="shared" si="26"/>
        <v>-8.8813468830575246</v>
      </c>
      <c r="E340" s="8">
        <f t="shared" si="27"/>
        <v>8.8813468830575246</v>
      </c>
      <c r="F340" s="8">
        <f t="shared" si="28"/>
        <v>78.878322457195608</v>
      </c>
      <c r="G340" s="5">
        <f t="shared" si="29"/>
        <v>0.26121608479580954</v>
      </c>
    </row>
    <row r="341" spans="1:7" ht="15.75" customHeight="1">
      <c r="A341" s="3">
        <v>21890</v>
      </c>
      <c r="B341" s="4">
        <v>33</v>
      </c>
      <c r="C341">
        <f t="shared" si="25"/>
        <v>40.216942818140268</v>
      </c>
      <c r="D341" s="8">
        <f t="shared" si="26"/>
        <v>-7.2169428181402679</v>
      </c>
      <c r="E341" s="8">
        <f t="shared" si="27"/>
        <v>7.2169428181402679</v>
      </c>
      <c r="F341" s="8">
        <f t="shared" si="28"/>
        <v>52.084263640306389</v>
      </c>
      <c r="G341" s="5">
        <f t="shared" si="29"/>
        <v>0.21869523691334145</v>
      </c>
    </row>
    <row r="342" spans="1:7" ht="15.75" customHeight="1">
      <c r="A342" s="3">
        <v>21891</v>
      </c>
      <c r="B342" s="4">
        <v>36</v>
      </c>
      <c r="C342">
        <f t="shared" si="25"/>
        <v>38.051859972698189</v>
      </c>
      <c r="D342" s="8">
        <f t="shared" si="26"/>
        <v>-2.051859972698189</v>
      </c>
      <c r="E342" s="8">
        <f t="shared" si="27"/>
        <v>2.051859972698189</v>
      </c>
      <c r="F342" s="8">
        <f t="shared" si="28"/>
        <v>4.2101293475610131</v>
      </c>
      <c r="G342" s="5">
        <f t="shared" si="29"/>
        <v>5.6996110352727475E-2</v>
      </c>
    </row>
    <row r="343" spans="1:7" ht="15.75" customHeight="1">
      <c r="A343" s="3">
        <v>21892</v>
      </c>
      <c r="B343" s="4">
        <v>49</v>
      </c>
      <c r="C343">
        <f t="shared" si="25"/>
        <v>37.436301980888729</v>
      </c>
      <c r="D343" s="8">
        <f t="shared" si="26"/>
        <v>11.563698019111271</v>
      </c>
      <c r="E343" s="8">
        <f t="shared" si="27"/>
        <v>11.563698019111271</v>
      </c>
      <c r="F343" s="8">
        <f t="shared" si="28"/>
        <v>133.71911187719795</v>
      </c>
      <c r="G343" s="5">
        <f t="shared" si="29"/>
        <v>0.23599383712471983</v>
      </c>
    </row>
    <row r="344" spans="1:7" ht="15.75" customHeight="1">
      <c r="A344" s="3">
        <v>21893</v>
      </c>
      <c r="B344" s="4">
        <v>43</v>
      </c>
      <c r="C344">
        <f t="shared" si="25"/>
        <v>40.905411386622106</v>
      </c>
      <c r="D344" s="8">
        <f t="shared" si="26"/>
        <v>2.0945886133778941</v>
      </c>
      <c r="E344" s="8">
        <f t="shared" si="27"/>
        <v>2.0945886133778941</v>
      </c>
      <c r="F344" s="8">
        <f t="shared" si="28"/>
        <v>4.3873014592923294</v>
      </c>
      <c r="G344" s="5">
        <f t="shared" si="29"/>
        <v>4.871136310181149E-2</v>
      </c>
    </row>
    <row r="345" spans="1:7" ht="15.75" customHeight="1">
      <c r="A345" s="3">
        <v>21894</v>
      </c>
      <c r="B345" s="4">
        <v>43</v>
      </c>
      <c r="C345">
        <f t="shared" si="25"/>
        <v>41.533787970635473</v>
      </c>
      <c r="D345" s="8">
        <f t="shared" si="26"/>
        <v>1.4662120293645273</v>
      </c>
      <c r="E345" s="8">
        <f t="shared" si="27"/>
        <v>1.4662120293645273</v>
      </c>
      <c r="F345" s="8">
        <f t="shared" si="28"/>
        <v>2.1497777150532453</v>
      </c>
      <c r="G345" s="5">
        <f t="shared" si="29"/>
        <v>3.4097954171268076E-2</v>
      </c>
    </row>
    <row r="346" spans="1:7" ht="15.75" customHeight="1">
      <c r="A346" s="3">
        <v>21895</v>
      </c>
      <c r="B346" s="4">
        <v>34</v>
      </c>
      <c r="C346">
        <f t="shared" si="25"/>
        <v>41.973651579444827</v>
      </c>
      <c r="D346" s="8">
        <f t="shared" si="26"/>
        <v>-7.9736515794448266</v>
      </c>
      <c r="E346" s="8">
        <f t="shared" si="27"/>
        <v>7.9736515794448266</v>
      </c>
      <c r="F346" s="8">
        <f t="shared" si="28"/>
        <v>63.579119510382981</v>
      </c>
      <c r="G346" s="5">
        <f t="shared" si="29"/>
        <v>0.23451916410131843</v>
      </c>
    </row>
    <row r="347" spans="1:7" ht="15.75" customHeight="1">
      <c r="A347" s="3">
        <v>21896</v>
      </c>
      <c r="B347" s="4">
        <v>39</v>
      </c>
      <c r="C347">
        <f t="shared" si="25"/>
        <v>39.581556105611376</v>
      </c>
      <c r="D347" s="8">
        <f t="shared" si="26"/>
        <v>-0.58155610561137649</v>
      </c>
      <c r="E347" s="8">
        <f t="shared" si="27"/>
        <v>0.58155610561137649</v>
      </c>
      <c r="F347" s="8">
        <f t="shared" si="28"/>
        <v>0.3382075039738705</v>
      </c>
      <c r="G347" s="5">
        <f t="shared" si="29"/>
        <v>1.491169501567632E-2</v>
      </c>
    </row>
    <row r="348" spans="1:7" ht="15.75" customHeight="1">
      <c r="A348" s="3">
        <v>21897</v>
      </c>
      <c r="B348" s="4">
        <v>35</v>
      </c>
      <c r="C348">
        <f t="shared" si="25"/>
        <v>39.407089273927966</v>
      </c>
      <c r="D348" s="8">
        <f t="shared" si="26"/>
        <v>-4.4070892739279657</v>
      </c>
      <c r="E348" s="8">
        <f t="shared" si="27"/>
        <v>4.4070892739279657</v>
      </c>
      <c r="F348" s="8">
        <f t="shared" si="28"/>
        <v>19.422435868370922</v>
      </c>
      <c r="G348" s="5">
        <f t="shared" si="29"/>
        <v>0.12591683639794188</v>
      </c>
    </row>
    <row r="349" spans="1:7" ht="15.75" customHeight="1">
      <c r="A349" s="3">
        <v>21898</v>
      </c>
      <c r="B349" s="4">
        <v>52</v>
      </c>
      <c r="C349">
        <f t="shared" si="25"/>
        <v>38.084962491749579</v>
      </c>
      <c r="D349" s="8">
        <f t="shared" si="26"/>
        <v>13.915037508250421</v>
      </c>
      <c r="E349" s="8">
        <f t="shared" si="27"/>
        <v>13.915037508250421</v>
      </c>
      <c r="F349" s="8">
        <f t="shared" si="28"/>
        <v>193.62826885601609</v>
      </c>
      <c r="G349" s="5">
        <f t="shared" si="29"/>
        <v>0.26759687515866193</v>
      </c>
    </row>
    <row r="350" spans="1:7" ht="15.75" customHeight="1">
      <c r="A350" s="3">
        <v>21899</v>
      </c>
      <c r="B350" s="4">
        <v>47</v>
      </c>
      <c r="C350">
        <f t="shared" si="25"/>
        <v>42.259473744224707</v>
      </c>
      <c r="D350" s="8">
        <f t="shared" si="26"/>
        <v>4.7405262557752934</v>
      </c>
      <c r="E350" s="8">
        <f t="shared" si="27"/>
        <v>4.7405262557752934</v>
      </c>
      <c r="F350" s="8">
        <f t="shared" si="28"/>
        <v>22.472589181694921</v>
      </c>
      <c r="G350" s="5">
        <f t="shared" si="29"/>
        <v>0.10086226076117645</v>
      </c>
    </row>
    <row r="351" spans="1:7" ht="15.75" customHeight="1">
      <c r="A351" s="3">
        <v>21900</v>
      </c>
      <c r="B351" s="4">
        <v>52</v>
      </c>
      <c r="C351">
        <f t="shared" si="25"/>
        <v>43.68163162095729</v>
      </c>
      <c r="D351" s="8">
        <f t="shared" si="26"/>
        <v>8.3183683790427096</v>
      </c>
      <c r="E351" s="8">
        <f t="shared" si="27"/>
        <v>8.3183683790427096</v>
      </c>
      <c r="F351" s="8">
        <f t="shared" si="28"/>
        <v>69.19525248945763</v>
      </c>
      <c r="G351" s="5">
        <f t="shared" si="29"/>
        <v>0.15996862267389828</v>
      </c>
    </row>
    <row r="352" spans="1:7" ht="15.75" customHeight="1">
      <c r="A352" s="3">
        <v>21901</v>
      </c>
      <c r="B352" s="4">
        <v>39</v>
      </c>
      <c r="C352">
        <f t="shared" si="25"/>
        <v>46.177142134670099</v>
      </c>
      <c r="D352" s="8">
        <f t="shared" si="26"/>
        <v>-7.177142134670099</v>
      </c>
      <c r="E352" s="8">
        <f t="shared" si="27"/>
        <v>7.177142134670099</v>
      </c>
      <c r="F352" s="8">
        <f t="shared" si="28"/>
        <v>51.511369221256864</v>
      </c>
      <c r="G352" s="5">
        <f t="shared" si="29"/>
        <v>0.18402928550436151</v>
      </c>
    </row>
    <row r="353" spans="1:7" ht="15.75" customHeight="1">
      <c r="A353" s="3">
        <v>21902</v>
      </c>
      <c r="B353" s="4">
        <v>40</v>
      </c>
      <c r="C353">
        <f t="shared" si="25"/>
        <v>44.023999494269063</v>
      </c>
      <c r="D353" s="8">
        <f t="shared" si="26"/>
        <v>-4.0239994942690629</v>
      </c>
      <c r="E353" s="8">
        <f t="shared" si="27"/>
        <v>4.0239994942690629</v>
      </c>
      <c r="F353" s="8">
        <f t="shared" si="28"/>
        <v>16.192571929877673</v>
      </c>
      <c r="G353" s="5">
        <f t="shared" si="29"/>
        <v>0.10059998735672657</v>
      </c>
    </row>
    <row r="354" spans="1:7" ht="15.75" customHeight="1">
      <c r="A354" s="3">
        <v>21903</v>
      </c>
      <c r="B354" s="4">
        <v>42</v>
      </c>
      <c r="C354">
        <f t="shared" si="25"/>
        <v>42.81679964598834</v>
      </c>
      <c r="D354" s="8">
        <f t="shared" si="26"/>
        <v>-0.81679964598833976</v>
      </c>
      <c r="E354" s="8">
        <f t="shared" si="27"/>
        <v>0.81679964598833976</v>
      </c>
      <c r="F354" s="8">
        <f t="shared" si="28"/>
        <v>0.66716166168667712</v>
      </c>
      <c r="G354" s="5">
        <f t="shared" si="29"/>
        <v>1.9447610618769994E-2</v>
      </c>
    </row>
    <row r="355" spans="1:7" ht="15.75" customHeight="1">
      <c r="A355" s="3">
        <v>21904</v>
      </c>
      <c r="B355" s="4">
        <v>42</v>
      </c>
      <c r="C355">
        <f t="shared" si="25"/>
        <v>42.571759752191838</v>
      </c>
      <c r="D355" s="8">
        <f t="shared" si="26"/>
        <v>-0.57175975219183783</v>
      </c>
      <c r="E355" s="8">
        <f t="shared" si="27"/>
        <v>0.57175975219183783</v>
      </c>
      <c r="F355" s="8">
        <f t="shared" si="28"/>
        <v>0.32690921422647179</v>
      </c>
      <c r="G355" s="5">
        <f t="shared" si="29"/>
        <v>1.3613327433138997E-2</v>
      </c>
    </row>
    <row r="356" spans="1:7" ht="15.75" customHeight="1">
      <c r="A356" s="3">
        <v>21905</v>
      </c>
      <c r="B356" s="4">
        <v>53</v>
      </c>
      <c r="C356">
        <f t="shared" si="25"/>
        <v>42.400231826534281</v>
      </c>
      <c r="D356" s="8">
        <f t="shared" si="26"/>
        <v>10.599768173465719</v>
      </c>
      <c r="E356" s="8">
        <f t="shared" si="27"/>
        <v>10.599768173465719</v>
      </c>
      <c r="F356" s="8">
        <f t="shared" si="28"/>
        <v>112.35508533121678</v>
      </c>
      <c r="G356" s="5">
        <f t="shared" si="29"/>
        <v>0.19999562591444753</v>
      </c>
    </row>
    <row r="357" spans="1:7" ht="15.75" customHeight="1">
      <c r="A357" s="3">
        <v>21906</v>
      </c>
      <c r="B357" s="4">
        <v>39</v>
      </c>
      <c r="C357">
        <f t="shared" si="25"/>
        <v>45.580162278573994</v>
      </c>
      <c r="D357" s="8">
        <f t="shared" si="26"/>
        <v>-6.5801622785739937</v>
      </c>
      <c r="E357" s="8">
        <f t="shared" si="27"/>
        <v>6.5801622785739937</v>
      </c>
      <c r="F357" s="8">
        <f t="shared" si="28"/>
        <v>43.298535612368092</v>
      </c>
      <c r="G357" s="5">
        <f t="shared" si="29"/>
        <v>0.16872210970702547</v>
      </c>
    </row>
    <row r="358" spans="1:7" ht="15.75" customHeight="1">
      <c r="A358" s="3">
        <v>21907</v>
      </c>
      <c r="B358" s="4">
        <v>40</v>
      </c>
      <c r="C358">
        <f t="shared" si="25"/>
        <v>43.606113595001794</v>
      </c>
      <c r="D358" s="8">
        <f t="shared" si="26"/>
        <v>-3.6061135950017942</v>
      </c>
      <c r="E358" s="8">
        <f t="shared" si="27"/>
        <v>3.6061135950017942</v>
      </c>
      <c r="F358" s="8">
        <f t="shared" si="28"/>
        <v>13.004055260056765</v>
      </c>
      <c r="G358" s="5">
        <f t="shared" si="29"/>
        <v>9.0152839875044855E-2</v>
      </c>
    </row>
    <row r="359" spans="1:7" ht="15.75" customHeight="1">
      <c r="A359" s="3">
        <v>21908</v>
      </c>
      <c r="B359" s="4">
        <v>38</v>
      </c>
      <c r="C359">
        <f t="shared" si="25"/>
        <v>42.524279516501252</v>
      </c>
      <c r="D359" s="8">
        <f t="shared" si="26"/>
        <v>-4.5242795165012524</v>
      </c>
      <c r="E359" s="8">
        <f t="shared" si="27"/>
        <v>4.5242795165012524</v>
      </c>
      <c r="F359" s="8">
        <f t="shared" si="28"/>
        <v>20.469105143432806</v>
      </c>
      <c r="G359" s="5">
        <f t="shared" si="29"/>
        <v>0.11905998727634874</v>
      </c>
    </row>
    <row r="360" spans="1:7" ht="15.75" customHeight="1">
      <c r="A360" s="3">
        <v>21909</v>
      </c>
      <c r="B360" s="4">
        <v>44</v>
      </c>
      <c r="C360">
        <f t="shared" si="25"/>
        <v>41.166995661550878</v>
      </c>
      <c r="D360" s="8">
        <f t="shared" si="26"/>
        <v>2.8330043384491219</v>
      </c>
      <c r="E360" s="8">
        <f t="shared" si="27"/>
        <v>2.8330043384491219</v>
      </c>
      <c r="F360" s="8">
        <f t="shared" si="28"/>
        <v>8.0259135816715474</v>
      </c>
      <c r="G360" s="5">
        <f t="shared" si="29"/>
        <v>6.4386462237480041E-2</v>
      </c>
    </row>
    <row r="361" spans="1:7" ht="15.75" customHeight="1">
      <c r="A361" s="3">
        <v>21910</v>
      </c>
      <c r="B361" s="4">
        <v>34</v>
      </c>
      <c r="C361">
        <f t="shared" si="25"/>
        <v>42.016896963085614</v>
      </c>
      <c r="D361" s="8">
        <f t="shared" si="26"/>
        <v>-8.0168969630856139</v>
      </c>
      <c r="E361" s="8">
        <f t="shared" si="27"/>
        <v>8.0168969630856139</v>
      </c>
      <c r="F361" s="8">
        <f t="shared" si="28"/>
        <v>64.270636916731334</v>
      </c>
      <c r="G361" s="5">
        <f t="shared" si="29"/>
        <v>0.23579108714957689</v>
      </c>
    </row>
    <row r="362" spans="1:7" ht="15.75" customHeight="1">
      <c r="A362" s="3">
        <v>21911</v>
      </c>
      <c r="B362" s="4">
        <v>37</v>
      </c>
      <c r="C362">
        <f t="shared" si="25"/>
        <v>39.611827874159928</v>
      </c>
      <c r="D362" s="8">
        <f t="shared" si="26"/>
        <v>-2.6118278741599283</v>
      </c>
      <c r="E362" s="8">
        <f t="shared" si="27"/>
        <v>2.6118278741599283</v>
      </c>
      <c r="F362" s="8">
        <f t="shared" si="28"/>
        <v>6.8216448442387705</v>
      </c>
      <c r="G362" s="5">
        <f t="shared" si="29"/>
        <v>7.0589942544862921E-2</v>
      </c>
    </row>
    <row r="363" spans="1:7" ht="15.75" customHeight="1">
      <c r="A363" s="3">
        <v>21912</v>
      </c>
      <c r="B363" s="4">
        <v>52</v>
      </c>
      <c r="C363">
        <f t="shared" si="25"/>
        <v>38.828279511911951</v>
      </c>
      <c r="D363" s="8">
        <f t="shared" si="26"/>
        <v>13.171720488088049</v>
      </c>
      <c r="E363" s="8">
        <f t="shared" si="27"/>
        <v>13.171720488088049</v>
      </c>
      <c r="F363" s="8">
        <f t="shared" si="28"/>
        <v>173.49422061631847</v>
      </c>
      <c r="G363" s="5">
        <f t="shared" si="29"/>
        <v>0.25330231707861633</v>
      </c>
    </row>
    <row r="364" spans="1:7" ht="15.75" customHeight="1">
      <c r="A364" s="3">
        <v>21913</v>
      </c>
      <c r="B364" s="4">
        <v>48</v>
      </c>
      <c r="C364">
        <f t="shared" si="25"/>
        <v>42.779795658338365</v>
      </c>
      <c r="D364" s="8">
        <f t="shared" si="26"/>
        <v>5.2202043416616348</v>
      </c>
      <c r="E364" s="8">
        <f t="shared" si="27"/>
        <v>5.2202043416616348</v>
      </c>
      <c r="F364" s="8">
        <f t="shared" si="28"/>
        <v>27.250533368702982</v>
      </c>
      <c r="G364" s="5">
        <f t="shared" si="29"/>
        <v>0.10875425711795073</v>
      </c>
    </row>
    <row r="365" spans="1:7" ht="15.75" customHeight="1">
      <c r="A365" s="3">
        <v>21914</v>
      </c>
      <c r="B365" s="4">
        <v>55</v>
      </c>
      <c r="C365">
        <f t="shared" si="25"/>
        <v>44.345856960836855</v>
      </c>
      <c r="D365" s="8">
        <f t="shared" si="26"/>
        <v>10.654143039163145</v>
      </c>
      <c r="E365" s="8">
        <f t="shared" si="27"/>
        <v>10.654143039163145</v>
      </c>
      <c r="F365" s="8">
        <f t="shared" si="28"/>
        <v>113.5107638989485</v>
      </c>
      <c r="G365" s="5">
        <f t="shared" si="29"/>
        <v>0.1937116916211481</v>
      </c>
    </row>
    <row r="366" spans="1:7" ht="15.75" customHeight="1">
      <c r="A366" s="3">
        <v>21915</v>
      </c>
      <c r="B366" s="4">
        <v>50</v>
      </c>
      <c r="C366">
        <f t="shared" si="25"/>
        <v>47.542099872585794</v>
      </c>
      <c r="D366" s="8">
        <f t="shared" si="26"/>
        <v>2.4579001274142058</v>
      </c>
      <c r="E366" s="8">
        <f t="shared" si="27"/>
        <v>2.4579001274142058</v>
      </c>
      <c r="F366" s="8">
        <f t="shared" si="28"/>
        <v>6.0412730363427691</v>
      </c>
      <c r="G366" s="5">
        <f t="shared" si="29"/>
        <v>4.9158002548284119E-2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D94F-72CD-40DD-854E-EF315D3D276A}">
  <dimension ref="A1:K1000"/>
  <sheetViews>
    <sheetView topLeftCell="A2" workbookViewId="0">
      <selection activeCell="C2" sqref="C2:C366"/>
    </sheetView>
  </sheetViews>
  <sheetFormatPr defaultColWidth="11.19921875" defaultRowHeight="15" customHeight="1"/>
  <cols>
    <col min="1" max="1" width="11" customWidth="1"/>
    <col min="2" max="2" width="11.69921875" customWidth="1"/>
    <col min="3" max="3" width="28.69921875" customWidth="1"/>
    <col min="4" max="5" width="12.8984375" customWidth="1"/>
    <col min="6" max="6" width="20.09765625" customWidth="1"/>
    <col min="7" max="7" width="22.8984375" customWidth="1"/>
    <col min="8" max="10" width="11" customWidth="1"/>
    <col min="11" max="11" width="13.699218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0.2*B3+0.8*C3</f>
        <v>34.4</v>
      </c>
      <c r="D4" s="8">
        <f t="shared" ref="D4:D67" si="1">B4-C4</f>
        <v>-4.3999999999999986</v>
      </c>
      <c r="E4" s="8">
        <f t="shared" ref="E4:E67" si="2">ABS(D4)</f>
        <v>4.3999999999999986</v>
      </c>
      <c r="F4" s="8">
        <f t="shared" ref="F4:F67" si="3">E4^2</f>
        <v>19.359999999999989</v>
      </c>
      <c r="G4" s="5">
        <f t="shared" ref="G4:G67" si="4">E4/B4</f>
        <v>0.14666666666666661</v>
      </c>
    </row>
    <row r="5" spans="1:11" ht="15.75" customHeight="1">
      <c r="A5" s="3">
        <v>21554</v>
      </c>
      <c r="B5" s="4">
        <v>31</v>
      </c>
      <c r="C5">
        <f t="shared" si="0"/>
        <v>33.519999999999996</v>
      </c>
      <c r="D5" s="8">
        <f t="shared" si="1"/>
        <v>-2.519999999999996</v>
      </c>
      <c r="E5" s="8">
        <f t="shared" si="2"/>
        <v>2.519999999999996</v>
      </c>
      <c r="F5" s="8">
        <f t="shared" si="3"/>
        <v>6.3503999999999801</v>
      </c>
      <c r="G5" s="5">
        <f t="shared" si="4"/>
        <v>8.129032258064503E-2</v>
      </c>
    </row>
    <row r="6" spans="1:11" ht="15.75" customHeight="1">
      <c r="A6" s="3">
        <v>21555</v>
      </c>
      <c r="B6" s="4">
        <v>44</v>
      </c>
      <c r="C6">
        <f t="shared" si="0"/>
        <v>33.015999999999998</v>
      </c>
      <c r="D6" s="8">
        <f t="shared" si="1"/>
        <v>10.984000000000002</v>
      </c>
      <c r="E6" s="8">
        <f t="shared" si="2"/>
        <v>10.984000000000002</v>
      </c>
      <c r="F6" s="8">
        <f t="shared" si="3"/>
        <v>120.64825600000003</v>
      </c>
      <c r="G6" s="5">
        <f t="shared" si="4"/>
        <v>0.24963636363636368</v>
      </c>
    </row>
    <row r="7" spans="1:11" ht="15.75" customHeight="1">
      <c r="A7" s="3">
        <v>21556</v>
      </c>
      <c r="B7" s="4">
        <v>29</v>
      </c>
      <c r="C7">
        <f t="shared" si="0"/>
        <v>35.212800000000001</v>
      </c>
      <c r="D7" s="8">
        <f t="shared" si="1"/>
        <v>-6.2128000000000014</v>
      </c>
      <c r="E7" s="8">
        <f t="shared" si="2"/>
        <v>6.2128000000000014</v>
      </c>
      <c r="F7" s="8">
        <f t="shared" si="3"/>
        <v>38.59888384000002</v>
      </c>
      <c r="G7" s="5">
        <f t="shared" si="4"/>
        <v>0.21423448275862073</v>
      </c>
    </row>
    <row r="8" spans="1:11" ht="15.75" customHeight="1">
      <c r="A8" s="3">
        <v>21557</v>
      </c>
      <c r="B8" s="4">
        <v>45</v>
      </c>
      <c r="C8">
        <f t="shared" si="0"/>
        <v>33.970240000000004</v>
      </c>
      <c r="D8" s="8">
        <f t="shared" si="1"/>
        <v>11.029759999999996</v>
      </c>
      <c r="E8" s="8">
        <f t="shared" si="2"/>
        <v>11.029759999999996</v>
      </c>
      <c r="F8" s="8">
        <f t="shared" si="3"/>
        <v>121.65560565759991</v>
      </c>
      <c r="G8" s="5">
        <f t="shared" si="4"/>
        <v>0.2451057777777777</v>
      </c>
      <c r="J8" s="2" t="s">
        <v>7</v>
      </c>
      <c r="K8" s="8">
        <f>AVERAGE(E3:E366)</f>
        <v>5.7477986067745821</v>
      </c>
    </row>
    <row r="9" spans="1:11" ht="15.75" customHeight="1">
      <c r="A9" s="3">
        <v>21558</v>
      </c>
      <c r="B9" s="4">
        <v>43</v>
      </c>
      <c r="C9">
        <f t="shared" si="0"/>
        <v>36.176192</v>
      </c>
      <c r="D9" s="8">
        <f t="shared" si="1"/>
        <v>6.8238079999999997</v>
      </c>
      <c r="E9" s="8">
        <f t="shared" si="2"/>
        <v>6.8238079999999997</v>
      </c>
      <c r="F9" s="8">
        <f t="shared" si="3"/>
        <v>46.564355620863992</v>
      </c>
      <c r="G9" s="5">
        <f t="shared" si="4"/>
        <v>0.15869320930232558</v>
      </c>
      <c r="J9" s="2" t="s">
        <v>8</v>
      </c>
      <c r="K9" s="8">
        <f>AVERAGE(F3:F366)</f>
        <v>51.689214675269277</v>
      </c>
    </row>
    <row r="10" spans="1:11" ht="15.75" customHeight="1" thickBot="1">
      <c r="A10" s="3">
        <v>21559</v>
      </c>
      <c r="B10" s="4">
        <v>38</v>
      </c>
      <c r="C10">
        <f t="shared" si="0"/>
        <v>37.540953600000002</v>
      </c>
      <c r="D10" s="8">
        <f t="shared" si="1"/>
        <v>0.4590463999999983</v>
      </c>
      <c r="E10" s="8">
        <f t="shared" si="2"/>
        <v>0.4590463999999983</v>
      </c>
      <c r="F10" s="8">
        <f t="shared" si="3"/>
        <v>0.21072359735295845</v>
      </c>
      <c r="G10" s="5">
        <f t="shared" si="4"/>
        <v>1.2080168421052587E-2</v>
      </c>
      <c r="J10" s="9" t="s">
        <v>9</v>
      </c>
      <c r="K10" s="10">
        <f>AVERAGE(G3:G366)</f>
        <v>0.14028641234043532</v>
      </c>
    </row>
    <row r="11" spans="1:11" ht="15.75" customHeight="1" thickTop="1">
      <c r="A11" s="3">
        <v>21560</v>
      </c>
      <c r="B11" s="4">
        <v>27</v>
      </c>
      <c r="C11">
        <f t="shared" si="0"/>
        <v>37.632762880000001</v>
      </c>
      <c r="D11" s="8">
        <f t="shared" si="1"/>
        <v>-10.632762880000001</v>
      </c>
      <c r="E11" s="8">
        <f t="shared" si="2"/>
        <v>10.632762880000001</v>
      </c>
      <c r="F11" s="8">
        <f t="shared" si="3"/>
        <v>113.05564646230593</v>
      </c>
      <c r="G11" s="5">
        <f t="shared" si="4"/>
        <v>0.39380603259259267</v>
      </c>
      <c r="J11" s="2" t="s">
        <v>10</v>
      </c>
      <c r="K11" s="5">
        <f>100%-K10</f>
        <v>0.85971358765956474</v>
      </c>
    </row>
    <row r="12" spans="1:11" ht="15.75" customHeight="1">
      <c r="A12" s="3">
        <v>21561</v>
      </c>
      <c r="B12" s="4">
        <v>38</v>
      </c>
      <c r="C12">
        <f t="shared" si="0"/>
        <v>35.506210304</v>
      </c>
      <c r="D12" s="8">
        <f t="shared" si="1"/>
        <v>2.4937896960000003</v>
      </c>
      <c r="E12" s="8">
        <f t="shared" si="2"/>
        <v>2.4937896960000003</v>
      </c>
      <c r="F12" s="8">
        <f t="shared" si="3"/>
        <v>6.2189870478757738</v>
      </c>
      <c r="G12" s="5">
        <f t="shared" si="4"/>
        <v>6.562604463157895E-2</v>
      </c>
    </row>
    <row r="13" spans="1:11" ht="15.75" customHeight="1">
      <c r="A13" s="3">
        <v>21562</v>
      </c>
      <c r="B13" s="4">
        <v>33</v>
      </c>
      <c r="C13">
        <f t="shared" si="0"/>
        <v>36.004968243200004</v>
      </c>
      <c r="D13" s="8">
        <f t="shared" si="1"/>
        <v>-3.004968243200004</v>
      </c>
      <c r="E13" s="8">
        <f t="shared" si="2"/>
        <v>3.004968243200004</v>
      </c>
      <c r="F13" s="8">
        <f t="shared" si="3"/>
        <v>9.0298341426405191</v>
      </c>
      <c r="G13" s="5">
        <f t="shared" si="4"/>
        <v>9.1059643733333459E-2</v>
      </c>
    </row>
    <row r="14" spans="1:11" ht="15.75" customHeight="1">
      <c r="A14" s="3">
        <v>21563</v>
      </c>
      <c r="B14" s="4">
        <v>55</v>
      </c>
      <c r="C14">
        <f t="shared" si="0"/>
        <v>35.403974594560005</v>
      </c>
      <c r="D14" s="8">
        <f t="shared" si="1"/>
        <v>19.596025405439995</v>
      </c>
      <c r="E14" s="8">
        <f t="shared" si="2"/>
        <v>19.596025405439995</v>
      </c>
      <c r="F14" s="8">
        <f t="shared" si="3"/>
        <v>384.00421169064975</v>
      </c>
      <c r="G14" s="5">
        <f t="shared" si="4"/>
        <v>0.3562913710079999</v>
      </c>
    </row>
    <row r="15" spans="1:11" ht="15.75" customHeight="1">
      <c r="A15" s="3">
        <v>21564</v>
      </c>
      <c r="B15" s="4">
        <v>47</v>
      </c>
      <c r="C15">
        <f t="shared" si="0"/>
        <v>39.323179675648007</v>
      </c>
      <c r="D15" s="8">
        <f t="shared" si="1"/>
        <v>7.6768203243519935</v>
      </c>
      <c r="E15" s="8">
        <f t="shared" si="2"/>
        <v>7.6768203243519935</v>
      </c>
      <c r="F15" s="8">
        <f t="shared" si="3"/>
        <v>58.933570292383848</v>
      </c>
      <c r="G15" s="5">
        <f t="shared" si="4"/>
        <v>0.16333660264578709</v>
      </c>
    </row>
    <row r="16" spans="1:11" ht="15.75" customHeight="1">
      <c r="A16" s="3">
        <v>21565</v>
      </c>
      <c r="B16" s="4">
        <v>45</v>
      </c>
      <c r="C16">
        <f t="shared" si="0"/>
        <v>40.858543740518407</v>
      </c>
      <c r="D16" s="8">
        <f t="shared" si="1"/>
        <v>4.1414562594815933</v>
      </c>
      <c r="E16" s="8">
        <f t="shared" si="2"/>
        <v>4.1414562594815933</v>
      </c>
      <c r="F16" s="8">
        <f t="shared" si="3"/>
        <v>17.151659949199271</v>
      </c>
      <c r="G16" s="5">
        <f t="shared" si="4"/>
        <v>9.203236132181318E-2</v>
      </c>
    </row>
    <row r="17" spans="1:7" ht="15.75" customHeight="1">
      <c r="A17" s="3">
        <v>21566</v>
      </c>
      <c r="B17" s="4">
        <v>37</v>
      </c>
      <c r="C17">
        <f t="shared" si="0"/>
        <v>41.686834992414724</v>
      </c>
      <c r="D17" s="8">
        <f t="shared" si="1"/>
        <v>-4.6868349924147239</v>
      </c>
      <c r="E17" s="8">
        <f t="shared" si="2"/>
        <v>4.6868349924147239</v>
      </c>
      <c r="F17" s="8">
        <f t="shared" si="3"/>
        <v>21.966422246123123</v>
      </c>
      <c r="G17" s="5">
        <f t="shared" si="4"/>
        <v>0.12667121601120876</v>
      </c>
    </row>
    <row r="18" spans="1:7" ht="15.75" customHeight="1">
      <c r="A18" s="3">
        <v>21567</v>
      </c>
      <c r="B18" s="4">
        <v>50</v>
      </c>
      <c r="C18">
        <f t="shared" si="0"/>
        <v>40.749467993931781</v>
      </c>
      <c r="D18" s="8">
        <f t="shared" si="1"/>
        <v>9.2505320060682195</v>
      </c>
      <c r="E18" s="8">
        <f t="shared" si="2"/>
        <v>9.2505320060682195</v>
      </c>
      <c r="F18" s="8">
        <f t="shared" si="3"/>
        <v>85.572342395292523</v>
      </c>
      <c r="G18" s="5">
        <f t="shared" si="4"/>
        <v>0.18501064012136439</v>
      </c>
    </row>
    <row r="19" spans="1:7" ht="15.75" customHeight="1">
      <c r="A19" s="3">
        <v>21568</v>
      </c>
      <c r="B19" s="4">
        <v>43</v>
      </c>
      <c r="C19">
        <f t="shared" si="0"/>
        <v>42.599574395145424</v>
      </c>
      <c r="D19" s="8">
        <f t="shared" si="1"/>
        <v>0.40042560485457557</v>
      </c>
      <c r="E19" s="8">
        <f t="shared" si="2"/>
        <v>0.40042560485457557</v>
      </c>
      <c r="F19" s="8">
        <f t="shared" si="3"/>
        <v>0.1603406650231527</v>
      </c>
      <c r="G19" s="5">
        <f t="shared" si="4"/>
        <v>9.3122233687110596E-3</v>
      </c>
    </row>
    <row r="20" spans="1:7" ht="15.75" customHeight="1">
      <c r="A20" s="3">
        <v>21569</v>
      </c>
      <c r="B20" s="4">
        <v>41</v>
      </c>
      <c r="C20">
        <f t="shared" si="0"/>
        <v>42.679659516116345</v>
      </c>
      <c r="D20" s="8">
        <f t="shared" si="1"/>
        <v>-1.6796595161163452</v>
      </c>
      <c r="E20" s="8">
        <f t="shared" si="2"/>
        <v>1.6796595161163452</v>
      </c>
      <c r="F20" s="8">
        <f t="shared" si="3"/>
        <v>2.8212560900801948</v>
      </c>
      <c r="G20" s="5">
        <f t="shared" si="4"/>
        <v>4.0967305271130371E-2</v>
      </c>
    </row>
    <row r="21" spans="1:7" ht="15.75" customHeight="1">
      <c r="A21" s="3">
        <v>21570</v>
      </c>
      <c r="B21" s="4">
        <v>52</v>
      </c>
      <c r="C21">
        <f t="shared" si="0"/>
        <v>42.343727612893083</v>
      </c>
      <c r="D21" s="8">
        <f t="shared" si="1"/>
        <v>9.6562723871069167</v>
      </c>
      <c r="E21" s="8">
        <f t="shared" si="2"/>
        <v>9.6562723871069167</v>
      </c>
      <c r="F21" s="8">
        <f t="shared" si="3"/>
        <v>93.243596414003505</v>
      </c>
      <c r="G21" s="5">
        <f t="shared" si="4"/>
        <v>0.18569754590590223</v>
      </c>
    </row>
    <row r="22" spans="1:7" ht="15.75" customHeight="1">
      <c r="A22" s="3">
        <v>21571</v>
      </c>
      <c r="B22" s="4">
        <v>34</v>
      </c>
      <c r="C22">
        <f t="shared" si="0"/>
        <v>44.274982090314467</v>
      </c>
      <c r="D22" s="8">
        <f t="shared" si="1"/>
        <v>-10.274982090314467</v>
      </c>
      <c r="E22" s="8">
        <f t="shared" si="2"/>
        <v>10.274982090314467</v>
      </c>
      <c r="F22" s="8">
        <f t="shared" si="3"/>
        <v>105.57525695628304</v>
      </c>
      <c r="G22" s="5">
        <f t="shared" si="4"/>
        <v>0.30220535559748429</v>
      </c>
    </row>
    <row r="23" spans="1:7" ht="15.75" customHeight="1">
      <c r="A23" s="3">
        <v>21572</v>
      </c>
      <c r="B23" s="4">
        <v>53</v>
      </c>
      <c r="C23">
        <f t="shared" si="0"/>
        <v>42.219985672251582</v>
      </c>
      <c r="D23" s="8">
        <f t="shared" si="1"/>
        <v>10.780014327748418</v>
      </c>
      <c r="E23" s="8">
        <f t="shared" si="2"/>
        <v>10.780014327748418</v>
      </c>
      <c r="F23" s="8">
        <f t="shared" si="3"/>
        <v>116.20870890646118</v>
      </c>
      <c r="G23" s="5">
        <f t="shared" si="4"/>
        <v>0.20339649674997015</v>
      </c>
    </row>
    <row r="24" spans="1:7" ht="15.75" customHeight="1">
      <c r="A24" s="3">
        <v>21573</v>
      </c>
      <c r="B24" s="4">
        <v>39</v>
      </c>
      <c r="C24">
        <f t="shared" si="0"/>
        <v>44.37598853780127</v>
      </c>
      <c r="D24" s="8">
        <f t="shared" si="1"/>
        <v>-5.3759885378012697</v>
      </c>
      <c r="E24" s="8">
        <f t="shared" si="2"/>
        <v>5.3759885378012697</v>
      </c>
      <c r="F24" s="8">
        <f t="shared" si="3"/>
        <v>28.901252758570635</v>
      </c>
      <c r="G24" s="5">
        <f t="shared" si="4"/>
        <v>0.13784585994362231</v>
      </c>
    </row>
    <row r="25" spans="1:7" ht="15.75" customHeight="1">
      <c r="A25" s="3">
        <v>21574</v>
      </c>
      <c r="B25" s="4">
        <v>32</v>
      </c>
      <c r="C25">
        <f t="shared" si="0"/>
        <v>43.300790830241013</v>
      </c>
      <c r="D25" s="8">
        <f t="shared" si="1"/>
        <v>-11.300790830241013</v>
      </c>
      <c r="E25" s="8">
        <f t="shared" si="2"/>
        <v>11.300790830241013</v>
      </c>
      <c r="F25" s="8">
        <f t="shared" si="3"/>
        <v>127.70787338885937</v>
      </c>
      <c r="G25" s="5">
        <f t="shared" si="4"/>
        <v>0.35314971344503165</v>
      </c>
    </row>
    <row r="26" spans="1:7" ht="15.75" customHeight="1">
      <c r="A26" s="3">
        <v>21575</v>
      </c>
      <c r="B26" s="4">
        <v>37</v>
      </c>
      <c r="C26">
        <f t="shared" si="0"/>
        <v>41.040632664192813</v>
      </c>
      <c r="D26" s="8">
        <f t="shared" si="1"/>
        <v>-4.0406326641928132</v>
      </c>
      <c r="E26" s="8">
        <f t="shared" si="2"/>
        <v>4.0406326641928132</v>
      </c>
      <c r="F26" s="8">
        <f t="shared" si="3"/>
        <v>16.326712326941912</v>
      </c>
      <c r="G26" s="5">
        <f t="shared" si="4"/>
        <v>0.10920628822142739</v>
      </c>
    </row>
    <row r="27" spans="1:7" ht="15.75" customHeight="1">
      <c r="A27" s="3">
        <v>21576</v>
      </c>
      <c r="B27" s="4">
        <v>43</v>
      </c>
      <c r="C27">
        <f t="shared" si="0"/>
        <v>40.232506131354249</v>
      </c>
      <c r="D27" s="8">
        <f t="shared" si="1"/>
        <v>2.7674938686457509</v>
      </c>
      <c r="E27" s="8">
        <f t="shared" si="2"/>
        <v>2.7674938686457509</v>
      </c>
      <c r="F27" s="8">
        <f t="shared" si="3"/>
        <v>7.6590223129918247</v>
      </c>
      <c r="G27" s="5">
        <f t="shared" si="4"/>
        <v>6.4360322526645364E-2</v>
      </c>
    </row>
    <row r="28" spans="1:7" ht="15.75" customHeight="1">
      <c r="A28" s="3">
        <v>21577</v>
      </c>
      <c r="B28" s="4">
        <v>39</v>
      </c>
      <c r="C28">
        <f t="shared" si="0"/>
        <v>40.786004905083402</v>
      </c>
      <c r="D28" s="8">
        <f t="shared" si="1"/>
        <v>-1.7860049050834022</v>
      </c>
      <c r="E28" s="8">
        <f t="shared" si="2"/>
        <v>1.7860049050834022</v>
      </c>
      <c r="F28" s="8">
        <f t="shared" si="3"/>
        <v>3.1898135209819722</v>
      </c>
      <c r="G28" s="5">
        <f t="shared" si="4"/>
        <v>4.5794997566241079E-2</v>
      </c>
    </row>
    <row r="29" spans="1:7" ht="15.75" customHeight="1">
      <c r="A29" s="3">
        <v>21578</v>
      </c>
      <c r="B29" s="4">
        <v>35</v>
      </c>
      <c r="C29">
        <f t="shared" si="0"/>
        <v>40.428803924066727</v>
      </c>
      <c r="D29" s="8">
        <f t="shared" si="1"/>
        <v>-5.4288039240667274</v>
      </c>
      <c r="E29" s="8">
        <f t="shared" si="2"/>
        <v>5.4288039240667274</v>
      </c>
      <c r="F29" s="8">
        <f t="shared" si="3"/>
        <v>29.471912045962299</v>
      </c>
      <c r="G29" s="5">
        <f t="shared" si="4"/>
        <v>0.15510868354476365</v>
      </c>
    </row>
    <row r="30" spans="1:7" ht="15.75" customHeight="1">
      <c r="A30" s="3">
        <v>21579</v>
      </c>
      <c r="B30" s="4">
        <v>44</v>
      </c>
      <c r="C30">
        <f t="shared" si="0"/>
        <v>39.343043139253382</v>
      </c>
      <c r="D30" s="8">
        <f t="shared" si="1"/>
        <v>4.6569568607466181</v>
      </c>
      <c r="E30" s="8">
        <f t="shared" si="2"/>
        <v>4.6569568607466181</v>
      </c>
      <c r="F30" s="8">
        <f t="shared" si="3"/>
        <v>21.687247202854994</v>
      </c>
      <c r="G30" s="5">
        <f t="shared" si="4"/>
        <v>0.10583992865333224</v>
      </c>
    </row>
    <row r="31" spans="1:7" ht="15.75" customHeight="1">
      <c r="A31" s="3">
        <v>21580</v>
      </c>
      <c r="B31" s="4">
        <v>38</v>
      </c>
      <c r="C31">
        <f t="shared" si="0"/>
        <v>40.274434511402703</v>
      </c>
      <c r="D31" s="8">
        <f t="shared" si="1"/>
        <v>-2.2744345114027027</v>
      </c>
      <c r="E31" s="8">
        <f t="shared" si="2"/>
        <v>2.2744345114027027</v>
      </c>
      <c r="F31" s="8">
        <f t="shared" si="3"/>
        <v>5.1730523466596505</v>
      </c>
      <c r="G31" s="5">
        <f t="shared" si="4"/>
        <v>5.9853539773755335E-2</v>
      </c>
    </row>
    <row r="32" spans="1:7" ht="15.75" customHeight="1">
      <c r="A32" s="3">
        <v>21581</v>
      </c>
      <c r="B32" s="4">
        <v>24</v>
      </c>
      <c r="C32">
        <f t="shared" si="0"/>
        <v>39.819547609122168</v>
      </c>
      <c r="D32" s="8">
        <f t="shared" si="1"/>
        <v>-15.819547609122168</v>
      </c>
      <c r="E32" s="8">
        <f t="shared" si="2"/>
        <v>15.819547609122168</v>
      </c>
      <c r="F32" s="8">
        <f t="shared" si="3"/>
        <v>250.25808655728289</v>
      </c>
      <c r="G32" s="5">
        <f t="shared" si="4"/>
        <v>0.65914781704675696</v>
      </c>
    </row>
    <row r="33" spans="1:7" ht="15.75" customHeight="1">
      <c r="A33" s="3">
        <v>21582</v>
      </c>
      <c r="B33" s="4">
        <v>23</v>
      </c>
      <c r="C33">
        <f t="shared" si="0"/>
        <v>36.655638087297731</v>
      </c>
      <c r="D33" s="8">
        <f t="shared" si="1"/>
        <v>-13.655638087297731</v>
      </c>
      <c r="E33" s="8">
        <f t="shared" si="2"/>
        <v>13.655638087297731</v>
      </c>
      <c r="F33" s="8">
        <f t="shared" si="3"/>
        <v>186.47645157125643</v>
      </c>
      <c r="G33" s="5">
        <f t="shared" si="4"/>
        <v>0.59372339509990135</v>
      </c>
    </row>
    <row r="34" spans="1:7" ht="15.75" customHeight="1">
      <c r="A34" s="3">
        <v>21583</v>
      </c>
      <c r="B34" s="4">
        <v>31</v>
      </c>
      <c r="C34">
        <f t="shared" si="0"/>
        <v>33.924510469838189</v>
      </c>
      <c r="D34" s="8">
        <f t="shared" si="1"/>
        <v>-2.9245104698381894</v>
      </c>
      <c r="E34" s="8">
        <f t="shared" si="2"/>
        <v>2.9245104698381894</v>
      </c>
      <c r="F34" s="8">
        <f t="shared" si="3"/>
        <v>8.5527614881931875</v>
      </c>
      <c r="G34" s="5">
        <f t="shared" si="4"/>
        <v>9.4339047414135138E-2</v>
      </c>
    </row>
    <row r="35" spans="1:7" ht="15.75" customHeight="1">
      <c r="A35" s="3">
        <v>21584</v>
      </c>
      <c r="B35" s="4">
        <v>44</v>
      </c>
      <c r="C35">
        <f t="shared" si="0"/>
        <v>33.339608375870554</v>
      </c>
      <c r="D35" s="8">
        <f t="shared" si="1"/>
        <v>10.660391624129446</v>
      </c>
      <c r="E35" s="8">
        <f t="shared" si="2"/>
        <v>10.660391624129446</v>
      </c>
      <c r="F35" s="8">
        <f t="shared" si="3"/>
        <v>113.64394957980925</v>
      </c>
      <c r="G35" s="5">
        <f t="shared" si="4"/>
        <v>0.24228162782112375</v>
      </c>
    </row>
    <row r="36" spans="1:7" ht="15.75" customHeight="1">
      <c r="A36" s="3">
        <v>21585</v>
      </c>
      <c r="B36" s="4">
        <v>38</v>
      </c>
      <c r="C36">
        <f t="shared" si="0"/>
        <v>35.471686700696445</v>
      </c>
      <c r="D36" s="8">
        <f t="shared" si="1"/>
        <v>2.5283132993035551</v>
      </c>
      <c r="E36" s="8">
        <f t="shared" si="2"/>
        <v>2.5283132993035551</v>
      </c>
      <c r="F36" s="8">
        <f t="shared" si="3"/>
        <v>6.3923681394352281</v>
      </c>
      <c r="G36" s="5">
        <f t="shared" si="4"/>
        <v>6.6534560507988297E-2</v>
      </c>
    </row>
    <row r="37" spans="1:7" ht="15.75" customHeight="1">
      <c r="A37" s="3">
        <v>21586</v>
      </c>
      <c r="B37" s="4">
        <v>50</v>
      </c>
      <c r="C37">
        <f t="shared" si="0"/>
        <v>35.977349360557156</v>
      </c>
      <c r="D37" s="8">
        <f t="shared" si="1"/>
        <v>14.022650639442844</v>
      </c>
      <c r="E37" s="8">
        <f t="shared" si="2"/>
        <v>14.022650639442844</v>
      </c>
      <c r="F37" s="8">
        <f t="shared" si="3"/>
        <v>196.63473095586681</v>
      </c>
      <c r="G37" s="5">
        <f t="shared" si="4"/>
        <v>0.28045301278885687</v>
      </c>
    </row>
    <row r="38" spans="1:7" ht="15.75" customHeight="1">
      <c r="A38" s="3">
        <v>21587</v>
      </c>
      <c r="B38" s="4">
        <v>38</v>
      </c>
      <c r="C38">
        <f t="shared" si="0"/>
        <v>38.781879488445725</v>
      </c>
      <c r="D38" s="8">
        <f t="shared" si="1"/>
        <v>-0.78187948844572475</v>
      </c>
      <c r="E38" s="8">
        <f t="shared" si="2"/>
        <v>0.78187948844572475</v>
      </c>
      <c r="F38" s="8">
        <f t="shared" si="3"/>
        <v>0.61133553445214817</v>
      </c>
      <c r="G38" s="5">
        <f t="shared" si="4"/>
        <v>2.0575776011729597E-2</v>
      </c>
    </row>
    <row r="39" spans="1:7" ht="15.75" customHeight="1">
      <c r="A39" s="3">
        <v>21588</v>
      </c>
      <c r="B39" s="4">
        <v>51</v>
      </c>
      <c r="C39">
        <f t="shared" si="0"/>
        <v>38.62550359075658</v>
      </c>
      <c r="D39" s="8">
        <f t="shared" si="1"/>
        <v>12.37449640924342</v>
      </c>
      <c r="E39" s="8">
        <f t="shared" si="2"/>
        <v>12.37449640924342</v>
      </c>
      <c r="F39" s="8">
        <f t="shared" si="3"/>
        <v>153.12816138237829</v>
      </c>
      <c r="G39" s="5">
        <f t="shared" si="4"/>
        <v>0.24263718449496902</v>
      </c>
    </row>
    <row r="40" spans="1:7" ht="15.75" customHeight="1">
      <c r="A40" s="3">
        <v>21589</v>
      </c>
      <c r="B40" s="4">
        <v>31</v>
      </c>
      <c r="C40">
        <f t="shared" si="0"/>
        <v>41.100402872605265</v>
      </c>
      <c r="D40" s="8">
        <f t="shared" si="1"/>
        <v>-10.100402872605265</v>
      </c>
      <c r="E40" s="8">
        <f t="shared" si="2"/>
        <v>10.100402872605265</v>
      </c>
      <c r="F40" s="8">
        <f t="shared" si="3"/>
        <v>102.0181381889327</v>
      </c>
      <c r="G40" s="5">
        <f t="shared" si="4"/>
        <v>0.32581944750339564</v>
      </c>
    </row>
    <row r="41" spans="1:7" ht="15.75" customHeight="1">
      <c r="A41" s="3">
        <v>21590</v>
      </c>
      <c r="B41" s="4">
        <v>31</v>
      </c>
      <c r="C41">
        <f t="shared" si="0"/>
        <v>39.080322298084219</v>
      </c>
      <c r="D41" s="8">
        <f t="shared" si="1"/>
        <v>-8.0803222980842193</v>
      </c>
      <c r="E41" s="8">
        <f t="shared" si="2"/>
        <v>8.0803222980842193</v>
      </c>
      <c r="F41" s="8">
        <f t="shared" si="3"/>
        <v>65.291608440917045</v>
      </c>
      <c r="G41" s="5">
        <f t="shared" si="4"/>
        <v>0.26065555800271673</v>
      </c>
    </row>
    <row r="42" spans="1:7" ht="15.75" customHeight="1">
      <c r="A42" s="3">
        <v>21591</v>
      </c>
      <c r="B42" s="4">
        <v>51</v>
      </c>
      <c r="C42">
        <f t="shared" si="0"/>
        <v>37.464257838467375</v>
      </c>
      <c r="D42" s="8">
        <f t="shared" si="1"/>
        <v>13.535742161532625</v>
      </c>
      <c r="E42" s="8">
        <f t="shared" si="2"/>
        <v>13.535742161532625</v>
      </c>
      <c r="F42" s="8">
        <f t="shared" si="3"/>
        <v>183.2163158634919</v>
      </c>
      <c r="G42" s="5">
        <f t="shared" si="4"/>
        <v>0.2654067090496593</v>
      </c>
    </row>
    <row r="43" spans="1:7" ht="15.75" customHeight="1">
      <c r="A43" s="3">
        <v>21592</v>
      </c>
      <c r="B43" s="4">
        <v>36</v>
      </c>
      <c r="C43">
        <f t="shared" si="0"/>
        <v>40.1714062707739</v>
      </c>
      <c r="D43" s="8">
        <f t="shared" si="1"/>
        <v>-4.1714062707739004</v>
      </c>
      <c r="E43" s="8">
        <f t="shared" si="2"/>
        <v>4.1714062707739004</v>
      </c>
      <c r="F43" s="8">
        <f t="shared" si="3"/>
        <v>17.400630275851817</v>
      </c>
      <c r="G43" s="5">
        <f t="shared" si="4"/>
        <v>0.11587239641038612</v>
      </c>
    </row>
    <row r="44" spans="1:7" ht="15.75" customHeight="1">
      <c r="A44" s="3">
        <v>21593</v>
      </c>
      <c r="B44" s="4">
        <v>45</v>
      </c>
      <c r="C44">
        <f t="shared" si="0"/>
        <v>39.337125016619126</v>
      </c>
      <c r="D44" s="8">
        <f t="shared" si="1"/>
        <v>5.662874983380874</v>
      </c>
      <c r="E44" s="8">
        <f t="shared" si="2"/>
        <v>5.662874983380874</v>
      </c>
      <c r="F44" s="8">
        <f t="shared" si="3"/>
        <v>32.068153077400936</v>
      </c>
      <c r="G44" s="5">
        <f t="shared" si="4"/>
        <v>0.12584166629735274</v>
      </c>
    </row>
    <row r="45" spans="1:7" ht="15.75" customHeight="1">
      <c r="A45" s="3">
        <v>21594</v>
      </c>
      <c r="B45" s="4">
        <v>51</v>
      </c>
      <c r="C45">
        <f t="shared" si="0"/>
        <v>40.469700013295302</v>
      </c>
      <c r="D45" s="8">
        <f t="shared" si="1"/>
        <v>10.530299986704698</v>
      </c>
      <c r="E45" s="8">
        <f t="shared" si="2"/>
        <v>10.530299986704698</v>
      </c>
      <c r="F45" s="8">
        <f t="shared" si="3"/>
        <v>110.88721780999296</v>
      </c>
      <c r="G45" s="5">
        <f t="shared" si="4"/>
        <v>0.2064764703275431</v>
      </c>
    </row>
    <row r="46" spans="1:7" ht="15.75" customHeight="1">
      <c r="A46" s="3">
        <v>21595</v>
      </c>
      <c r="B46" s="4">
        <v>34</v>
      </c>
      <c r="C46">
        <f t="shared" si="0"/>
        <v>42.575760010636245</v>
      </c>
      <c r="D46" s="8">
        <f t="shared" si="1"/>
        <v>-8.5757600106362446</v>
      </c>
      <c r="E46" s="8">
        <f t="shared" si="2"/>
        <v>8.5757600106362446</v>
      </c>
      <c r="F46" s="8">
        <f t="shared" si="3"/>
        <v>73.543659760027765</v>
      </c>
      <c r="G46" s="5">
        <f t="shared" si="4"/>
        <v>0.25222823560694835</v>
      </c>
    </row>
    <row r="47" spans="1:7" ht="15.75" customHeight="1">
      <c r="A47" s="3">
        <v>21596</v>
      </c>
      <c r="B47" s="4">
        <v>52</v>
      </c>
      <c r="C47">
        <f t="shared" si="0"/>
        <v>40.860608008509004</v>
      </c>
      <c r="D47" s="8">
        <f t="shared" si="1"/>
        <v>11.139391991490996</v>
      </c>
      <c r="E47" s="8">
        <f t="shared" si="2"/>
        <v>11.139391991490996</v>
      </c>
      <c r="F47" s="8">
        <f t="shared" si="3"/>
        <v>124.08605394009373</v>
      </c>
      <c r="G47" s="5">
        <f t="shared" si="4"/>
        <v>0.21421907675944224</v>
      </c>
    </row>
    <row r="48" spans="1:7" ht="15.75" customHeight="1">
      <c r="A48" s="3">
        <v>21597</v>
      </c>
      <c r="B48" s="4">
        <v>47</v>
      </c>
      <c r="C48">
        <f t="shared" si="0"/>
        <v>43.088486406807206</v>
      </c>
      <c r="D48" s="8">
        <f t="shared" si="1"/>
        <v>3.9115135931927938</v>
      </c>
      <c r="E48" s="8">
        <f t="shared" si="2"/>
        <v>3.9115135931927938</v>
      </c>
      <c r="F48" s="8">
        <f t="shared" si="3"/>
        <v>15.299938589732001</v>
      </c>
      <c r="G48" s="5">
        <f t="shared" si="4"/>
        <v>8.3223693472187096E-2</v>
      </c>
    </row>
    <row r="49" spans="1:7" ht="15.75" customHeight="1">
      <c r="A49" s="3">
        <v>21598</v>
      </c>
      <c r="B49" s="4">
        <v>45</v>
      </c>
      <c r="C49">
        <f t="shared" si="0"/>
        <v>43.870789125445768</v>
      </c>
      <c r="D49" s="8">
        <f t="shared" si="1"/>
        <v>1.1292108745542322</v>
      </c>
      <c r="E49" s="8">
        <f t="shared" si="2"/>
        <v>1.1292108745542322</v>
      </c>
      <c r="F49" s="8">
        <f t="shared" si="3"/>
        <v>1.275117199211534</v>
      </c>
      <c r="G49" s="5">
        <f t="shared" si="4"/>
        <v>2.5093574990094049E-2</v>
      </c>
    </row>
    <row r="50" spans="1:7" ht="15.75" customHeight="1">
      <c r="A50" s="3">
        <v>21599</v>
      </c>
      <c r="B50" s="4">
        <v>46</v>
      </c>
      <c r="C50">
        <f t="shared" si="0"/>
        <v>44.096631300356613</v>
      </c>
      <c r="D50" s="8">
        <f t="shared" si="1"/>
        <v>1.9033686996433872</v>
      </c>
      <c r="E50" s="8">
        <f t="shared" si="2"/>
        <v>1.9033686996433872</v>
      </c>
      <c r="F50" s="8">
        <f t="shared" si="3"/>
        <v>3.6228124067821588</v>
      </c>
      <c r="G50" s="5">
        <f t="shared" si="4"/>
        <v>4.1377580427030158E-2</v>
      </c>
    </row>
    <row r="51" spans="1:7" ht="15.75" customHeight="1">
      <c r="A51" s="3">
        <v>21600</v>
      </c>
      <c r="B51" s="4">
        <v>39</v>
      </c>
      <c r="C51">
        <f t="shared" si="0"/>
        <v>44.477305040285295</v>
      </c>
      <c r="D51" s="8">
        <f t="shared" si="1"/>
        <v>-5.4773050402852945</v>
      </c>
      <c r="E51" s="8">
        <f t="shared" si="2"/>
        <v>5.4773050402852945</v>
      </c>
      <c r="F51" s="8">
        <f t="shared" si="3"/>
        <v>30.000870504334692</v>
      </c>
      <c r="G51" s="5">
        <f t="shared" si="4"/>
        <v>0.14044371898167421</v>
      </c>
    </row>
    <row r="52" spans="1:7" ht="15.75" customHeight="1">
      <c r="A52" s="3">
        <v>21601</v>
      </c>
      <c r="B52" s="4">
        <v>48</v>
      </c>
      <c r="C52">
        <f t="shared" si="0"/>
        <v>43.381844032228244</v>
      </c>
      <c r="D52" s="8">
        <f t="shared" si="1"/>
        <v>4.6181559677717559</v>
      </c>
      <c r="E52" s="8">
        <f t="shared" si="2"/>
        <v>4.6181559677717559</v>
      </c>
      <c r="F52" s="8">
        <f t="shared" si="3"/>
        <v>21.327364542665883</v>
      </c>
      <c r="G52" s="5">
        <f t="shared" si="4"/>
        <v>9.6211582661911585E-2</v>
      </c>
    </row>
    <row r="53" spans="1:7" ht="15.75" customHeight="1">
      <c r="A53" s="3">
        <v>21602</v>
      </c>
      <c r="B53" s="4">
        <v>37</v>
      </c>
      <c r="C53">
        <f t="shared" si="0"/>
        <v>44.305475225782601</v>
      </c>
      <c r="D53" s="8">
        <f t="shared" si="1"/>
        <v>-7.305475225782601</v>
      </c>
      <c r="E53" s="8">
        <f t="shared" si="2"/>
        <v>7.305475225782601</v>
      </c>
      <c r="F53" s="8">
        <f t="shared" si="3"/>
        <v>53.369968274523345</v>
      </c>
      <c r="G53" s="5">
        <f t="shared" si="4"/>
        <v>0.19744527637250273</v>
      </c>
    </row>
    <row r="54" spans="1:7" ht="15.75" customHeight="1">
      <c r="A54" s="3">
        <v>21603</v>
      </c>
      <c r="B54" s="4">
        <v>35</v>
      </c>
      <c r="C54">
        <f t="shared" si="0"/>
        <v>42.844380180626082</v>
      </c>
      <c r="D54" s="8">
        <f t="shared" si="1"/>
        <v>-7.8443801806260822</v>
      </c>
      <c r="E54" s="8">
        <f t="shared" si="2"/>
        <v>7.8443801806260822</v>
      </c>
      <c r="F54" s="8">
        <f t="shared" si="3"/>
        <v>61.534300418199287</v>
      </c>
      <c r="G54" s="5">
        <f t="shared" si="4"/>
        <v>0.22412514801788808</v>
      </c>
    </row>
    <row r="55" spans="1:7" ht="15.75" customHeight="1">
      <c r="A55" s="3">
        <v>21604</v>
      </c>
      <c r="B55" s="4">
        <v>52</v>
      </c>
      <c r="C55">
        <f t="shared" si="0"/>
        <v>41.275504144500864</v>
      </c>
      <c r="D55" s="8">
        <f t="shared" si="1"/>
        <v>10.724495855499136</v>
      </c>
      <c r="E55" s="8">
        <f t="shared" si="2"/>
        <v>10.724495855499136</v>
      </c>
      <c r="F55" s="8">
        <f t="shared" si="3"/>
        <v>115.01481135461813</v>
      </c>
      <c r="G55" s="5">
        <f t="shared" si="4"/>
        <v>0.20624030491344492</v>
      </c>
    </row>
    <row r="56" spans="1:7" ht="15.75" customHeight="1">
      <c r="A56" s="3">
        <v>21605</v>
      </c>
      <c r="B56" s="4">
        <v>42</v>
      </c>
      <c r="C56">
        <f t="shared" si="0"/>
        <v>43.420403315600694</v>
      </c>
      <c r="D56" s="8">
        <f t="shared" si="1"/>
        <v>-1.4204033156006943</v>
      </c>
      <c r="E56" s="8">
        <f t="shared" si="2"/>
        <v>1.4204033156006943</v>
      </c>
      <c r="F56" s="8">
        <f t="shared" si="3"/>
        <v>2.0175455789694459</v>
      </c>
      <c r="G56" s="5">
        <f t="shared" si="4"/>
        <v>3.3819126561921292E-2</v>
      </c>
    </row>
    <row r="57" spans="1:7" ht="15.75" customHeight="1">
      <c r="A57" s="3">
        <v>21606</v>
      </c>
      <c r="B57" s="4">
        <v>45</v>
      </c>
      <c r="C57">
        <f t="shared" si="0"/>
        <v>43.136322652480558</v>
      </c>
      <c r="D57" s="8">
        <f t="shared" si="1"/>
        <v>1.8636773475194417</v>
      </c>
      <c r="E57" s="8">
        <f t="shared" si="2"/>
        <v>1.8636773475194417</v>
      </c>
      <c r="F57" s="8">
        <f t="shared" si="3"/>
        <v>3.4732932556571017</v>
      </c>
      <c r="G57" s="5">
        <f t="shared" si="4"/>
        <v>4.1415052167098704E-2</v>
      </c>
    </row>
    <row r="58" spans="1:7" ht="15.75" customHeight="1">
      <c r="A58" s="3">
        <v>21607</v>
      </c>
      <c r="B58" s="4">
        <v>39</v>
      </c>
      <c r="C58">
        <f t="shared" si="0"/>
        <v>43.509058121984445</v>
      </c>
      <c r="D58" s="8">
        <f t="shared" si="1"/>
        <v>-4.5090581219844452</v>
      </c>
      <c r="E58" s="8">
        <f t="shared" si="2"/>
        <v>4.5090581219844452</v>
      </c>
      <c r="F58" s="8">
        <f t="shared" si="3"/>
        <v>20.331605147433891</v>
      </c>
      <c r="G58" s="5">
        <f t="shared" si="4"/>
        <v>0.11561687492267808</v>
      </c>
    </row>
    <row r="59" spans="1:7" ht="15.75" customHeight="1">
      <c r="A59" s="3">
        <v>21608</v>
      </c>
      <c r="B59" s="4">
        <v>37</v>
      </c>
      <c r="C59">
        <f t="shared" si="0"/>
        <v>42.607246497587553</v>
      </c>
      <c r="D59" s="8">
        <f t="shared" si="1"/>
        <v>-5.6072464975875533</v>
      </c>
      <c r="E59" s="8">
        <f t="shared" si="2"/>
        <v>5.6072464975875533</v>
      </c>
      <c r="F59" s="8">
        <f t="shared" si="3"/>
        <v>31.441213284707885</v>
      </c>
      <c r="G59" s="5">
        <f t="shared" si="4"/>
        <v>0.15154720263750143</v>
      </c>
    </row>
    <row r="60" spans="1:7" ht="15.75" customHeight="1">
      <c r="A60" s="3">
        <v>21609</v>
      </c>
      <c r="B60" s="4">
        <v>30</v>
      </c>
      <c r="C60">
        <f t="shared" si="0"/>
        <v>41.485797198070046</v>
      </c>
      <c r="D60" s="8">
        <f t="shared" si="1"/>
        <v>-11.485797198070046</v>
      </c>
      <c r="E60" s="8">
        <f t="shared" si="2"/>
        <v>11.485797198070046</v>
      </c>
      <c r="F60" s="8">
        <f t="shared" si="3"/>
        <v>131.92353727519369</v>
      </c>
      <c r="G60" s="5">
        <f t="shared" si="4"/>
        <v>0.38285990660233488</v>
      </c>
    </row>
    <row r="61" spans="1:7" ht="15.75" customHeight="1">
      <c r="A61" s="3">
        <v>21610</v>
      </c>
      <c r="B61" s="4">
        <v>35</v>
      </c>
      <c r="C61">
        <f t="shared" si="0"/>
        <v>39.188637758456039</v>
      </c>
      <c r="D61" s="8">
        <f t="shared" si="1"/>
        <v>-4.1886377584560393</v>
      </c>
      <c r="E61" s="8">
        <f t="shared" si="2"/>
        <v>4.1886377584560393</v>
      </c>
      <c r="F61" s="8">
        <f t="shared" si="3"/>
        <v>17.544686271563634</v>
      </c>
      <c r="G61" s="5">
        <f t="shared" si="4"/>
        <v>0.11967536452731541</v>
      </c>
    </row>
    <row r="62" spans="1:7" ht="15.75" customHeight="1">
      <c r="A62" s="3">
        <v>21611</v>
      </c>
      <c r="B62" s="4">
        <v>28</v>
      </c>
      <c r="C62">
        <f t="shared" si="0"/>
        <v>38.350910206764837</v>
      </c>
      <c r="D62" s="8">
        <f t="shared" si="1"/>
        <v>-10.350910206764837</v>
      </c>
      <c r="E62" s="8">
        <f t="shared" si="2"/>
        <v>10.350910206764837</v>
      </c>
      <c r="F62" s="8">
        <f t="shared" si="3"/>
        <v>107.14134210850848</v>
      </c>
      <c r="G62" s="5">
        <f t="shared" si="4"/>
        <v>0.36967536452731559</v>
      </c>
    </row>
    <row r="63" spans="1:7" ht="15.75" customHeight="1">
      <c r="A63" s="3">
        <v>21612</v>
      </c>
      <c r="B63" s="4">
        <v>45</v>
      </c>
      <c r="C63">
        <f t="shared" si="0"/>
        <v>36.280728165411873</v>
      </c>
      <c r="D63" s="8">
        <f t="shared" si="1"/>
        <v>8.7192718345881275</v>
      </c>
      <c r="E63" s="8">
        <f t="shared" si="2"/>
        <v>8.7192718345881275</v>
      </c>
      <c r="F63" s="8">
        <f t="shared" si="3"/>
        <v>76.025701325441815</v>
      </c>
      <c r="G63" s="5">
        <f t="shared" si="4"/>
        <v>0.19376159632418061</v>
      </c>
    </row>
    <row r="64" spans="1:7" ht="15.75" customHeight="1">
      <c r="A64" s="3">
        <v>21613</v>
      </c>
      <c r="B64" s="4">
        <v>34</v>
      </c>
      <c r="C64">
        <f t="shared" si="0"/>
        <v>38.024582532329504</v>
      </c>
      <c r="D64" s="8">
        <f t="shared" si="1"/>
        <v>-4.0245825323295037</v>
      </c>
      <c r="E64" s="8">
        <f t="shared" si="2"/>
        <v>4.0245825323295037</v>
      </c>
      <c r="F64" s="8">
        <f t="shared" si="3"/>
        <v>16.19726455953176</v>
      </c>
      <c r="G64" s="5">
        <f t="shared" si="4"/>
        <v>0.11837007448027952</v>
      </c>
    </row>
    <row r="65" spans="1:7" ht="15.75" customHeight="1">
      <c r="A65" s="3">
        <v>21614</v>
      </c>
      <c r="B65" s="4">
        <v>36</v>
      </c>
      <c r="C65">
        <f t="shared" si="0"/>
        <v>37.219666025863603</v>
      </c>
      <c r="D65" s="8">
        <f t="shared" si="1"/>
        <v>-1.219666025863603</v>
      </c>
      <c r="E65" s="8">
        <f t="shared" si="2"/>
        <v>1.219666025863603</v>
      </c>
      <c r="F65" s="8">
        <f t="shared" si="3"/>
        <v>1.487585214645915</v>
      </c>
      <c r="G65" s="5">
        <f t="shared" si="4"/>
        <v>3.3879611829544527E-2</v>
      </c>
    </row>
    <row r="66" spans="1:7" ht="15.75" customHeight="1">
      <c r="A66" s="3">
        <v>21615</v>
      </c>
      <c r="B66" s="4">
        <v>50</v>
      </c>
      <c r="C66">
        <f t="shared" si="0"/>
        <v>36.975732820690887</v>
      </c>
      <c r="D66" s="8">
        <f t="shared" si="1"/>
        <v>13.024267179309113</v>
      </c>
      <c r="E66" s="8">
        <f t="shared" si="2"/>
        <v>13.024267179309113</v>
      </c>
      <c r="F66" s="8">
        <f t="shared" si="3"/>
        <v>169.63153555802856</v>
      </c>
      <c r="G66" s="5">
        <f t="shared" si="4"/>
        <v>0.26048534358618225</v>
      </c>
    </row>
    <row r="67" spans="1:7" ht="15.75" customHeight="1">
      <c r="A67" s="3">
        <v>21616</v>
      </c>
      <c r="B67" s="4">
        <v>44</v>
      </c>
      <c r="C67">
        <f t="shared" si="0"/>
        <v>39.580586256552706</v>
      </c>
      <c r="D67" s="8">
        <f t="shared" si="1"/>
        <v>4.4194137434472935</v>
      </c>
      <c r="E67" s="8">
        <f t="shared" si="2"/>
        <v>4.4194137434472935</v>
      </c>
      <c r="F67" s="8">
        <f t="shared" si="3"/>
        <v>19.531217835770821</v>
      </c>
      <c r="G67" s="5">
        <f t="shared" si="4"/>
        <v>0.10044122144198395</v>
      </c>
    </row>
    <row r="68" spans="1:7" ht="15.75" customHeight="1">
      <c r="A68" s="3">
        <v>21617</v>
      </c>
      <c r="B68" s="4">
        <v>39</v>
      </c>
      <c r="C68">
        <f t="shared" ref="C68:C131" si="5">0.2*B67+0.8*C67</f>
        <v>40.464469005242165</v>
      </c>
      <c r="D68" s="8">
        <f t="shared" ref="D68:D131" si="6">B68-C68</f>
        <v>-1.4644690052421652</v>
      </c>
      <c r="E68" s="8">
        <f t="shared" ref="E68:E131" si="7">ABS(D68)</f>
        <v>1.4644690052421652</v>
      </c>
      <c r="F68" s="8">
        <f t="shared" ref="F68:F131" si="8">E68^2</f>
        <v>2.1446694673149769</v>
      </c>
      <c r="G68" s="5">
        <f t="shared" ref="G68:G131" si="9">E68/B68</f>
        <v>3.7550487313901669E-2</v>
      </c>
    </row>
    <row r="69" spans="1:7" ht="15.75" customHeight="1">
      <c r="A69" s="3">
        <v>21618</v>
      </c>
      <c r="B69" s="4">
        <v>32</v>
      </c>
      <c r="C69">
        <f t="shared" si="5"/>
        <v>40.171575204193729</v>
      </c>
      <c r="D69" s="8">
        <f t="shared" si="6"/>
        <v>-8.1715752041937293</v>
      </c>
      <c r="E69" s="8">
        <f t="shared" si="7"/>
        <v>8.1715752041937293</v>
      </c>
      <c r="F69" s="8">
        <f t="shared" si="8"/>
        <v>66.774641317793794</v>
      </c>
      <c r="G69" s="5">
        <f t="shared" si="9"/>
        <v>0.25536172513105404</v>
      </c>
    </row>
    <row r="70" spans="1:7" ht="15.75" customHeight="1">
      <c r="A70" s="3">
        <v>21619</v>
      </c>
      <c r="B70" s="4">
        <v>39</v>
      </c>
      <c r="C70">
        <f t="shared" si="5"/>
        <v>38.537260163354986</v>
      </c>
      <c r="D70" s="8">
        <f t="shared" si="6"/>
        <v>0.46273983664501372</v>
      </c>
      <c r="E70" s="8">
        <f t="shared" si="7"/>
        <v>0.46273983664501372</v>
      </c>
      <c r="F70" s="8">
        <f t="shared" si="8"/>
        <v>0.21412815641825397</v>
      </c>
      <c r="G70" s="5">
        <f t="shared" si="9"/>
        <v>1.1865124016538813E-2</v>
      </c>
    </row>
    <row r="71" spans="1:7" ht="15.75" customHeight="1">
      <c r="A71" s="3">
        <v>21620</v>
      </c>
      <c r="B71" s="4">
        <v>45</v>
      </c>
      <c r="C71">
        <f t="shared" si="5"/>
        <v>38.62980813068399</v>
      </c>
      <c r="D71" s="8">
        <f t="shared" si="6"/>
        <v>6.3701918693160096</v>
      </c>
      <c r="E71" s="8">
        <f t="shared" si="7"/>
        <v>6.3701918693160096</v>
      </c>
      <c r="F71" s="8">
        <f t="shared" si="8"/>
        <v>40.579344451899793</v>
      </c>
      <c r="G71" s="5">
        <f t="shared" si="9"/>
        <v>0.14155981931813355</v>
      </c>
    </row>
    <row r="72" spans="1:7" ht="15.75" customHeight="1">
      <c r="A72" s="3">
        <v>21621</v>
      </c>
      <c r="B72" s="4">
        <v>43</v>
      </c>
      <c r="C72">
        <f t="shared" si="5"/>
        <v>39.90384650454719</v>
      </c>
      <c r="D72" s="8">
        <f t="shared" si="6"/>
        <v>3.0961534954528105</v>
      </c>
      <c r="E72" s="8">
        <f t="shared" si="7"/>
        <v>3.0961534954528105</v>
      </c>
      <c r="F72" s="8">
        <f t="shared" si="8"/>
        <v>9.5861664674046558</v>
      </c>
      <c r="G72" s="5">
        <f t="shared" si="9"/>
        <v>7.2003569661693273E-2</v>
      </c>
    </row>
    <row r="73" spans="1:7" ht="15.75" customHeight="1">
      <c r="A73" s="3">
        <v>21622</v>
      </c>
      <c r="B73" s="4">
        <v>39</v>
      </c>
      <c r="C73">
        <f t="shared" si="5"/>
        <v>40.523077203637754</v>
      </c>
      <c r="D73" s="8">
        <f t="shared" si="6"/>
        <v>-1.5230772036377545</v>
      </c>
      <c r="E73" s="8">
        <f t="shared" si="7"/>
        <v>1.5230772036377545</v>
      </c>
      <c r="F73" s="8">
        <f t="shared" si="8"/>
        <v>2.3197641682410017</v>
      </c>
      <c r="G73" s="5">
        <f t="shared" si="9"/>
        <v>3.9053261631737293E-2</v>
      </c>
    </row>
    <row r="74" spans="1:7" ht="15.75" customHeight="1">
      <c r="A74" s="3">
        <v>21623</v>
      </c>
      <c r="B74" s="4">
        <v>31</v>
      </c>
      <c r="C74">
        <f t="shared" si="5"/>
        <v>40.218461762910209</v>
      </c>
      <c r="D74" s="8">
        <f t="shared" si="6"/>
        <v>-9.2184617629102092</v>
      </c>
      <c r="E74" s="8">
        <f t="shared" si="7"/>
        <v>9.2184617629102092</v>
      </c>
      <c r="F74" s="8">
        <f t="shared" si="8"/>
        <v>84.980037274237603</v>
      </c>
      <c r="G74" s="5">
        <f t="shared" si="9"/>
        <v>0.29736973428742608</v>
      </c>
    </row>
    <row r="75" spans="1:7" ht="15.75" customHeight="1">
      <c r="A75" s="3">
        <v>21624</v>
      </c>
      <c r="B75" s="4">
        <v>27</v>
      </c>
      <c r="C75">
        <f t="shared" si="5"/>
        <v>38.37476941032817</v>
      </c>
      <c r="D75" s="8">
        <f t="shared" si="6"/>
        <v>-11.37476941032817</v>
      </c>
      <c r="E75" s="8">
        <f t="shared" si="7"/>
        <v>11.37476941032817</v>
      </c>
      <c r="F75" s="8">
        <f t="shared" si="8"/>
        <v>129.38537913813747</v>
      </c>
      <c r="G75" s="5">
        <f t="shared" si="9"/>
        <v>0.42128775593808038</v>
      </c>
    </row>
    <row r="76" spans="1:7" ht="15.75" customHeight="1">
      <c r="A76" s="3">
        <v>21625</v>
      </c>
      <c r="B76" s="4">
        <v>30</v>
      </c>
      <c r="C76">
        <f t="shared" si="5"/>
        <v>36.099815528262539</v>
      </c>
      <c r="D76" s="8">
        <f t="shared" si="6"/>
        <v>-6.099815528262539</v>
      </c>
      <c r="E76" s="8">
        <f t="shared" si="7"/>
        <v>6.099815528262539</v>
      </c>
      <c r="F76" s="8">
        <f t="shared" si="8"/>
        <v>37.207749478832795</v>
      </c>
      <c r="G76" s="5">
        <f t="shared" si="9"/>
        <v>0.20332718427541796</v>
      </c>
    </row>
    <row r="77" spans="1:7" ht="15.75" customHeight="1">
      <c r="A77" s="3">
        <v>21626</v>
      </c>
      <c r="B77" s="4">
        <v>42</v>
      </c>
      <c r="C77">
        <f t="shared" si="5"/>
        <v>34.879852422610028</v>
      </c>
      <c r="D77" s="8">
        <f t="shared" si="6"/>
        <v>7.1201475773899716</v>
      </c>
      <c r="E77" s="8">
        <f t="shared" si="7"/>
        <v>7.1201475773899716</v>
      </c>
      <c r="F77" s="8">
        <f t="shared" si="8"/>
        <v>50.69650152381228</v>
      </c>
      <c r="G77" s="5">
        <f t="shared" si="9"/>
        <v>0.1695273232711898</v>
      </c>
    </row>
    <row r="78" spans="1:7" ht="15.75" customHeight="1">
      <c r="A78" s="3">
        <v>21627</v>
      </c>
      <c r="B78" s="4">
        <v>46</v>
      </c>
      <c r="C78">
        <f t="shared" si="5"/>
        <v>36.303881938088026</v>
      </c>
      <c r="D78" s="8">
        <f t="shared" si="6"/>
        <v>9.6961180619119745</v>
      </c>
      <c r="E78" s="8">
        <f t="shared" si="7"/>
        <v>9.6961180619119745</v>
      </c>
      <c r="F78" s="8">
        <f t="shared" si="8"/>
        <v>94.014705470535617</v>
      </c>
      <c r="G78" s="5">
        <f t="shared" si="9"/>
        <v>0.21078517525895596</v>
      </c>
    </row>
    <row r="79" spans="1:7" ht="15.75" customHeight="1">
      <c r="A79" s="3">
        <v>21628</v>
      </c>
      <c r="B79" s="4">
        <v>41</v>
      </c>
      <c r="C79">
        <f t="shared" si="5"/>
        <v>38.243105550470425</v>
      </c>
      <c r="D79" s="8">
        <f t="shared" si="6"/>
        <v>2.7568944495295753</v>
      </c>
      <c r="E79" s="8">
        <f t="shared" si="7"/>
        <v>2.7568944495295753</v>
      </c>
      <c r="F79" s="8">
        <f t="shared" si="8"/>
        <v>7.6004670058469799</v>
      </c>
      <c r="G79" s="5">
        <f t="shared" si="9"/>
        <v>6.7241328037306716E-2</v>
      </c>
    </row>
    <row r="80" spans="1:7" ht="15.75" customHeight="1">
      <c r="A80" s="3">
        <v>21629</v>
      </c>
      <c r="B80" s="4">
        <v>36</v>
      </c>
      <c r="C80">
        <f t="shared" si="5"/>
        <v>38.794484440376344</v>
      </c>
      <c r="D80" s="8">
        <f t="shared" si="6"/>
        <v>-2.794484440376344</v>
      </c>
      <c r="E80" s="8">
        <f t="shared" si="7"/>
        <v>2.794484440376344</v>
      </c>
      <c r="F80" s="8">
        <f t="shared" si="8"/>
        <v>7.8091432875054885</v>
      </c>
      <c r="G80" s="5">
        <f t="shared" si="9"/>
        <v>7.7624567788231777E-2</v>
      </c>
    </row>
    <row r="81" spans="1:7" ht="15.75" customHeight="1">
      <c r="A81" s="3">
        <v>21630</v>
      </c>
      <c r="B81" s="4">
        <v>45</v>
      </c>
      <c r="C81">
        <f t="shared" si="5"/>
        <v>38.235587552301077</v>
      </c>
      <c r="D81" s="8">
        <f t="shared" si="6"/>
        <v>6.7644124476989234</v>
      </c>
      <c r="E81" s="8">
        <f t="shared" si="7"/>
        <v>6.7644124476989234</v>
      </c>
      <c r="F81" s="8">
        <f t="shared" si="8"/>
        <v>45.757275762584136</v>
      </c>
      <c r="G81" s="5">
        <f t="shared" si="9"/>
        <v>0.15032027661553163</v>
      </c>
    </row>
    <row r="82" spans="1:7" ht="15.75" customHeight="1">
      <c r="A82" s="3">
        <v>21631</v>
      </c>
      <c r="B82" s="4">
        <v>46</v>
      </c>
      <c r="C82">
        <f t="shared" si="5"/>
        <v>39.588470041840864</v>
      </c>
      <c r="D82" s="8">
        <f t="shared" si="6"/>
        <v>6.4115299581591358</v>
      </c>
      <c r="E82" s="8">
        <f t="shared" si="7"/>
        <v>6.4115299581591358</v>
      </c>
      <c r="F82" s="8">
        <f t="shared" si="8"/>
        <v>41.107716404372091</v>
      </c>
      <c r="G82" s="5">
        <f t="shared" si="9"/>
        <v>0.13938108604693775</v>
      </c>
    </row>
    <row r="83" spans="1:7" ht="15.75" customHeight="1">
      <c r="A83" s="3">
        <v>21632</v>
      </c>
      <c r="B83" s="4">
        <v>43</v>
      </c>
      <c r="C83">
        <f t="shared" si="5"/>
        <v>40.870776033472694</v>
      </c>
      <c r="D83" s="8">
        <f t="shared" si="6"/>
        <v>2.1292239665273058</v>
      </c>
      <c r="E83" s="8">
        <f t="shared" si="7"/>
        <v>2.1292239665273058</v>
      </c>
      <c r="F83" s="8">
        <f t="shared" si="8"/>
        <v>4.533594699634274</v>
      </c>
      <c r="G83" s="5">
        <f t="shared" si="9"/>
        <v>4.9516836430867579E-2</v>
      </c>
    </row>
    <row r="84" spans="1:7" ht="15.75" customHeight="1">
      <c r="A84" s="3">
        <v>21633</v>
      </c>
      <c r="B84" s="4">
        <v>38</v>
      </c>
      <c r="C84">
        <f t="shared" si="5"/>
        <v>41.29662082677816</v>
      </c>
      <c r="D84" s="8">
        <f t="shared" si="6"/>
        <v>-3.2966208267781596</v>
      </c>
      <c r="E84" s="8">
        <f t="shared" si="7"/>
        <v>3.2966208267781596</v>
      </c>
      <c r="F84" s="8">
        <f t="shared" si="8"/>
        <v>10.867708875547516</v>
      </c>
      <c r="G84" s="5">
        <f t="shared" si="9"/>
        <v>8.6753179652056825E-2</v>
      </c>
    </row>
    <row r="85" spans="1:7" ht="15.75" customHeight="1">
      <c r="A85" s="3">
        <v>21634</v>
      </c>
      <c r="B85" s="4">
        <v>34</v>
      </c>
      <c r="C85">
        <f t="shared" si="5"/>
        <v>40.637296661422532</v>
      </c>
      <c r="D85" s="8">
        <f t="shared" si="6"/>
        <v>-6.6372966614225319</v>
      </c>
      <c r="E85" s="8">
        <f t="shared" si="7"/>
        <v>6.6372966614225319</v>
      </c>
      <c r="F85" s="8">
        <f t="shared" si="8"/>
        <v>44.053706971730691</v>
      </c>
      <c r="G85" s="5">
        <f t="shared" si="9"/>
        <v>0.19521460768889801</v>
      </c>
    </row>
    <row r="86" spans="1:7" ht="15.75" customHeight="1">
      <c r="A86" s="3">
        <v>21635</v>
      </c>
      <c r="B86" s="4">
        <v>35</v>
      </c>
      <c r="C86">
        <f t="shared" si="5"/>
        <v>39.309837329138034</v>
      </c>
      <c r="D86" s="8">
        <f t="shared" si="6"/>
        <v>-4.3098373291380341</v>
      </c>
      <c r="E86" s="8">
        <f t="shared" si="7"/>
        <v>4.3098373291380341</v>
      </c>
      <c r="F86" s="8">
        <f t="shared" si="8"/>
        <v>18.574697803631665</v>
      </c>
      <c r="G86" s="5">
        <f t="shared" si="9"/>
        <v>0.12313820940394384</v>
      </c>
    </row>
    <row r="87" spans="1:7" ht="15.75" customHeight="1">
      <c r="A87" s="3">
        <v>21636</v>
      </c>
      <c r="B87" s="4">
        <v>56</v>
      </c>
      <c r="C87">
        <f t="shared" si="5"/>
        <v>38.44786986331043</v>
      </c>
      <c r="D87" s="8">
        <f t="shared" si="6"/>
        <v>17.55213013668957</v>
      </c>
      <c r="E87" s="8">
        <f t="shared" si="7"/>
        <v>17.55213013668957</v>
      </c>
      <c r="F87" s="8">
        <f t="shared" si="8"/>
        <v>308.07727233528624</v>
      </c>
      <c r="G87" s="5">
        <f t="shared" si="9"/>
        <v>0.31343089529802803</v>
      </c>
    </row>
    <row r="88" spans="1:7" ht="15.75" customHeight="1">
      <c r="A88" s="3">
        <v>21637</v>
      </c>
      <c r="B88" s="4">
        <v>36</v>
      </c>
      <c r="C88">
        <f t="shared" si="5"/>
        <v>41.958295890648344</v>
      </c>
      <c r="D88" s="8">
        <f t="shared" si="6"/>
        <v>-5.9582958906483441</v>
      </c>
      <c r="E88" s="8">
        <f t="shared" si="7"/>
        <v>5.9582958906483441</v>
      </c>
      <c r="F88" s="8">
        <f t="shared" si="8"/>
        <v>35.501289920516946</v>
      </c>
      <c r="G88" s="5">
        <f t="shared" si="9"/>
        <v>0.16550821918467623</v>
      </c>
    </row>
    <row r="89" spans="1:7" ht="15.75" customHeight="1">
      <c r="A89" s="3">
        <v>21638</v>
      </c>
      <c r="B89" s="4">
        <v>32</v>
      </c>
      <c r="C89">
        <f t="shared" si="5"/>
        <v>40.766636712518682</v>
      </c>
      <c r="D89" s="8">
        <f t="shared" si="6"/>
        <v>-8.7666367125186824</v>
      </c>
      <c r="E89" s="8">
        <f t="shared" si="7"/>
        <v>8.7666367125186824</v>
      </c>
      <c r="F89" s="8">
        <f t="shared" si="8"/>
        <v>76.853919249280366</v>
      </c>
      <c r="G89" s="5">
        <f t="shared" si="9"/>
        <v>0.27395739726620882</v>
      </c>
    </row>
    <row r="90" spans="1:7" ht="15.75" customHeight="1">
      <c r="A90" s="3">
        <v>21639</v>
      </c>
      <c r="B90" s="4">
        <v>50</v>
      </c>
      <c r="C90">
        <f t="shared" si="5"/>
        <v>39.013309370014944</v>
      </c>
      <c r="D90" s="8">
        <f t="shared" si="6"/>
        <v>10.986690629985056</v>
      </c>
      <c r="E90" s="8">
        <f t="shared" si="7"/>
        <v>10.986690629985056</v>
      </c>
      <c r="F90" s="8">
        <f t="shared" si="8"/>
        <v>120.70737099900141</v>
      </c>
      <c r="G90" s="5">
        <f t="shared" si="9"/>
        <v>0.21973381259970112</v>
      </c>
    </row>
    <row r="91" spans="1:7" ht="15.75" customHeight="1">
      <c r="A91" s="3">
        <v>21640</v>
      </c>
      <c r="B91" s="4">
        <v>41</v>
      </c>
      <c r="C91">
        <f t="shared" si="5"/>
        <v>41.210647496011958</v>
      </c>
      <c r="D91" s="8">
        <f t="shared" si="6"/>
        <v>-0.21064749601195842</v>
      </c>
      <c r="E91" s="8">
        <f t="shared" si="7"/>
        <v>0.21064749601195842</v>
      </c>
      <c r="F91" s="8">
        <f t="shared" si="8"/>
        <v>4.4372367576108039E-2</v>
      </c>
      <c r="G91" s="5">
        <f t="shared" si="9"/>
        <v>5.1377438051697175E-3</v>
      </c>
    </row>
    <row r="92" spans="1:7" ht="15.75" customHeight="1">
      <c r="A92" s="3">
        <v>21641</v>
      </c>
      <c r="B92" s="4">
        <v>39</v>
      </c>
      <c r="C92">
        <f t="shared" si="5"/>
        <v>41.16851799680957</v>
      </c>
      <c r="D92" s="8">
        <f t="shared" si="6"/>
        <v>-2.1685179968095696</v>
      </c>
      <c r="E92" s="8">
        <f t="shared" si="7"/>
        <v>2.1685179968095696</v>
      </c>
      <c r="F92" s="8">
        <f t="shared" si="8"/>
        <v>4.7024703024869883</v>
      </c>
      <c r="G92" s="5">
        <f t="shared" si="9"/>
        <v>5.5603025559219733E-2</v>
      </c>
    </row>
    <row r="93" spans="1:7" ht="15.75" customHeight="1">
      <c r="A93" s="3">
        <v>21642</v>
      </c>
      <c r="B93" s="4">
        <v>41</v>
      </c>
      <c r="C93">
        <f t="shared" si="5"/>
        <v>40.734814397447664</v>
      </c>
      <c r="D93" s="8">
        <f t="shared" si="6"/>
        <v>0.26518560255233581</v>
      </c>
      <c r="E93" s="8">
        <f t="shared" si="7"/>
        <v>0.26518560255233581</v>
      </c>
      <c r="F93" s="8">
        <f t="shared" si="8"/>
        <v>7.0323403801045417E-2</v>
      </c>
      <c r="G93" s="5">
        <f t="shared" si="9"/>
        <v>6.4679415256667268E-3</v>
      </c>
    </row>
    <row r="94" spans="1:7" ht="15.75" customHeight="1">
      <c r="A94" s="3">
        <v>21643</v>
      </c>
      <c r="B94" s="4">
        <v>47</v>
      </c>
      <c r="C94">
        <f t="shared" si="5"/>
        <v>40.787851517958138</v>
      </c>
      <c r="D94" s="8">
        <f t="shared" si="6"/>
        <v>6.2121484820418615</v>
      </c>
      <c r="E94" s="8">
        <f t="shared" si="7"/>
        <v>6.2121484820418615</v>
      </c>
      <c r="F94" s="8">
        <f t="shared" si="8"/>
        <v>38.590788762935006</v>
      </c>
      <c r="G94" s="5">
        <f t="shared" si="9"/>
        <v>0.13217337195833748</v>
      </c>
    </row>
    <row r="95" spans="1:7" ht="15.75" customHeight="1">
      <c r="A95" s="3">
        <v>21644</v>
      </c>
      <c r="B95" s="4">
        <v>34</v>
      </c>
      <c r="C95">
        <f t="shared" si="5"/>
        <v>42.030281214366511</v>
      </c>
      <c r="D95" s="8">
        <f t="shared" si="6"/>
        <v>-8.0302812143665108</v>
      </c>
      <c r="E95" s="8">
        <f t="shared" si="7"/>
        <v>8.0302812143665108</v>
      </c>
      <c r="F95" s="8">
        <f t="shared" si="8"/>
        <v>64.485416381807681</v>
      </c>
      <c r="G95" s="5">
        <f t="shared" si="9"/>
        <v>0.23618474159901504</v>
      </c>
    </row>
    <row r="96" spans="1:7" ht="15.75" customHeight="1">
      <c r="A96" s="3">
        <v>21645</v>
      </c>
      <c r="B96" s="4">
        <v>36</v>
      </c>
      <c r="C96">
        <f t="shared" si="5"/>
        <v>40.424224971493217</v>
      </c>
      <c r="D96" s="8">
        <f t="shared" si="6"/>
        <v>-4.4242249714932171</v>
      </c>
      <c r="E96" s="8">
        <f t="shared" si="7"/>
        <v>4.4242249714932171</v>
      </c>
      <c r="F96" s="8">
        <f t="shared" si="8"/>
        <v>19.573766598384157</v>
      </c>
      <c r="G96" s="5">
        <f t="shared" si="9"/>
        <v>0.12289513809703381</v>
      </c>
    </row>
    <row r="97" spans="1:7" ht="15.75" customHeight="1">
      <c r="A97" s="3">
        <v>21646</v>
      </c>
      <c r="B97" s="4">
        <v>33</v>
      </c>
      <c r="C97">
        <f t="shared" si="5"/>
        <v>39.539379977194578</v>
      </c>
      <c r="D97" s="8">
        <f t="shared" si="6"/>
        <v>-6.539379977194578</v>
      </c>
      <c r="E97" s="8">
        <f t="shared" si="7"/>
        <v>6.539379977194578</v>
      </c>
      <c r="F97" s="8">
        <f t="shared" si="8"/>
        <v>42.763490486133357</v>
      </c>
      <c r="G97" s="5">
        <f t="shared" si="9"/>
        <v>0.19816302961195692</v>
      </c>
    </row>
    <row r="98" spans="1:7" ht="15.75" customHeight="1">
      <c r="A98" s="3">
        <v>21647</v>
      </c>
      <c r="B98" s="4">
        <v>35</v>
      </c>
      <c r="C98">
        <f t="shared" si="5"/>
        <v>38.231503981755665</v>
      </c>
      <c r="D98" s="8">
        <f t="shared" si="6"/>
        <v>-3.2315039817556652</v>
      </c>
      <c r="E98" s="8">
        <f t="shared" si="7"/>
        <v>3.2315039817556652</v>
      </c>
      <c r="F98" s="8">
        <f t="shared" si="8"/>
        <v>10.44261798410272</v>
      </c>
      <c r="G98" s="5">
        <f t="shared" si="9"/>
        <v>9.2328685193019011E-2</v>
      </c>
    </row>
    <row r="99" spans="1:7" ht="15.75" customHeight="1">
      <c r="A99" s="3">
        <v>21648</v>
      </c>
      <c r="B99" s="4">
        <v>38</v>
      </c>
      <c r="C99">
        <f t="shared" si="5"/>
        <v>37.585203185404538</v>
      </c>
      <c r="D99" s="8">
        <f t="shared" si="6"/>
        <v>0.41479681459546214</v>
      </c>
      <c r="E99" s="8">
        <f t="shared" si="7"/>
        <v>0.41479681459546214</v>
      </c>
      <c r="F99" s="8">
        <f t="shared" si="8"/>
        <v>0.1720563973985422</v>
      </c>
      <c r="G99" s="5">
        <f t="shared" si="9"/>
        <v>1.0915705647249004E-2</v>
      </c>
    </row>
    <row r="100" spans="1:7" ht="15.75" customHeight="1">
      <c r="A100" s="3">
        <v>21649</v>
      </c>
      <c r="B100" s="4">
        <v>38</v>
      </c>
      <c r="C100">
        <f t="shared" si="5"/>
        <v>37.668162548323629</v>
      </c>
      <c r="D100" s="8">
        <f t="shared" si="6"/>
        <v>0.33183745167637113</v>
      </c>
      <c r="E100" s="8">
        <f t="shared" si="7"/>
        <v>0.33183745167637113</v>
      </c>
      <c r="F100" s="8">
        <f t="shared" si="8"/>
        <v>0.11011609433506794</v>
      </c>
      <c r="G100" s="5">
        <f t="shared" si="9"/>
        <v>8.7325645177992409E-3</v>
      </c>
    </row>
    <row r="101" spans="1:7" ht="15.75" customHeight="1">
      <c r="A101" s="3">
        <v>21650</v>
      </c>
      <c r="B101" s="4">
        <v>34</v>
      </c>
      <c r="C101">
        <f t="shared" si="5"/>
        <v>37.734530038658903</v>
      </c>
      <c r="D101" s="8">
        <f t="shared" si="6"/>
        <v>-3.7345300386589031</v>
      </c>
      <c r="E101" s="8">
        <f t="shared" si="7"/>
        <v>3.7345300386589031</v>
      </c>
      <c r="F101" s="8">
        <f t="shared" si="8"/>
        <v>13.946714609645669</v>
      </c>
      <c r="G101" s="5">
        <f t="shared" si="9"/>
        <v>0.10983911878408538</v>
      </c>
    </row>
    <row r="102" spans="1:7" ht="15.75" customHeight="1">
      <c r="A102" s="3">
        <v>21651</v>
      </c>
      <c r="B102" s="4">
        <v>53</v>
      </c>
      <c r="C102">
        <f t="shared" si="5"/>
        <v>36.987624030927122</v>
      </c>
      <c r="D102" s="8">
        <f t="shared" si="6"/>
        <v>16.012375969072878</v>
      </c>
      <c r="E102" s="8">
        <f t="shared" si="7"/>
        <v>16.012375969072878</v>
      </c>
      <c r="F102" s="8">
        <f t="shared" si="8"/>
        <v>256.39618417494256</v>
      </c>
      <c r="G102" s="5">
        <f t="shared" si="9"/>
        <v>0.30212030130326184</v>
      </c>
    </row>
    <row r="103" spans="1:7" ht="15.75" customHeight="1">
      <c r="A103" s="3">
        <v>21652</v>
      </c>
      <c r="B103" s="4">
        <v>34</v>
      </c>
      <c r="C103">
        <f t="shared" si="5"/>
        <v>40.190099224741701</v>
      </c>
      <c r="D103" s="8">
        <f t="shared" si="6"/>
        <v>-6.1900992247417008</v>
      </c>
      <c r="E103" s="8">
        <f t="shared" si="7"/>
        <v>6.1900992247417008</v>
      </c>
      <c r="F103" s="8">
        <f t="shared" si="8"/>
        <v>38.317328412147809</v>
      </c>
      <c r="G103" s="5">
        <f t="shared" si="9"/>
        <v>0.18206174190416768</v>
      </c>
    </row>
    <row r="104" spans="1:7" ht="15.75" customHeight="1">
      <c r="A104" s="3">
        <v>21653</v>
      </c>
      <c r="B104" s="4">
        <v>34</v>
      </c>
      <c r="C104">
        <f t="shared" si="5"/>
        <v>38.952079379793361</v>
      </c>
      <c r="D104" s="8">
        <f t="shared" si="6"/>
        <v>-4.9520793797933607</v>
      </c>
      <c r="E104" s="8">
        <f t="shared" si="7"/>
        <v>4.9520793797933607</v>
      </c>
      <c r="F104" s="8">
        <f t="shared" si="8"/>
        <v>24.523090183774595</v>
      </c>
      <c r="G104" s="5">
        <f t="shared" si="9"/>
        <v>0.14564939352333414</v>
      </c>
    </row>
    <row r="105" spans="1:7" ht="15.75" customHeight="1">
      <c r="A105" s="3">
        <v>21654</v>
      </c>
      <c r="B105" s="4">
        <v>38</v>
      </c>
      <c r="C105">
        <f t="shared" si="5"/>
        <v>37.961663503834686</v>
      </c>
      <c r="D105" s="8">
        <f t="shared" si="6"/>
        <v>3.8336496165314315E-2</v>
      </c>
      <c r="E105" s="8">
        <f t="shared" si="7"/>
        <v>3.8336496165314315E-2</v>
      </c>
      <c r="F105" s="8">
        <f t="shared" si="8"/>
        <v>1.4696869382331591E-3</v>
      </c>
      <c r="G105" s="5">
        <f t="shared" si="9"/>
        <v>1.0088551622451135E-3</v>
      </c>
    </row>
    <row r="106" spans="1:7" ht="15.75" customHeight="1">
      <c r="A106" s="3">
        <v>21655</v>
      </c>
      <c r="B106" s="4">
        <v>35</v>
      </c>
      <c r="C106">
        <f t="shared" si="5"/>
        <v>37.969330803067749</v>
      </c>
      <c r="D106" s="8">
        <f t="shared" si="6"/>
        <v>-2.9693308030677485</v>
      </c>
      <c r="E106" s="8">
        <f t="shared" si="7"/>
        <v>2.9693308030677485</v>
      </c>
      <c r="F106" s="8">
        <f t="shared" si="8"/>
        <v>8.8169254180469601</v>
      </c>
      <c r="G106" s="5">
        <f t="shared" si="9"/>
        <v>8.4838022944792812E-2</v>
      </c>
    </row>
    <row r="107" spans="1:7" ht="15.75" customHeight="1">
      <c r="A107" s="3">
        <v>21656</v>
      </c>
      <c r="B107" s="4">
        <v>32</v>
      </c>
      <c r="C107">
        <f t="shared" si="5"/>
        <v>37.375464642454205</v>
      </c>
      <c r="D107" s="8">
        <f t="shared" si="6"/>
        <v>-5.3754646424542045</v>
      </c>
      <c r="E107" s="8">
        <f t="shared" si="7"/>
        <v>5.3754646424542045</v>
      </c>
      <c r="F107" s="8">
        <f t="shared" si="8"/>
        <v>28.895620122275307</v>
      </c>
      <c r="G107" s="5">
        <f t="shared" si="9"/>
        <v>0.16798327007669389</v>
      </c>
    </row>
    <row r="108" spans="1:7" ht="15.75" customHeight="1">
      <c r="A108" s="3">
        <v>21657</v>
      </c>
      <c r="B108" s="4">
        <v>42</v>
      </c>
      <c r="C108">
        <f t="shared" si="5"/>
        <v>36.300371713963365</v>
      </c>
      <c r="D108" s="8">
        <f t="shared" si="6"/>
        <v>5.699628286036635</v>
      </c>
      <c r="E108" s="8">
        <f t="shared" si="7"/>
        <v>5.699628286036635</v>
      </c>
      <c r="F108" s="8">
        <f t="shared" si="8"/>
        <v>32.485762598988906</v>
      </c>
      <c r="G108" s="5">
        <f t="shared" si="9"/>
        <v>0.13570543538182464</v>
      </c>
    </row>
    <row r="109" spans="1:7" ht="15.75" customHeight="1">
      <c r="A109" s="3">
        <v>21658</v>
      </c>
      <c r="B109" s="4">
        <v>34</v>
      </c>
      <c r="C109">
        <f t="shared" si="5"/>
        <v>37.440297371170693</v>
      </c>
      <c r="D109" s="8">
        <f t="shared" si="6"/>
        <v>-3.4402973711706935</v>
      </c>
      <c r="E109" s="8">
        <f t="shared" si="7"/>
        <v>3.4402973711706935</v>
      </c>
      <c r="F109" s="8">
        <f t="shared" si="8"/>
        <v>11.835646002083983</v>
      </c>
      <c r="G109" s="5">
        <f t="shared" si="9"/>
        <v>0.10118521679913804</v>
      </c>
    </row>
    <row r="110" spans="1:7" ht="15.75" customHeight="1">
      <c r="A110" s="3">
        <v>21659</v>
      </c>
      <c r="B110" s="4">
        <v>46</v>
      </c>
      <c r="C110">
        <f t="shared" si="5"/>
        <v>36.752237896936556</v>
      </c>
      <c r="D110" s="8">
        <f t="shared" si="6"/>
        <v>9.2477621030634438</v>
      </c>
      <c r="E110" s="8">
        <f t="shared" si="7"/>
        <v>9.2477621030634438</v>
      </c>
      <c r="F110" s="8">
        <f t="shared" si="8"/>
        <v>85.521103914856411</v>
      </c>
      <c r="G110" s="5">
        <f t="shared" si="9"/>
        <v>0.20103830658833574</v>
      </c>
    </row>
    <row r="111" spans="1:7" ht="15.75" customHeight="1">
      <c r="A111" s="3">
        <v>21660</v>
      </c>
      <c r="B111" s="4">
        <v>30</v>
      </c>
      <c r="C111">
        <f t="shared" si="5"/>
        <v>38.601790317549245</v>
      </c>
      <c r="D111" s="8">
        <f t="shared" si="6"/>
        <v>-8.6017903175492449</v>
      </c>
      <c r="E111" s="8">
        <f t="shared" si="7"/>
        <v>8.6017903175492449</v>
      </c>
      <c r="F111" s="8">
        <f t="shared" si="8"/>
        <v>73.990796667083941</v>
      </c>
      <c r="G111" s="5">
        <f t="shared" si="9"/>
        <v>0.28672634391830815</v>
      </c>
    </row>
    <row r="112" spans="1:7" ht="15.75" customHeight="1">
      <c r="A112" s="3">
        <v>21661</v>
      </c>
      <c r="B112" s="4">
        <v>46</v>
      </c>
      <c r="C112">
        <f t="shared" si="5"/>
        <v>36.881432254039396</v>
      </c>
      <c r="D112" s="8">
        <f t="shared" si="6"/>
        <v>9.118567745960604</v>
      </c>
      <c r="E112" s="8">
        <f t="shared" si="7"/>
        <v>9.118567745960604</v>
      </c>
      <c r="F112" s="8">
        <f t="shared" si="8"/>
        <v>83.148277737673055</v>
      </c>
      <c r="G112" s="5">
        <f t="shared" si="9"/>
        <v>0.19822973360783921</v>
      </c>
    </row>
    <row r="113" spans="1:7" ht="15.75" customHeight="1">
      <c r="A113" s="3">
        <v>21662</v>
      </c>
      <c r="B113" s="4">
        <v>45</v>
      </c>
      <c r="C113">
        <f t="shared" si="5"/>
        <v>38.705145803231517</v>
      </c>
      <c r="D113" s="8">
        <f t="shared" si="6"/>
        <v>6.2948541967684832</v>
      </c>
      <c r="E113" s="8">
        <f t="shared" si="7"/>
        <v>6.2948541967684832</v>
      </c>
      <c r="F113" s="8">
        <f t="shared" si="8"/>
        <v>39.625189358573785</v>
      </c>
      <c r="G113" s="5">
        <f t="shared" si="9"/>
        <v>0.13988564881707741</v>
      </c>
    </row>
    <row r="114" spans="1:7" ht="15.75" customHeight="1">
      <c r="A114" s="3">
        <v>21663</v>
      </c>
      <c r="B114" s="4">
        <v>54</v>
      </c>
      <c r="C114">
        <f t="shared" si="5"/>
        <v>39.964116642585211</v>
      </c>
      <c r="D114" s="8">
        <f t="shared" si="6"/>
        <v>14.035883357414789</v>
      </c>
      <c r="E114" s="8">
        <f t="shared" si="7"/>
        <v>14.035883357414789</v>
      </c>
      <c r="F114" s="8">
        <f t="shared" si="8"/>
        <v>197.00602162295345</v>
      </c>
      <c r="G114" s="5">
        <f t="shared" si="9"/>
        <v>0.25992376587805166</v>
      </c>
    </row>
    <row r="115" spans="1:7" ht="15.75" customHeight="1">
      <c r="A115" s="3">
        <v>21664</v>
      </c>
      <c r="B115" s="4">
        <v>34</v>
      </c>
      <c r="C115">
        <f t="shared" si="5"/>
        <v>42.771293314068174</v>
      </c>
      <c r="D115" s="8">
        <f t="shared" si="6"/>
        <v>-8.7712933140681741</v>
      </c>
      <c r="E115" s="8">
        <f t="shared" si="7"/>
        <v>8.7712933140681741</v>
      </c>
      <c r="F115" s="8">
        <f t="shared" si="8"/>
        <v>76.935586401417055</v>
      </c>
      <c r="G115" s="5">
        <f t="shared" si="9"/>
        <v>0.25797921511965216</v>
      </c>
    </row>
    <row r="116" spans="1:7" ht="15.75" customHeight="1">
      <c r="A116" s="3">
        <v>21665</v>
      </c>
      <c r="B116" s="4">
        <v>37</v>
      </c>
      <c r="C116">
        <f t="shared" si="5"/>
        <v>41.017034651254548</v>
      </c>
      <c r="D116" s="8">
        <f t="shared" si="6"/>
        <v>-4.0170346512545478</v>
      </c>
      <c r="E116" s="8">
        <f t="shared" si="7"/>
        <v>4.0170346512545478</v>
      </c>
      <c r="F116" s="8">
        <f t="shared" si="8"/>
        <v>16.136567389379746</v>
      </c>
      <c r="G116" s="5">
        <f t="shared" si="9"/>
        <v>0.10856850408796075</v>
      </c>
    </row>
    <row r="117" spans="1:7" ht="15.75" customHeight="1">
      <c r="A117" s="3">
        <v>21666</v>
      </c>
      <c r="B117" s="4">
        <v>35</v>
      </c>
      <c r="C117">
        <f t="shared" si="5"/>
        <v>40.21362772100364</v>
      </c>
      <c r="D117" s="8">
        <f t="shared" si="6"/>
        <v>-5.2136277210036397</v>
      </c>
      <c r="E117" s="8">
        <f t="shared" si="7"/>
        <v>5.2136277210036397</v>
      </c>
      <c r="F117" s="8">
        <f t="shared" si="8"/>
        <v>27.181914013217607</v>
      </c>
      <c r="G117" s="5">
        <f t="shared" si="9"/>
        <v>0.14896079202867543</v>
      </c>
    </row>
    <row r="118" spans="1:7" ht="15.75" customHeight="1">
      <c r="A118" s="3">
        <v>21667</v>
      </c>
      <c r="B118" s="4">
        <v>40</v>
      </c>
      <c r="C118">
        <f t="shared" si="5"/>
        <v>39.170902176802912</v>
      </c>
      <c r="D118" s="8">
        <f t="shared" si="6"/>
        <v>0.82909782319708825</v>
      </c>
      <c r="E118" s="8">
        <f t="shared" si="7"/>
        <v>0.82909782319708825</v>
      </c>
      <c r="F118" s="8">
        <f t="shared" si="8"/>
        <v>0.68740320043015024</v>
      </c>
      <c r="G118" s="5">
        <f t="shared" si="9"/>
        <v>2.0727445579927208E-2</v>
      </c>
    </row>
    <row r="119" spans="1:7" ht="15.75" customHeight="1">
      <c r="A119" s="3">
        <v>21668</v>
      </c>
      <c r="B119" s="4">
        <v>42</v>
      </c>
      <c r="C119">
        <f t="shared" si="5"/>
        <v>39.336721741442332</v>
      </c>
      <c r="D119" s="8">
        <f t="shared" si="6"/>
        <v>2.6632782585576678</v>
      </c>
      <c r="E119" s="8">
        <f t="shared" si="7"/>
        <v>2.6632782585576678</v>
      </c>
      <c r="F119" s="8">
        <f t="shared" si="8"/>
        <v>7.0930510825059629</v>
      </c>
      <c r="G119" s="5">
        <f t="shared" si="9"/>
        <v>6.3411387108515904E-2</v>
      </c>
    </row>
    <row r="120" spans="1:7" ht="15.75" customHeight="1">
      <c r="A120" s="3">
        <v>21669</v>
      </c>
      <c r="B120" s="4">
        <v>58</v>
      </c>
      <c r="C120">
        <f t="shared" si="5"/>
        <v>39.869377393153869</v>
      </c>
      <c r="D120" s="8">
        <f t="shared" si="6"/>
        <v>18.130622606846131</v>
      </c>
      <c r="E120" s="8">
        <f t="shared" si="7"/>
        <v>18.130622606846131</v>
      </c>
      <c r="F120" s="8">
        <f t="shared" si="8"/>
        <v>328.71947611188</v>
      </c>
      <c r="G120" s="5">
        <f t="shared" si="9"/>
        <v>0.31259694149734707</v>
      </c>
    </row>
    <row r="121" spans="1:7" ht="15.75" customHeight="1">
      <c r="A121" s="3">
        <v>21670</v>
      </c>
      <c r="B121" s="4">
        <v>51</v>
      </c>
      <c r="C121">
        <f t="shared" si="5"/>
        <v>43.495501914523096</v>
      </c>
      <c r="D121" s="8">
        <f t="shared" si="6"/>
        <v>7.5044980854769037</v>
      </c>
      <c r="E121" s="8">
        <f t="shared" si="7"/>
        <v>7.5044980854769037</v>
      </c>
      <c r="F121" s="8">
        <f t="shared" si="8"/>
        <v>56.317491514926516</v>
      </c>
      <c r="G121" s="5">
        <f t="shared" si="9"/>
        <v>0.14714702128386087</v>
      </c>
    </row>
    <row r="122" spans="1:7" ht="15.75" customHeight="1">
      <c r="A122" s="3">
        <v>21671</v>
      </c>
      <c r="B122" s="4">
        <v>32</v>
      </c>
      <c r="C122">
        <f t="shared" si="5"/>
        <v>44.996401531618481</v>
      </c>
      <c r="D122" s="8">
        <f t="shared" si="6"/>
        <v>-12.996401531618481</v>
      </c>
      <c r="E122" s="8">
        <f t="shared" si="7"/>
        <v>12.996401531618481</v>
      </c>
      <c r="F122" s="8">
        <f t="shared" si="8"/>
        <v>168.9064527710552</v>
      </c>
      <c r="G122" s="5">
        <f t="shared" si="9"/>
        <v>0.40613754786307754</v>
      </c>
    </row>
    <row r="123" spans="1:7" ht="15.75" customHeight="1">
      <c r="A123" s="3">
        <v>21672</v>
      </c>
      <c r="B123" s="4">
        <v>35</v>
      </c>
      <c r="C123">
        <f t="shared" si="5"/>
        <v>42.397121225294782</v>
      </c>
      <c r="D123" s="8">
        <f t="shared" si="6"/>
        <v>-7.3971212252947822</v>
      </c>
      <c r="E123" s="8">
        <f t="shared" si="7"/>
        <v>7.3971212252947822</v>
      </c>
      <c r="F123" s="8">
        <f t="shared" si="8"/>
        <v>54.717402421706581</v>
      </c>
      <c r="G123" s="5">
        <f t="shared" si="9"/>
        <v>0.21134632072270806</v>
      </c>
    </row>
    <row r="124" spans="1:7" ht="15.75" customHeight="1">
      <c r="A124" s="3">
        <v>21673</v>
      </c>
      <c r="B124" s="4">
        <v>38</v>
      </c>
      <c r="C124">
        <f t="shared" si="5"/>
        <v>40.917696980235824</v>
      </c>
      <c r="D124" s="8">
        <f t="shared" si="6"/>
        <v>-2.9176969802358244</v>
      </c>
      <c r="E124" s="8">
        <f t="shared" si="7"/>
        <v>2.9176969802358244</v>
      </c>
      <c r="F124" s="8">
        <f t="shared" si="8"/>
        <v>8.5129556684772485</v>
      </c>
      <c r="G124" s="5">
        <f t="shared" si="9"/>
        <v>7.6781499479890117E-2</v>
      </c>
    </row>
    <row r="125" spans="1:7" ht="15.75" customHeight="1">
      <c r="A125" s="3">
        <v>21674</v>
      </c>
      <c r="B125" s="4">
        <v>33</v>
      </c>
      <c r="C125">
        <f t="shared" si="5"/>
        <v>40.334157584188659</v>
      </c>
      <c r="D125" s="8">
        <f t="shared" si="6"/>
        <v>-7.3341575841886595</v>
      </c>
      <c r="E125" s="8">
        <f t="shared" si="7"/>
        <v>7.3341575841886595</v>
      </c>
      <c r="F125" s="8">
        <f t="shared" si="8"/>
        <v>53.789867469712036</v>
      </c>
      <c r="G125" s="5">
        <f t="shared" si="9"/>
        <v>0.22224719952086847</v>
      </c>
    </row>
    <row r="126" spans="1:7" ht="15.75" customHeight="1">
      <c r="A126" s="3">
        <v>21675</v>
      </c>
      <c r="B126" s="4">
        <v>39</v>
      </c>
      <c r="C126">
        <f t="shared" si="5"/>
        <v>38.86732606735093</v>
      </c>
      <c r="D126" s="8">
        <f t="shared" si="6"/>
        <v>0.13267393264906957</v>
      </c>
      <c r="E126" s="8">
        <f t="shared" si="7"/>
        <v>0.13267393264906957</v>
      </c>
      <c r="F126" s="8">
        <f t="shared" si="8"/>
        <v>1.7602372404569848E-2</v>
      </c>
      <c r="G126" s="5">
        <f t="shared" si="9"/>
        <v>3.4018957089505019E-3</v>
      </c>
    </row>
    <row r="127" spans="1:7" ht="15.75" customHeight="1">
      <c r="A127" s="3">
        <v>21676</v>
      </c>
      <c r="B127" s="4">
        <v>47</v>
      </c>
      <c r="C127">
        <f t="shared" si="5"/>
        <v>38.893860853880746</v>
      </c>
      <c r="D127" s="8">
        <f t="shared" si="6"/>
        <v>8.1061391461192542</v>
      </c>
      <c r="E127" s="8">
        <f t="shared" si="7"/>
        <v>8.1061391461192542</v>
      </c>
      <c r="F127" s="8">
        <f t="shared" si="8"/>
        <v>65.709491856246999</v>
      </c>
      <c r="G127" s="5">
        <f t="shared" si="9"/>
        <v>0.1724710456621118</v>
      </c>
    </row>
    <row r="128" spans="1:7" ht="15.75" customHeight="1">
      <c r="A128" s="3">
        <v>21677</v>
      </c>
      <c r="B128" s="4">
        <v>38</v>
      </c>
      <c r="C128">
        <f t="shared" si="5"/>
        <v>40.515088683104601</v>
      </c>
      <c r="D128" s="8">
        <f t="shared" si="6"/>
        <v>-2.5150886831046009</v>
      </c>
      <c r="E128" s="8">
        <f t="shared" si="7"/>
        <v>2.5150886831046009</v>
      </c>
      <c r="F128" s="8">
        <f t="shared" si="8"/>
        <v>6.3256710838808354</v>
      </c>
      <c r="G128" s="5">
        <f t="shared" si="9"/>
        <v>6.618654429222634E-2</v>
      </c>
    </row>
    <row r="129" spans="1:7" ht="15.75" customHeight="1">
      <c r="A129" s="3">
        <v>21678</v>
      </c>
      <c r="B129" s="4">
        <v>52</v>
      </c>
      <c r="C129">
        <f t="shared" si="5"/>
        <v>40.012070946483682</v>
      </c>
      <c r="D129" s="8">
        <f t="shared" si="6"/>
        <v>11.987929053516318</v>
      </c>
      <c r="E129" s="8">
        <f t="shared" si="7"/>
        <v>11.987929053516318</v>
      </c>
      <c r="F129" s="8">
        <f t="shared" si="8"/>
        <v>143.71044299214063</v>
      </c>
      <c r="G129" s="5">
        <f t="shared" si="9"/>
        <v>0.23053709718300611</v>
      </c>
    </row>
    <row r="130" spans="1:7" ht="15.75" customHeight="1">
      <c r="A130" s="3">
        <v>21679</v>
      </c>
      <c r="B130" s="4">
        <v>30</v>
      </c>
      <c r="C130">
        <f t="shared" si="5"/>
        <v>42.409656757186944</v>
      </c>
      <c r="D130" s="8">
        <f t="shared" si="6"/>
        <v>-12.409656757186944</v>
      </c>
      <c r="E130" s="8">
        <f t="shared" si="7"/>
        <v>12.409656757186944</v>
      </c>
      <c r="F130" s="8">
        <f t="shared" si="8"/>
        <v>153.99958083119557</v>
      </c>
      <c r="G130" s="5">
        <f t="shared" si="9"/>
        <v>0.41365522523956483</v>
      </c>
    </row>
    <row r="131" spans="1:7" ht="15.75" customHeight="1">
      <c r="A131" s="3">
        <v>21680</v>
      </c>
      <c r="B131" s="4">
        <v>34</v>
      </c>
      <c r="C131">
        <f t="shared" si="5"/>
        <v>39.927725405749555</v>
      </c>
      <c r="D131" s="8">
        <f t="shared" si="6"/>
        <v>-5.9277254057495554</v>
      </c>
      <c r="E131" s="8">
        <f t="shared" si="7"/>
        <v>5.9277254057495554</v>
      </c>
      <c r="F131" s="8">
        <f t="shared" si="8"/>
        <v>35.137928485968729</v>
      </c>
      <c r="G131" s="5">
        <f t="shared" si="9"/>
        <v>0.17434486487498693</v>
      </c>
    </row>
    <row r="132" spans="1:7" ht="15.75" customHeight="1">
      <c r="A132" s="3">
        <v>21681</v>
      </c>
      <c r="B132" s="4">
        <v>40</v>
      </c>
      <c r="C132">
        <f t="shared" ref="C132:C195" si="10">0.2*B131+0.8*C131</f>
        <v>38.742180324599644</v>
      </c>
      <c r="D132" s="8">
        <f t="shared" ref="D132:D195" si="11">B132-C132</f>
        <v>1.2578196754003557</v>
      </c>
      <c r="E132" s="8">
        <f t="shared" ref="E132:E195" si="12">ABS(D132)</f>
        <v>1.2578196754003557</v>
      </c>
      <c r="F132" s="8">
        <f t="shared" ref="F132:F195" si="13">E132^2</f>
        <v>1.5821103358242561</v>
      </c>
      <c r="G132" s="5">
        <f t="shared" ref="G132:G195" si="14">E132/B132</f>
        <v>3.1445491885008892E-2</v>
      </c>
    </row>
    <row r="133" spans="1:7" ht="15.75" customHeight="1">
      <c r="A133" s="3">
        <v>21682</v>
      </c>
      <c r="B133" s="4">
        <v>35</v>
      </c>
      <c r="C133">
        <f t="shared" si="10"/>
        <v>38.993744259679715</v>
      </c>
      <c r="D133" s="8">
        <f t="shared" si="11"/>
        <v>-3.9937442596797155</v>
      </c>
      <c r="E133" s="8">
        <f t="shared" si="12"/>
        <v>3.9937442596797155</v>
      </c>
      <c r="F133" s="8">
        <f t="shared" si="13"/>
        <v>15.949993211724678</v>
      </c>
      <c r="G133" s="5">
        <f t="shared" si="14"/>
        <v>0.11410697884799187</v>
      </c>
    </row>
    <row r="134" spans="1:7" ht="15.75" customHeight="1">
      <c r="A134" s="3">
        <v>21683</v>
      </c>
      <c r="B134" s="4">
        <v>42</v>
      </c>
      <c r="C134">
        <f t="shared" si="10"/>
        <v>38.194995407743775</v>
      </c>
      <c r="D134" s="8">
        <f t="shared" si="11"/>
        <v>3.8050045922562248</v>
      </c>
      <c r="E134" s="8">
        <f t="shared" si="12"/>
        <v>3.8050045922562248</v>
      </c>
      <c r="F134" s="8">
        <f t="shared" si="13"/>
        <v>14.478059947090959</v>
      </c>
      <c r="G134" s="5">
        <f t="shared" si="14"/>
        <v>9.0595347434672013E-2</v>
      </c>
    </row>
    <row r="135" spans="1:7" ht="15.75" customHeight="1">
      <c r="A135" s="3">
        <v>21684</v>
      </c>
      <c r="B135" s="4">
        <v>41</v>
      </c>
      <c r="C135">
        <f t="shared" si="10"/>
        <v>38.95599632619502</v>
      </c>
      <c r="D135" s="8">
        <f t="shared" si="11"/>
        <v>2.0440036738049798</v>
      </c>
      <c r="E135" s="8">
        <f t="shared" si="12"/>
        <v>2.0440036738049798</v>
      </c>
      <c r="F135" s="8">
        <f t="shared" si="13"/>
        <v>4.1779510185282547</v>
      </c>
      <c r="G135" s="5">
        <f t="shared" si="14"/>
        <v>4.9853748141584872E-2</v>
      </c>
    </row>
    <row r="136" spans="1:7" ht="15.75" customHeight="1">
      <c r="A136" s="3">
        <v>21685</v>
      </c>
      <c r="B136" s="4">
        <v>42</v>
      </c>
      <c r="C136">
        <f t="shared" si="10"/>
        <v>39.364797060956022</v>
      </c>
      <c r="D136" s="8">
        <f t="shared" si="11"/>
        <v>2.6352029390439782</v>
      </c>
      <c r="E136" s="8">
        <f t="shared" si="12"/>
        <v>2.6352029390439782</v>
      </c>
      <c r="F136" s="8">
        <f t="shared" si="13"/>
        <v>6.9442945299460206</v>
      </c>
      <c r="G136" s="5">
        <f t="shared" si="14"/>
        <v>6.2742927120094716E-2</v>
      </c>
    </row>
    <row r="137" spans="1:7" ht="15.75" customHeight="1">
      <c r="A137" s="3">
        <v>21686</v>
      </c>
      <c r="B137" s="4">
        <v>38</v>
      </c>
      <c r="C137">
        <f t="shared" si="10"/>
        <v>39.89183764876482</v>
      </c>
      <c r="D137" s="8">
        <f t="shared" si="11"/>
        <v>-1.8918376487648203</v>
      </c>
      <c r="E137" s="8">
        <f t="shared" si="12"/>
        <v>1.8918376487648203</v>
      </c>
      <c r="F137" s="8">
        <f t="shared" si="13"/>
        <v>3.5790496892840036</v>
      </c>
      <c r="G137" s="5">
        <f t="shared" si="14"/>
        <v>4.9785201283284744E-2</v>
      </c>
    </row>
    <row r="138" spans="1:7" ht="15.75" customHeight="1">
      <c r="A138" s="3">
        <v>21687</v>
      </c>
      <c r="B138" s="4">
        <v>24</v>
      </c>
      <c r="C138">
        <f t="shared" si="10"/>
        <v>39.513470119011856</v>
      </c>
      <c r="D138" s="8">
        <f t="shared" si="11"/>
        <v>-15.513470119011856</v>
      </c>
      <c r="E138" s="8">
        <f t="shared" si="12"/>
        <v>15.513470119011856</v>
      </c>
      <c r="F138" s="8">
        <f t="shared" si="13"/>
        <v>240.66775513347375</v>
      </c>
      <c r="G138" s="5">
        <f t="shared" si="14"/>
        <v>0.64639458829216068</v>
      </c>
    </row>
    <row r="139" spans="1:7" ht="15.75" customHeight="1">
      <c r="A139" s="3">
        <v>21688</v>
      </c>
      <c r="B139" s="4">
        <v>34</v>
      </c>
      <c r="C139">
        <f t="shared" si="10"/>
        <v>36.410776095209485</v>
      </c>
      <c r="D139" s="8">
        <f t="shared" si="11"/>
        <v>-2.410776095209485</v>
      </c>
      <c r="E139" s="8">
        <f t="shared" si="12"/>
        <v>2.410776095209485</v>
      </c>
      <c r="F139" s="8">
        <f t="shared" si="13"/>
        <v>5.8118413812334921</v>
      </c>
      <c r="G139" s="5">
        <f t="shared" si="14"/>
        <v>7.0905179270867202E-2</v>
      </c>
    </row>
    <row r="140" spans="1:7" ht="15.75" customHeight="1">
      <c r="A140" s="3">
        <v>21689</v>
      </c>
      <c r="B140" s="4">
        <v>43</v>
      </c>
      <c r="C140">
        <f t="shared" si="10"/>
        <v>35.928620876167585</v>
      </c>
      <c r="D140" s="8">
        <f t="shared" si="11"/>
        <v>7.0713791238324148</v>
      </c>
      <c r="E140" s="8">
        <f t="shared" si="12"/>
        <v>7.0713791238324148</v>
      </c>
      <c r="F140" s="8">
        <f t="shared" si="13"/>
        <v>50.00440271297289</v>
      </c>
      <c r="G140" s="5">
        <f t="shared" si="14"/>
        <v>0.16445067729842824</v>
      </c>
    </row>
    <row r="141" spans="1:7" ht="15.75" customHeight="1">
      <c r="A141" s="3">
        <v>21690</v>
      </c>
      <c r="B141" s="4">
        <v>36</v>
      </c>
      <c r="C141">
        <f t="shared" si="10"/>
        <v>37.34289670093407</v>
      </c>
      <c r="D141" s="8">
        <f t="shared" si="11"/>
        <v>-1.3428967009340695</v>
      </c>
      <c r="E141" s="8">
        <f t="shared" si="12"/>
        <v>1.3428967009340695</v>
      </c>
      <c r="F141" s="8">
        <f t="shared" si="13"/>
        <v>1.8033715493796079</v>
      </c>
      <c r="G141" s="5">
        <f t="shared" si="14"/>
        <v>3.7302686137057485E-2</v>
      </c>
    </row>
    <row r="142" spans="1:7" ht="15.75" customHeight="1">
      <c r="A142" s="3">
        <v>21691</v>
      </c>
      <c r="B142" s="4">
        <v>55</v>
      </c>
      <c r="C142">
        <f t="shared" si="10"/>
        <v>37.074317360747258</v>
      </c>
      <c r="D142" s="8">
        <f t="shared" si="11"/>
        <v>17.925682639252742</v>
      </c>
      <c r="E142" s="8">
        <f t="shared" si="12"/>
        <v>17.925682639252742</v>
      </c>
      <c r="F142" s="8">
        <f t="shared" si="13"/>
        <v>321.33009808320713</v>
      </c>
      <c r="G142" s="5">
        <f t="shared" si="14"/>
        <v>0.32592150253186802</v>
      </c>
    </row>
    <row r="143" spans="1:7" ht="15.75" customHeight="1">
      <c r="A143" s="3">
        <v>21692</v>
      </c>
      <c r="B143" s="4">
        <v>41</v>
      </c>
      <c r="C143">
        <f t="shared" si="10"/>
        <v>40.65945388859781</v>
      </c>
      <c r="D143" s="8">
        <f t="shared" si="11"/>
        <v>0.34054611140219038</v>
      </c>
      <c r="E143" s="8">
        <f t="shared" si="12"/>
        <v>0.34054611140219038</v>
      </c>
      <c r="F143" s="8">
        <f t="shared" si="13"/>
        <v>0.11597165399115306</v>
      </c>
      <c r="G143" s="5">
        <f t="shared" si="14"/>
        <v>8.306002717126594E-3</v>
      </c>
    </row>
    <row r="144" spans="1:7" ht="15.75" customHeight="1">
      <c r="A144" s="3">
        <v>21693</v>
      </c>
      <c r="B144" s="4">
        <v>45</v>
      </c>
      <c r="C144">
        <f t="shared" si="10"/>
        <v>40.727563110878251</v>
      </c>
      <c r="D144" s="8">
        <f t="shared" si="11"/>
        <v>4.2724368891217495</v>
      </c>
      <c r="E144" s="8">
        <f t="shared" si="12"/>
        <v>4.2724368891217495</v>
      </c>
      <c r="F144" s="8">
        <f t="shared" si="13"/>
        <v>18.253716971528331</v>
      </c>
      <c r="G144" s="5">
        <f t="shared" si="14"/>
        <v>9.4943041980483325E-2</v>
      </c>
    </row>
    <row r="145" spans="1:7" ht="15.75" customHeight="1">
      <c r="A145" s="3">
        <v>21694</v>
      </c>
      <c r="B145" s="4">
        <v>41</v>
      </c>
      <c r="C145">
        <f t="shared" si="10"/>
        <v>41.582050488702599</v>
      </c>
      <c r="D145" s="8">
        <f t="shared" si="11"/>
        <v>-0.58205048870259901</v>
      </c>
      <c r="E145" s="8">
        <f t="shared" si="12"/>
        <v>0.58205048870259901</v>
      </c>
      <c r="F145" s="8">
        <f t="shared" si="13"/>
        <v>0.33878277139893431</v>
      </c>
      <c r="G145" s="5">
        <f t="shared" si="14"/>
        <v>1.4196353382990219E-2</v>
      </c>
    </row>
    <row r="146" spans="1:7" ht="15.75" customHeight="1">
      <c r="A146" s="3">
        <v>21695</v>
      </c>
      <c r="B146" s="4">
        <v>37</v>
      </c>
      <c r="C146">
        <f t="shared" si="10"/>
        <v>41.465640390962086</v>
      </c>
      <c r="D146" s="8">
        <f t="shared" si="11"/>
        <v>-4.4656403909620863</v>
      </c>
      <c r="E146" s="8">
        <f t="shared" si="12"/>
        <v>4.4656403909620863</v>
      </c>
      <c r="F146" s="8">
        <f t="shared" si="13"/>
        <v>19.941944101392014</v>
      </c>
      <c r="G146" s="5">
        <f t="shared" si="14"/>
        <v>0.12069298353951585</v>
      </c>
    </row>
    <row r="147" spans="1:7" ht="15.75" customHeight="1">
      <c r="A147" s="3">
        <v>21696</v>
      </c>
      <c r="B147" s="4">
        <v>43</v>
      </c>
      <c r="C147">
        <f t="shared" si="10"/>
        <v>40.572512312769668</v>
      </c>
      <c r="D147" s="8">
        <f t="shared" si="11"/>
        <v>2.4274876872303324</v>
      </c>
      <c r="E147" s="8">
        <f t="shared" si="12"/>
        <v>2.4274876872303324</v>
      </c>
      <c r="F147" s="8">
        <f t="shared" si="13"/>
        <v>5.892696471654868</v>
      </c>
      <c r="G147" s="5">
        <f t="shared" si="14"/>
        <v>5.6453202028612377E-2</v>
      </c>
    </row>
    <row r="148" spans="1:7" ht="15.75" customHeight="1">
      <c r="A148" s="3">
        <v>21697</v>
      </c>
      <c r="B148" s="4">
        <v>39</v>
      </c>
      <c r="C148">
        <f t="shared" si="10"/>
        <v>41.05800985021574</v>
      </c>
      <c r="D148" s="8">
        <f t="shared" si="11"/>
        <v>-2.0580098502157398</v>
      </c>
      <c r="E148" s="8">
        <f t="shared" si="12"/>
        <v>2.0580098502157398</v>
      </c>
      <c r="F148" s="8">
        <f t="shared" si="13"/>
        <v>4.2354045435850116</v>
      </c>
      <c r="G148" s="5">
        <f t="shared" si="14"/>
        <v>5.2769483338865122E-2</v>
      </c>
    </row>
    <row r="149" spans="1:7" ht="15.75" customHeight="1">
      <c r="A149" s="3">
        <v>21698</v>
      </c>
      <c r="B149" s="4">
        <v>33</v>
      </c>
      <c r="C149">
        <f t="shared" si="10"/>
        <v>40.646407880172589</v>
      </c>
      <c r="D149" s="8">
        <f t="shared" si="11"/>
        <v>-7.646407880172589</v>
      </c>
      <c r="E149" s="8">
        <f t="shared" si="12"/>
        <v>7.646407880172589</v>
      </c>
      <c r="F149" s="8">
        <f t="shared" si="13"/>
        <v>58.467553469965466</v>
      </c>
      <c r="G149" s="5">
        <f t="shared" si="14"/>
        <v>0.23170932970219968</v>
      </c>
    </row>
    <row r="150" spans="1:7" ht="15.75" customHeight="1">
      <c r="A150" s="3">
        <v>21699</v>
      </c>
      <c r="B150" s="4">
        <v>43</v>
      </c>
      <c r="C150">
        <f t="shared" si="10"/>
        <v>39.117126304138075</v>
      </c>
      <c r="D150" s="8">
        <f t="shared" si="11"/>
        <v>3.8828736958619245</v>
      </c>
      <c r="E150" s="8">
        <f t="shared" si="12"/>
        <v>3.8828736958619245</v>
      </c>
      <c r="F150" s="8">
        <f t="shared" si="13"/>
        <v>15.076708138016441</v>
      </c>
      <c r="G150" s="5">
        <f t="shared" si="14"/>
        <v>9.0299388275858705E-2</v>
      </c>
    </row>
    <row r="151" spans="1:7" ht="15.75" customHeight="1">
      <c r="A151" s="3">
        <v>21700</v>
      </c>
      <c r="B151" s="4">
        <v>40</v>
      </c>
      <c r="C151">
        <f t="shared" si="10"/>
        <v>39.893701043310465</v>
      </c>
      <c r="D151" s="8">
        <f t="shared" si="11"/>
        <v>0.10629895668953537</v>
      </c>
      <c r="E151" s="8">
        <f t="shared" si="12"/>
        <v>0.10629895668953537</v>
      </c>
      <c r="F151" s="8">
        <f t="shared" si="13"/>
        <v>1.1299468193283717E-2</v>
      </c>
      <c r="G151" s="5">
        <f t="shared" si="14"/>
        <v>2.6574739172383842E-3</v>
      </c>
    </row>
    <row r="152" spans="1:7" ht="15.75" customHeight="1">
      <c r="A152" s="3">
        <v>21701</v>
      </c>
      <c r="B152" s="4">
        <v>38</v>
      </c>
      <c r="C152">
        <f t="shared" si="10"/>
        <v>39.914960834648369</v>
      </c>
      <c r="D152" s="8">
        <f t="shared" si="11"/>
        <v>-1.9149608346483689</v>
      </c>
      <c r="E152" s="8">
        <f t="shared" si="12"/>
        <v>1.9149608346483689</v>
      </c>
      <c r="F152" s="8">
        <f t="shared" si="13"/>
        <v>3.6670749982371773</v>
      </c>
      <c r="G152" s="5">
        <f t="shared" si="14"/>
        <v>5.0393706174957073E-2</v>
      </c>
    </row>
    <row r="153" spans="1:7" ht="15.75" customHeight="1">
      <c r="A153" s="3">
        <v>21702</v>
      </c>
      <c r="B153" s="4">
        <v>45</v>
      </c>
      <c r="C153">
        <f t="shared" si="10"/>
        <v>39.531968667718694</v>
      </c>
      <c r="D153" s="8">
        <f t="shared" si="11"/>
        <v>5.4680313322813063</v>
      </c>
      <c r="E153" s="8">
        <f t="shared" si="12"/>
        <v>5.4680313322813063</v>
      </c>
      <c r="F153" s="8">
        <f t="shared" si="13"/>
        <v>29.899366650810077</v>
      </c>
      <c r="G153" s="5">
        <f t="shared" si="14"/>
        <v>0.12151180738402903</v>
      </c>
    </row>
    <row r="154" spans="1:7" ht="15.75" customHeight="1">
      <c r="A154" s="3">
        <v>21703</v>
      </c>
      <c r="B154" s="4">
        <v>46</v>
      </c>
      <c r="C154">
        <f t="shared" si="10"/>
        <v>40.625574934174956</v>
      </c>
      <c r="D154" s="8">
        <f t="shared" si="11"/>
        <v>5.3744250658250436</v>
      </c>
      <c r="E154" s="8">
        <f t="shared" si="12"/>
        <v>5.3744250658250436</v>
      </c>
      <c r="F154" s="8">
        <f t="shared" si="13"/>
        <v>28.884444788168526</v>
      </c>
      <c r="G154" s="5">
        <f t="shared" si="14"/>
        <v>0.11683532751793572</v>
      </c>
    </row>
    <row r="155" spans="1:7" ht="15.75" customHeight="1">
      <c r="A155" s="3">
        <v>21704</v>
      </c>
      <c r="B155" s="4">
        <v>34</v>
      </c>
      <c r="C155">
        <f t="shared" si="10"/>
        <v>41.700459947339972</v>
      </c>
      <c r="D155" s="8">
        <f t="shared" si="11"/>
        <v>-7.7004599473399722</v>
      </c>
      <c r="E155" s="8">
        <f t="shared" si="12"/>
        <v>7.7004599473399722</v>
      </c>
      <c r="F155" s="8">
        <f t="shared" si="13"/>
        <v>59.297083400587127</v>
      </c>
      <c r="G155" s="5">
        <f t="shared" si="14"/>
        <v>0.22648411609823449</v>
      </c>
    </row>
    <row r="156" spans="1:7" ht="15.75" customHeight="1">
      <c r="A156" s="3">
        <v>21705</v>
      </c>
      <c r="B156" s="4">
        <v>35</v>
      </c>
      <c r="C156">
        <f t="shared" si="10"/>
        <v>40.160367957871983</v>
      </c>
      <c r="D156" s="8">
        <f t="shared" si="11"/>
        <v>-5.1603679578719834</v>
      </c>
      <c r="E156" s="8">
        <f t="shared" si="12"/>
        <v>5.1603679578719834</v>
      </c>
      <c r="F156" s="8">
        <f t="shared" si="13"/>
        <v>26.629397460631864</v>
      </c>
      <c r="G156" s="5">
        <f t="shared" si="14"/>
        <v>0.14743908451062809</v>
      </c>
    </row>
    <row r="157" spans="1:7" ht="15.75" customHeight="1">
      <c r="A157" s="3">
        <v>21706</v>
      </c>
      <c r="B157" s="4">
        <v>48</v>
      </c>
      <c r="C157">
        <f t="shared" si="10"/>
        <v>39.128294366297588</v>
      </c>
      <c r="D157" s="8">
        <f t="shared" si="11"/>
        <v>8.8717056337024118</v>
      </c>
      <c r="E157" s="8">
        <f t="shared" si="12"/>
        <v>8.8717056337024118</v>
      </c>
      <c r="F157" s="8">
        <f t="shared" si="13"/>
        <v>78.707160851067115</v>
      </c>
      <c r="G157" s="5">
        <f t="shared" si="14"/>
        <v>0.18482720070213357</v>
      </c>
    </row>
    <row r="158" spans="1:7" ht="15.75" customHeight="1">
      <c r="A158" s="3">
        <v>21707</v>
      </c>
      <c r="B158" s="4">
        <v>51</v>
      </c>
      <c r="C158">
        <f t="shared" si="10"/>
        <v>40.902635493038076</v>
      </c>
      <c r="D158" s="8">
        <f t="shared" si="11"/>
        <v>10.097364506961924</v>
      </c>
      <c r="E158" s="8">
        <f t="shared" si="12"/>
        <v>10.097364506961924</v>
      </c>
      <c r="F158" s="8">
        <f t="shared" si="13"/>
        <v>101.95676998645442</v>
      </c>
      <c r="G158" s="5">
        <f t="shared" si="14"/>
        <v>0.1979875393521946</v>
      </c>
    </row>
    <row r="159" spans="1:7" ht="15.75" customHeight="1">
      <c r="A159" s="3">
        <v>21708</v>
      </c>
      <c r="B159" s="4">
        <v>36</v>
      </c>
      <c r="C159">
        <f t="shared" si="10"/>
        <v>42.922108394430467</v>
      </c>
      <c r="D159" s="8">
        <f t="shared" si="11"/>
        <v>-6.9221083944304667</v>
      </c>
      <c r="E159" s="8">
        <f t="shared" si="12"/>
        <v>6.9221083944304667</v>
      </c>
      <c r="F159" s="8">
        <f t="shared" si="13"/>
        <v>47.91558462424473</v>
      </c>
      <c r="G159" s="5">
        <f t="shared" si="14"/>
        <v>0.19228078873417964</v>
      </c>
    </row>
    <row r="160" spans="1:7" ht="15.75" customHeight="1">
      <c r="A160" s="3">
        <v>21709</v>
      </c>
      <c r="B160" s="4">
        <v>33</v>
      </c>
      <c r="C160">
        <f t="shared" si="10"/>
        <v>41.537686715544375</v>
      </c>
      <c r="D160" s="8">
        <f t="shared" si="11"/>
        <v>-8.5376867155443747</v>
      </c>
      <c r="E160" s="8">
        <f t="shared" si="12"/>
        <v>8.5376867155443747</v>
      </c>
      <c r="F160" s="8">
        <f t="shared" si="13"/>
        <v>72.892094452782899</v>
      </c>
      <c r="G160" s="5">
        <f t="shared" si="14"/>
        <v>0.25871777925892042</v>
      </c>
    </row>
    <row r="161" spans="1:7" ht="15.75" customHeight="1">
      <c r="A161" s="3">
        <v>21710</v>
      </c>
      <c r="B161" s="4">
        <v>46</v>
      </c>
      <c r="C161">
        <f t="shared" si="10"/>
        <v>39.8301493724355</v>
      </c>
      <c r="D161" s="8">
        <f t="shared" si="11"/>
        <v>6.1698506275645002</v>
      </c>
      <c r="E161" s="8">
        <f t="shared" si="12"/>
        <v>6.1698506275645002</v>
      </c>
      <c r="F161" s="8">
        <f t="shared" si="13"/>
        <v>38.067056766458059</v>
      </c>
      <c r="G161" s="5">
        <f t="shared" si="14"/>
        <v>0.13412718755575001</v>
      </c>
    </row>
    <row r="162" spans="1:7" ht="15.75" customHeight="1">
      <c r="A162" s="3">
        <v>21711</v>
      </c>
      <c r="B162" s="4">
        <v>42</v>
      </c>
      <c r="C162">
        <f t="shared" si="10"/>
        <v>41.064119497948404</v>
      </c>
      <c r="D162" s="8">
        <f t="shared" si="11"/>
        <v>0.9358805020515959</v>
      </c>
      <c r="E162" s="8">
        <f t="shared" si="12"/>
        <v>0.9358805020515959</v>
      </c>
      <c r="F162" s="8">
        <f t="shared" si="13"/>
        <v>0.87587231412034716</v>
      </c>
      <c r="G162" s="5">
        <f t="shared" si="14"/>
        <v>2.2282869096466568E-2</v>
      </c>
    </row>
    <row r="163" spans="1:7" ht="15.75" customHeight="1">
      <c r="A163" s="3">
        <v>21712</v>
      </c>
      <c r="B163" s="4">
        <v>48</v>
      </c>
      <c r="C163">
        <f t="shared" si="10"/>
        <v>41.251295598358723</v>
      </c>
      <c r="D163" s="8">
        <f t="shared" si="11"/>
        <v>6.7487044016412767</v>
      </c>
      <c r="E163" s="8">
        <f t="shared" si="12"/>
        <v>6.7487044016412767</v>
      </c>
      <c r="F163" s="8">
        <f t="shared" si="13"/>
        <v>45.545011100732346</v>
      </c>
      <c r="G163" s="5">
        <f t="shared" si="14"/>
        <v>0.14059800836752659</v>
      </c>
    </row>
    <row r="164" spans="1:7" ht="15.75" customHeight="1">
      <c r="A164" s="3">
        <v>21713</v>
      </c>
      <c r="B164" s="4">
        <v>34</v>
      </c>
      <c r="C164">
        <f t="shared" si="10"/>
        <v>42.601036478686979</v>
      </c>
      <c r="D164" s="8">
        <f t="shared" si="11"/>
        <v>-8.6010364786869786</v>
      </c>
      <c r="E164" s="8">
        <f t="shared" si="12"/>
        <v>8.6010364786869786</v>
      </c>
      <c r="F164" s="8">
        <f t="shared" si="13"/>
        <v>73.977828507704103</v>
      </c>
      <c r="G164" s="5">
        <f t="shared" si="14"/>
        <v>0.2529716611378523</v>
      </c>
    </row>
    <row r="165" spans="1:7" ht="15.75" customHeight="1">
      <c r="A165" s="3">
        <v>21714</v>
      </c>
      <c r="B165" s="4">
        <v>41</v>
      </c>
      <c r="C165">
        <f t="shared" si="10"/>
        <v>40.880829182949583</v>
      </c>
      <c r="D165" s="8">
        <f t="shared" si="11"/>
        <v>0.1191708170504171</v>
      </c>
      <c r="E165" s="8">
        <f t="shared" si="12"/>
        <v>0.1191708170504171</v>
      </c>
      <c r="F165" s="8">
        <f t="shared" si="13"/>
        <v>1.4201683636463984E-2</v>
      </c>
      <c r="G165" s="5">
        <f t="shared" si="14"/>
        <v>2.9066052939126122E-3</v>
      </c>
    </row>
    <row r="166" spans="1:7" ht="15.75" customHeight="1">
      <c r="A166" s="3">
        <v>21715</v>
      </c>
      <c r="B166" s="4">
        <v>35</v>
      </c>
      <c r="C166">
        <f t="shared" si="10"/>
        <v>40.904663346359669</v>
      </c>
      <c r="D166" s="8">
        <f t="shared" si="11"/>
        <v>-5.9046633463596692</v>
      </c>
      <c r="E166" s="8">
        <f t="shared" si="12"/>
        <v>5.9046633463596692</v>
      </c>
      <c r="F166" s="8">
        <f t="shared" si="13"/>
        <v>34.865049233843365</v>
      </c>
      <c r="G166" s="5">
        <f t="shared" si="14"/>
        <v>0.16870466703884768</v>
      </c>
    </row>
    <row r="167" spans="1:7" ht="15.75" customHeight="1">
      <c r="A167" s="3">
        <v>21716</v>
      </c>
      <c r="B167" s="4">
        <v>40</v>
      </c>
      <c r="C167">
        <f t="shared" si="10"/>
        <v>39.723730677087737</v>
      </c>
      <c r="D167" s="8">
        <f t="shared" si="11"/>
        <v>0.27626932291226325</v>
      </c>
      <c r="E167" s="8">
        <f t="shared" si="12"/>
        <v>0.27626932291226325</v>
      </c>
      <c r="F167" s="8">
        <f t="shared" si="13"/>
        <v>7.6324738782400384E-2</v>
      </c>
      <c r="G167" s="5">
        <f t="shared" si="14"/>
        <v>6.906733072806581E-3</v>
      </c>
    </row>
    <row r="168" spans="1:7" ht="15.75" customHeight="1">
      <c r="A168" s="3">
        <v>21717</v>
      </c>
      <c r="B168" s="4">
        <v>34</v>
      </c>
      <c r="C168">
        <f t="shared" si="10"/>
        <v>39.778984541670191</v>
      </c>
      <c r="D168" s="8">
        <f t="shared" si="11"/>
        <v>-5.7789845416701908</v>
      </c>
      <c r="E168" s="8">
        <f t="shared" si="12"/>
        <v>5.7789845416701908</v>
      </c>
      <c r="F168" s="8">
        <f t="shared" si="13"/>
        <v>33.396662332863023</v>
      </c>
      <c r="G168" s="5">
        <f t="shared" si="14"/>
        <v>0.16997013357853502</v>
      </c>
    </row>
    <row r="169" spans="1:7" ht="15.75" customHeight="1">
      <c r="A169" s="3">
        <v>21718</v>
      </c>
      <c r="B169" s="4">
        <v>30</v>
      </c>
      <c r="C169">
        <f t="shared" si="10"/>
        <v>38.623187633336158</v>
      </c>
      <c r="D169" s="8">
        <f t="shared" si="11"/>
        <v>-8.6231876333361583</v>
      </c>
      <c r="E169" s="8">
        <f t="shared" si="12"/>
        <v>8.6231876333361583</v>
      </c>
      <c r="F169" s="8">
        <f t="shared" si="13"/>
        <v>74.35936495972166</v>
      </c>
      <c r="G169" s="5">
        <f t="shared" si="14"/>
        <v>0.28743958777787193</v>
      </c>
    </row>
    <row r="170" spans="1:7" ht="15.75" customHeight="1">
      <c r="A170" s="3">
        <v>21719</v>
      </c>
      <c r="B170" s="4">
        <v>36</v>
      </c>
      <c r="C170">
        <f t="shared" si="10"/>
        <v>36.898550106668928</v>
      </c>
      <c r="D170" s="8">
        <f t="shared" si="11"/>
        <v>-0.89855010666892809</v>
      </c>
      <c r="E170" s="8">
        <f t="shared" si="12"/>
        <v>0.89855010666892809</v>
      </c>
      <c r="F170" s="8">
        <f t="shared" si="13"/>
        <v>0.80739229419474201</v>
      </c>
      <c r="G170" s="5">
        <f t="shared" si="14"/>
        <v>2.4959725185248003E-2</v>
      </c>
    </row>
    <row r="171" spans="1:7" ht="15.75" customHeight="1">
      <c r="A171" s="3">
        <v>21720</v>
      </c>
      <c r="B171" s="4">
        <v>40</v>
      </c>
      <c r="C171">
        <f t="shared" si="10"/>
        <v>36.718840085335145</v>
      </c>
      <c r="D171" s="8">
        <f t="shared" si="11"/>
        <v>3.2811599146648547</v>
      </c>
      <c r="E171" s="8">
        <f t="shared" si="12"/>
        <v>3.2811599146648547</v>
      </c>
      <c r="F171" s="8">
        <f t="shared" si="13"/>
        <v>10.766010385603476</v>
      </c>
      <c r="G171" s="5">
        <f t="shared" si="14"/>
        <v>8.2028997866621364E-2</v>
      </c>
    </row>
    <row r="172" spans="1:7" ht="15.75" customHeight="1">
      <c r="A172" s="3">
        <v>21721</v>
      </c>
      <c r="B172" s="4">
        <v>39</v>
      </c>
      <c r="C172">
        <f t="shared" si="10"/>
        <v>37.375072068268118</v>
      </c>
      <c r="D172" s="8">
        <f t="shared" si="11"/>
        <v>1.6249279317318823</v>
      </c>
      <c r="E172" s="8">
        <f t="shared" si="12"/>
        <v>1.6249279317318823</v>
      </c>
      <c r="F172" s="8">
        <f t="shared" si="13"/>
        <v>2.6403907833224527</v>
      </c>
      <c r="G172" s="5">
        <f t="shared" si="14"/>
        <v>4.1664818762355955E-2</v>
      </c>
    </row>
    <row r="173" spans="1:7" ht="15.75" customHeight="1">
      <c r="A173" s="3">
        <v>21722</v>
      </c>
      <c r="B173" s="4">
        <v>45</v>
      </c>
      <c r="C173">
        <f t="shared" si="10"/>
        <v>37.700057654614497</v>
      </c>
      <c r="D173" s="8">
        <f t="shared" si="11"/>
        <v>7.299942345385503</v>
      </c>
      <c r="E173" s="8">
        <f t="shared" si="12"/>
        <v>7.299942345385503</v>
      </c>
      <c r="F173" s="8">
        <f t="shared" si="13"/>
        <v>53.2891582459524</v>
      </c>
      <c r="G173" s="5">
        <f t="shared" si="14"/>
        <v>0.16222094100856674</v>
      </c>
    </row>
    <row r="174" spans="1:7" ht="15.75" customHeight="1">
      <c r="A174" s="3">
        <v>21723</v>
      </c>
      <c r="B174" s="4">
        <v>38</v>
      </c>
      <c r="C174">
        <f t="shared" si="10"/>
        <v>39.1600461236916</v>
      </c>
      <c r="D174" s="8">
        <f t="shared" si="11"/>
        <v>-1.1600461236916004</v>
      </c>
      <c r="E174" s="8">
        <f t="shared" si="12"/>
        <v>1.1600461236916004</v>
      </c>
      <c r="F174" s="8">
        <f t="shared" si="13"/>
        <v>1.3457070090919079</v>
      </c>
      <c r="G174" s="5">
        <f t="shared" si="14"/>
        <v>3.0527529570831591E-2</v>
      </c>
    </row>
    <row r="175" spans="1:7" ht="15.75" customHeight="1">
      <c r="A175" s="3">
        <v>21724</v>
      </c>
      <c r="B175" s="4">
        <v>47</v>
      </c>
      <c r="C175">
        <f t="shared" si="10"/>
        <v>38.92803689895328</v>
      </c>
      <c r="D175" s="8">
        <f t="shared" si="11"/>
        <v>8.0719631010467197</v>
      </c>
      <c r="E175" s="8">
        <f t="shared" si="12"/>
        <v>8.0719631010467197</v>
      </c>
      <c r="F175" s="8">
        <f t="shared" si="13"/>
        <v>65.156588304659778</v>
      </c>
      <c r="G175" s="5">
        <f t="shared" si="14"/>
        <v>0.17174389576695148</v>
      </c>
    </row>
    <row r="176" spans="1:7" ht="15.75" customHeight="1">
      <c r="A176" s="3">
        <v>21725</v>
      </c>
      <c r="B176" s="4">
        <v>33</v>
      </c>
      <c r="C176">
        <f t="shared" si="10"/>
        <v>40.542429519162624</v>
      </c>
      <c r="D176" s="8">
        <f t="shared" si="11"/>
        <v>-7.5424295191626243</v>
      </c>
      <c r="E176" s="8">
        <f t="shared" si="12"/>
        <v>7.5424295191626243</v>
      </c>
      <c r="F176" s="8">
        <f t="shared" si="13"/>
        <v>56.888243051535738</v>
      </c>
      <c r="G176" s="5">
        <f t="shared" si="14"/>
        <v>0.22855847027765527</v>
      </c>
    </row>
    <row r="177" spans="1:7" ht="15.75" customHeight="1">
      <c r="A177" s="3">
        <v>21726</v>
      </c>
      <c r="B177" s="4">
        <v>30</v>
      </c>
      <c r="C177">
        <f t="shared" si="10"/>
        <v>39.033943615330102</v>
      </c>
      <c r="D177" s="8">
        <f t="shared" si="11"/>
        <v>-9.0339436153301023</v>
      </c>
      <c r="E177" s="8">
        <f t="shared" si="12"/>
        <v>9.0339436153301023</v>
      </c>
      <c r="F177" s="8">
        <f t="shared" si="13"/>
        <v>81.61213724496352</v>
      </c>
      <c r="G177" s="5">
        <f t="shared" si="14"/>
        <v>0.30113145384433676</v>
      </c>
    </row>
    <row r="178" spans="1:7" ht="15.75" customHeight="1">
      <c r="A178" s="3">
        <v>21727</v>
      </c>
      <c r="B178" s="4">
        <v>42</v>
      </c>
      <c r="C178">
        <f t="shared" si="10"/>
        <v>37.227154892264082</v>
      </c>
      <c r="D178" s="8">
        <f t="shared" si="11"/>
        <v>4.7728451077359182</v>
      </c>
      <c r="E178" s="8">
        <f t="shared" si="12"/>
        <v>4.7728451077359182</v>
      </c>
      <c r="F178" s="8">
        <f t="shared" si="13"/>
        <v>22.780050422438688</v>
      </c>
      <c r="G178" s="5">
        <f t="shared" si="14"/>
        <v>0.11363916923180757</v>
      </c>
    </row>
    <row r="179" spans="1:7" ht="15.75" customHeight="1">
      <c r="A179" s="3">
        <v>21728</v>
      </c>
      <c r="B179" s="4">
        <v>43</v>
      </c>
      <c r="C179">
        <f t="shared" si="10"/>
        <v>38.181723913811268</v>
      </c>
      <c r="D179" s="8">
        <f t="shared" si="11"/>
        <v>4.8182760861887317</v>
      </c>
      <c r="E179" s="8">
        <f t="shared" si="12"/>
        <v>4.8182760861887317</v>
      </c>
      <c r="F179" s="8">
        <f t="shared" si="13"/>
        <v>23.215784442738201</v>
      </c>
      <c r="G179" s="5">
        <f t="shared" si="14"/>
        <v>0.11205293223694725</v>
      </c>
    </row>
    <row r="180" spans="1:7" ht="15.75" customHeight="1">
      <c r="A180" s="3">
        <v>21729</v>
      </c>
      <c r="B180" s="4">
        <v>41</v>
      </c>
      <c r="C180">
        <f t="shared" si="10"/>
        <v>39.145379131049019</v>
      </c>
      <c r="D180" s="8">
        <f t="shared" si="11"/>
        <v>1.8546208689509811</v>
      </c>
      <c r="E180" s="8">
        <f t="shared" si="12"/>
        <v>1.8546208689509811</v>
      </c>
      <c r="F180" s="8">
        <f t="shared" si="13"/>
        <v>3.439618567548492</v>
      </c>
      <c r="G180" s="5">
        <f t="shared" si="14"/>
        <v>4.5234655340267833E-2</v>
      </c>
    </row>
    <row r="181" spans="1:7" ht="15.75" customHeight="1">
      <c r="A181" s="3">
        <v>21730</v>
      </c>
      <c r="B181" s="4">
        <v>41</v>
      </c>
      <c r="C181">
        <f t="shared" si="10"/>
        <v>39.516303304839219</v>
      </c>
      <c r="D181" s="8">
        <f t="shared" si="11"/>
        <v>1.4836966951607806</v>
      </c>
      <c r="E181" s="8">
        <f t="shared" si="12"/>
        <v>1.4836966951607806</v>
      </c>
      <c r="F181" s="8">
        <f t="shared" si="13"/>
        <v>2.2013558832310225</v>
      </c>
      <c r="G181" s="5">
        <f t="shared" si="14"/>
        <v>3.6187724272214158E-2</v>
      </c>
    </row>
    <row r="182" spans="1:7" ht="15.75" customHeight="1">
      <c r="A182" s="3">
        <v>21731</v>
      </c>
      <c r="B182" s="4">
        <v>59</v>
      </c>
      <c r="C182">
        <f t="shared" si="10"/>
        <v>39.813042643871377</v>
      </c>
      <c r="D182" s="8">
        <f t="shared" si="11"/>
        <v>19.186957356128623</v>
      </c>
      <c r="E182" s="8">
        <f t="shared" si="12"/>
        <v>19.186957356128623</v>
      </c>
      <c r="F182" s="8">
        <f t="shared" si="13"/>
        <v>368.13933258589827</v>
      </c>
      <c r="G182" s="5">
        <f t="shared" si="14"/>
        <v>0.32520266705302753</v>
      </c>
    </row>
    <row r="183" spans="1:7" ht="15.75" customHeight="1">
      <c r="A183" s="3">
        <v>21732</v>
      </c>
      <c r="B183" s="4">
        <v>43</v>
      </c>
      <c r="C183">
        <f t="shared" si="10"/>
        <v>43.650434115097099</v>
      </c>
      <c r="D183" s="8">
        <f t="shared" si="11"/>
        <v>-0.6504341150970987</v>
      </c>
      <c r="E183" s="8">
        <f t="shared" si="12"/>
        <v>0.6504341150970987</v>
      </c>
      <c r="F183" s="8">
        <f t="shared" si="13"/>
        <v>0.42306453808214584</v>
      </c>
      <c r="G183" s="5">
        <f t="shared" si="14"/>
        <v>1.512637476969997E-2</v>
      </c>
    </row>
    <row r="184" spans="1:7" ht="15.75" customHeight="1">
      <c r="A184" s="3">
        <v>21733</v>
      </c>
      <c r="B184" s="4">
        <v>45</v>
      </c>
      <c r="C184">
        <f t="shared" si="10"/>
        <v>43.52034729207768</v>
      </c>
      <c r="D184" s="8">
        <f t="shared" si="11"/>
        <v>1.4796527079223196</v>
      </c>
      <c r="E184" s="8">
        <f t="shared" si="12"/>
        <v>1.4796527079223196</v>
      </c>
      <c r="F184" s="8">
        <f t="shared" si="13"/>
        <v>2.1893721360618534</v>
      </c>
      <c r="G184" s="5">
        <f t="shared" si="14"/>
        <v>3.2881171287162655E-2</v>
      </c>
    </row>
    <row r="185" spans="1:7" ht="15.75" customHeight="1">
      <c r="A185" s="3">
        <v>21734</v>
      </c>
      <c r="B185" s="4">
        <v>38</v>
      </c>
      <c r="C185">
        <f t="shared" si="10"/>
        <v>43.816277833662149</v>
      </c>
      <c r="D185" s="8">
        <f t="shared" si="11"/>
        <v>-5.8162778336621486</v>
      </c>
      <c r="E185" s="8">
        <f t="shared" si="12"/>
        <v>5.8162778336621486</v>
      </c>
      <c r="F185" s="8">
        <f t="shared" si="13"/>
        <v>33.829087838349658</v>
      </c>
      <c r="G185" s="5">
        <f t="shared" si="14"/>
        <v>0.15305994299110917</v>
      </c>
    </row>
    <row r="186" spans="1:7" ht="15.75" customHeight="1">
      <c r="A186" s="3">
        <v>21735</v>
      </c>
      <c r="B186" s="4">
        <v>37</v>
      </c>
      <c r="C186">
        <f t="shared" si="10"/>
        <v>42.653022266929725</v>
      </c>
      <c r="D186" s="8">
        <f t="shared" si="11"/>
        <v>-5.6530222669297245</v>
      </c>
      <c r="E186" s="8">
        <f t="shared" si="12"/>
        <v>5.6530222669297245</v>
      </c>
      <c r="F186" s="8">
        <f t="shared" si="13"/>
        <v>31.95666075040328</v>
      </c>
      <c r="G186" s="5">
        <f t="shared" si="14"/>
        <v>0.15278438559269525</v>
      </c>
    </row>
    <row r="187" spans="1:7" ht="15.75" customHeight="1">
      <c r="A187" s="3">
        <v>21736</v>
      </c>
      <c r="B187" s="4">
        <v>45</v>
      </c>
      <c r="C187">
        <f t="shared" si="10"/>
        <v>41.522417813543782</v>
      </c>
      <c r="D187" s="8">
        <f t="shared" si="11"/>
        <v>3.4775821864562175</v>
      </c>
      <c r="E187" s="8">
        <f t="shared" si="12"/>
        <v>3.4775821864562175</v>
      </c>
      <c r="F187" s="8">
        <f t="shared" si="13"/>
        <v>12.093577863557606</v>
      </c>
      <c r="G187" s="5">
        <f t="shared" si="14"/>
        <v>7.72796041434715E-2</v>
      </c>
    </row>
    <row r="188" spans="1:7" ht="15.75" customHeight="1">
      <c r="A188" s="3">
        <v>21737</v>
      </c>
      <c r="B188" s="4">
        <v>42</v>
      </c>
      <c r="C188">
        <f t="shared" si="10"/>
        <v>42.217934250835029</v>
      </c>
      <c r="D188" s="8">
        <f t="shared" si="11"/>
        <v>-0.21793425083502882</v>
      </c>
      <c r="E188" s="8">
        <f t="shared" si="12"/>
        <v>0.21793425083502882</v>
      </c>
      <c r="F188" s="8">
        <f t="shared" si="13"/>
        <v>4.7495337687025262E-2</v>
      </c>
      <c r="G188" s="5">
        <f t="shared" si="14"/>
        <v>5.1889107341673525E-3</v>
      </c>
    </row>
    <row r="189" spans="1:7" ht="15.75" customHeight="1">
      <c r="A189" s="3">
        <v>21738</v>
      </c>
      <c r="B189" s="4">
        <v>57</v>
      </c>
      <c r="C189">
        <f t="shared" si="10"/>
        <v>42.174347400668026</v>
      </c>
      <c r="D189" s="8">
        <f t="shared" si="11"/>
        <v>14.825652599331974</v>
      </c>
      <c r="E189" s="8">
        <f t="shared" si="12"/>
        <v>14.825652599331974</v>
      </c>
      <c r="F189" s="8">
        <f t="shared" si="13"/>
        <v>219.79997499607893</v>
      </c>
      <c r="G189" s="5">
        <f t="shared" si="14"/>
        <v>0.26009916840933289</v>
      </c>
    </row>
    <row r="190" spans="1:7" ht="15.75" customHeight="1">
      <c r="A190" s="3">
        <v>21739</v>
      </c>
      <c r="B190" s="4">
        <v>46</v>
      </c>
      <c r="C190">
        <f t="shared" si="10"/>
        <v>45.139477920534418</v>
      </c>
      <c r="D190" s="8">
        <f t="shared" si="11"/>
        <v>0.86052207946558212</v>
      </c>
      <c r="E190" s="8">
        <f t="shared" si="12"/>
        <v>0.86052207946558212</v>
      </c>
      <c r="F190" s="8">
        <f t="shared" si="13"/>
        <v>0.74049824924776964</v>
      </c>
      <c r="G190" s="5">
        <f t="shared" si="14"/>
        <v>1.8707001727512655E-2</v>
      </c>
    </row>
    <row r="191" spans="1:7" ht="15.75" customHeight="1">
      <c r="A191" s="3">
        <v>21740</v>
      </c>
      <c r="B191" s="4">
        <v>51</v>
      </c>
      <c r="C191">
        <f t="shared" si="10"/>
        <v>45.311582336427541</v>
      </c>
      <c r="D191" s="8">
        <f t="shared" si="11"/>
        <v>5.6884176635724586</v>
      </c>
      <c r="E191" s="8">
        <f t="shared" si="12"/>
        <v>5.6884176635724586</v>
      </c>
      <c r="F191" s="8">
        <f t="shared" si="13"/>
        <v>32.35809551524315</v>
      </c>
      <c r="G191" s="5">
        <f t="shared" si="14"/>
        <v>0.11153760124651879</v>
      </c>
    </row>
    <row r="192" spans="1:7" ht="15.75" customHeight="1">
      <c r="A192" s="3">
        <v>21741</v>
      </c>
      <c r="B192" s="4">
        <v>41</v>
      </c>
      <c r="C192">
        <f t="shared" si="10"/>
        <v>46.449265869142039</v>
      </c>
      <c r="D192" s="8">
        <f t="shared" si="11"/>
        <v>-5.4492658691420388</v>
      </c>
      <c r="E192" s="8">
        <f t="shared" si="12"/>
        <v>5.4492658691420388</v>
      </c>
      <c r="F192" s="8">
        <f t="shared" si="13"/>
        <v>29.69449851259634</v>
      </c>
      <c r="G192" s="5">
        <f t="shared" si="14"/>
        <v>0.1329089236376107</v>
      </c>
    </row>
    <row r="193" spans="1:7" ht="15.75" customHeight="1">
      <c r="A193" s="3">
        <v>21742</v>
      </c>
      <c r="B193" s="4">
        <v>47</v>
      </c>
      <c r="C193">
        <f t="shared" si="10"/>
        <v>45.359412695313637</v>
      </c>
      <c r="D193" s="8">
        <f t="shared" si="11"/>
        <v>1.6405873046863633</v>
      </c>
      <c r="E193" s="8">
        <f t="shared" si="12"/>
        <v>1.6405873046863633</v>
      </c>
      <c r="F193" s="8">
        <f t="shared" si="13"/>
        <v>2.6915267042980662</v>
      </c>
      <c r="G193" s="5">
        <f t="shared" si="14"/>
        <v>3.4906112865667305E-2</v>
      </c>
    </row>
    <row r="194" spans="1:7" ht="15.75" customHeight="1">
      <c r="A194" s="3">
        <v>21743</v>
      </c>
      <c r="B194" s="4">
        <v>26</v>
      </c>
      <c r="C194">
        <f t="shared" si="10"/>
        <v>45.687530156250908</v>
      </c>
      <c r="D194" s="8">
        <f t="shared" si="11"/>
        <v>-19.687530156250908</v>
      </c>
      <c r="E194" s="8">
        <f t="shared" si="12"/>
        <v>19.687530156250908</v>
      </c>
      <c r="F194" s="8">
        <f t="shared" si="13"/>
        <v>387.5988436532889</v>
      </c>
      <c r="G194" s="5">
        <f t="shared" si="14"/>
        <v>0.75721269831734261</v>
      </c>
    </row>
    <row r="195" spans="1:7" ht="15.75" customHeight="1">
      <c r="A195" s="3">
        <v>21744</v>
      </c>
      <c r="B195" s="4">
        <v>35</v>
      </c>
      <c r="C195">
        <f t="shared" si="10"/>
        <v>41.750024125000728</v>
      </c>
      <c r="D195" s="8">
        <f t="shared" si="11"/>
        <v>-6.7500241250007278</v>
      </c>
      <c r="E195" s="8">
        <f t="shared" si="12"/>
        <v>6.7500241250007278</v>
      </c>
      <c r="F195" s="8">
        <f t="shared" si="13"/>
        <v>45.562825688091841</v>
      </c>
      <c r="G195" s="5">
        <f t="shared" si="14"/>
        <v>0.19285783214287794</v>
      </c>
    </row>
    <row r="196" spans="1:7" ht="15.75" customHeight="1">
      <c r="A196" s="3">
        <v>21745</v>
      </c>
      <c r="B196" s="4">
        <v>44</v>
      </c>
      <c r="C196">
        <f t="shared" ref="C196:C259" si="15">0.2*B195+0.8*C195</f>
        <v>40.400019300000586</v>
      </c>
      <c r="D196" s="8">
        <f t="shared" ref="D196:D259" si="16">B196-C196</f>
        <v>3.5999806999994135</v>
      </c>
      <c r="E196" s="8">
        <f t="shared" ref="E196:E259" si="17">ABS(D196)</f>
        <v>3.5999806999994135</v>
      </c>
      <c r="F196" s="8">
        <f t="shared" ref="F196:F259" si="18">E196^2</f>
        <v>12.959861040368267</v>
      </c>
      <c r="G196" s="5">
        <f t="shared" ref="G196:G259" si="19">E196/B196</f>
        <v>8.1817743181804847E-2</v>
      </c>
    </row>
    <row r="197" spans="1:7" ht="15.75" customHeight="1">
      <c r="A197" s="3">
        <v>21746</v>
      </c>
      <c r="B197" s="4">
        <v>41</v>
      </c>
      <c r="C197">
        <f t="shared" si="15"/>
        <v>41.120015440000472</v>
      </c>
      <c r="D197" s="8">
        <f t="shared" si="16"/>
        <v>-0.12001544000047204</v>
      </c>
      <c r="E197" s="8">
        <f t="shared" si="17"/>
        <v>0.12001544000047204</v>
      </c>
      <c r="F197" s="8">
        <f t="shared" si="18"/>
        <v>1.4403705838506904E-2</v>
      </c>
      <c r="G197" s="5">
        <f t="shared" si="19"/>
        <v>2.9272058536700496E-3</v>
      </c>
    </row>
    <row r="198" spans="1:7" ht="15.75" customHeight="1">
      <c r="A198" s="3">
        <v>21747</v>
      </c>
      <c r="B198" s="4">
        <v>42</v>
      </c>
      <c r="C198">
        <f t="shared" si="15"/>
        <v>41.096012352000379</v>
      </c>
      <c r="D198" s="8">
        <f t="shared" si="16"/>
        <v>0.90398764799962095</v>
      </c>
      <c r="E198" s="8">
        <f t="shared" si="17"/>
        <v>0.90398764799962095</v>
      </c>
      <c r="F198" s="8">
        <f t="shared" si="18"/>
        <v>0.81719366773588653</v>
      </c>
      <c r="G198" s="5">
        <f t="shared" si="19"/>
        <v>2.1523515428562404E-2</v>
      </c>
    </row>
    <row r="199" spans="1:7" ht="15.75" customHeight="1">
      <c r="A199" s="3">
        <v>21748</v>
      </c>
      <c r="B199" s="4">
        <v>36</v>
      </c>
      <c r="C199">
        <f t="shared" si="15"/>
        <v>41.2768098816003</v>
      </c>
      <c r="D199" s="8">
        <f t="shared" si="16"/>
        <v>-5.2768098816003004</v>
      </c>
      <c r="E199" s="8">
        <f t="shared" si="17"/>
        <v>5.2768098816003004</v>
      </c>
      <c r="F199" s="8">
        <f t="shared" si="18"/>
        <v>27.844722526554577</v>
      </c>
      <c r="G199" s="5">
        <f t="shared" si="19"/>
        <v>0.146578052266675</v>
      </c>
    </row>
    <row r="200" spans="1:7" ht="15.75" customHeight="1">
      <c r="A200" s="3">
        <v>21749</v>
      </c>
      <c r="B200" s="4">
        <v>45</v>
      </c>
      <c r="C200">
        <f t="shared" si="15"/>
        <v>40.221447905280243</v>
      </c>
      <c r="D200" s="8">
        <f t="shared" si="16"/>
        <v>4.7785520947197568</v>
      </c>
      <c r="E200" s="8">
        <f t="shared" si="17"/>
        <v>4.7785520947197568</v>
      </c>
      <c r="F200" s="8">
        <f t="shared" si="18"/>
        <v>22.834560121950577</v>
      </c>
      <c r="G200" s="5">
        <f t="shared" si="19"/>
        <v>0.10619004654932793</v>
      </c>
    </row>
    <row r="201" spans="1:7" ht="15.75" customHeight="1">
      <c r="A201" s="3">
        <v>21750</v>
      </c>
      <c r="B201" s="4">
        <v>45</v>
      </c>
      <c r="C201">
        <f t="shared" si="15"/>
        <v>41.177158324224195</v>
      </c>
      <c r="D201" s="8">
        <f t="shared" si="16"/>
        <v>3.8228416757758055</v>
      </c>
      <c r="E201" s="8">
        <f t="shared" si="17"/>
        <v>3.8228416757758055</v>
      </c>
      <c r="F201" s="8">
        <f t="shared" si="18"/>
        <v>14.614118478048368</v>
      </c>
      <c r="G201" s="5">
        <f t="shared" si="19"/>
        <v>8.4952037239462347E-2</v>
      </c>
    </row>
    <row r="202" spans="1:7" ht="15.75" customHeight="1">
      <c r="A202" s="3">
        <v>21751</v>
      </c>
      <c r="B202" s="4">
        <v>45</v>
      </c>
      <c r="C202">
        <f t="shared" si="15"/>
        <v>41.941726659379356</v>
      </c>
      <c r="D202" s="8">
        <f t="shared" si="16"/>
        <v>3.0582733406206444</v>
      </c>
      <c r="E202" s="8">
        <f t="shared" si="17"/>
        <v>3.0582733406206444</v>
      </c>
      <c r="F202" s="8">
        <f t="shared" si="18"/>
        <v>9.3530358259509558</v>
      </c>
      <c r="G202" s="5">
        <f t="shared" si="19"/>
        <v>6.7961629791569875E-2</v>
      </c>
    </row>
    <row r="203" spans="1:7" ht="15.75" customHeight="1">
      <c r="A203" s="3">
        <v>21752</v>
      </c>
      <c r="B203" s="4">
        <v>47</v>
      </c>
      <c r="C203">
        <f t="shared" si="15"/>
        <v>42.553381327503487</v>
      </c>
      <c r="D203" s="8">
        <f t="shared" si="16"/>
        <v>4.4466186724965127</v>
      </c>
      <c r="E203" s="8">
        <f t="shared" si="17"/>
        <v>4.4466186724965127</v>
      </c>
      <c r="F203" s="8">
        <f t="shared" si="18"/>
        <v>19.772417618594648</v>
      </c>
      <c r="G203" s="5">
        <f t="shared" si="19"/>
        <v>9.4608907925457716E-2</v>
      </c>
    </row>
    <row r="204" spans="1:7" ht="15.75" customHeight="1">
      <c r="A204" s="3">
        <v>21753</v>
      </c>
      <c r="B204" s="4">
        <v>38</v>
      </c>
      <c r="C204">
        <f t="shared" si="15"/>
        <v>43.442705062002787</v>
      </c>
      <c r="D204" s="8">
        <f t="shared" si="16"/>
        <v>-5.442705062002787</v>
      </c>
      <c r="E204" s="8">
        <f t="shared" si="17"/>
        <v>5.442705062002787</v>
      </c>
      <c r="F204" s="8">
        <f t="shared" si="18"/>
        <v>29.623038391950761</v>
      </c>
      <c r="G204" s="5">
        <f t="shared" si="19"/>
        <v>0.1432290805790207</v>
      </c>
    </row>
    <row r="205" spans="1:7" ht="15.75" customHeight="1">
      <c r="A205" s="3">
        <v>21754</v>
      </c>
      <c r="B205" s="4">
        <v>42</v>
      </c>
      <c r="C205">
        <f t="shared" si="15"/>
        <v>42.354164049602232</v>
      </c>
      <c r="D205" s="8">
        <f t="shared" si="16"/>
        <v>-0.35416404960223247</v>
      </c>
      <c r="E205" s="8">
        <f t="shared" si="17"/>
        <v>0.35416404960223247</v>
      </c>
      <c r="F205" s="8">
        <f t="shared" si="18"/>
        <v>0.12543217403065257</v>
      </c>
      <c r="G205" s="5">
        <f t="shared" si="19"/>
        <v>8.4324773714817246E-3</v>
      </c>
    </row>
    <row r="206" spans="1:7" ht="15.75" customHeight="1">
      <c r="A206" s="3">
        <v>21755</v>
      </c>
      <c r="B206" s="4">
        <v>35</v>
      </c>
      <c r="C206">
        <f t="shared" si="15"/>
        <v>42.283331239681786</v>
      </c>
      <c r="D206" s="8">
        <f t="shared" si="16"/>
        <v>-7.283331239681786</v>
      </c>
      <c r="E206" s="8">
        <f t="shared" si="17"/>
        <v>7.283331239681786</v>
      </c>
      <c r="F206" s="8">
        <f t="shared" si="18"/>
        <v>53.046913946924619</v>
      </c>
      <c r="G206" s="5">
        <f t="shared" si="19"/>
        <v>0.20809517827662247</v>
      </c>
    </row>
    <row r="207" spans="1:7" ht="15.75" customHeight="1">
      <c r="A207" s="3">
        <v>21756</v>
      </c>
      <c r="B207" s="4">
        <v>36</v>
      </c>
      <c r="C207">
        <f t="shared" si="15"/>
        <v>40.826664991745432</v>
      </c>
      <c r="D207" s="8">
        <f t="shared" si="16"/>
        <v>-4.8266649917454316</v>
      </c>
      <c r="E207" s="8">
        <f t="shared" si="17"/>
        <v>4.8266649917454316</v>
      </c>
      <c r="F207" s="8">
        <f t="shared" si="18"/>
        <v>23.296694942540928</v>
      </c>
      <c r="G207" s="5">
        <f t="shared" si="19"/>
        <v>0.13407402754848421</v>
      </c>
    </row>
    <row r="208" spans="1:7" ht="15.75" customHeight="1">
      <c r="A208" s="3">
        <v>21757</v>
      </c>
      <c r="B208" s="4">
        <v>39</v>
      </c>
      <c r="C208">
        <f t="shared" si="15"/>
        <v>39.861331993396348</v>
      </c>
      <c r="D208" s="8">
        <f t="shared" si="16"/>
        <v>-0.86133199339634814</v>
      </c>
      <c r="E208" s="8">
        <f t="shared" si="17"/>
        <v>0.86133199339634814</v>
      </c>
      <c r="F208" s="8">
        <f t="shared" si="18"/>
        <v>0.74189280284812675</v>
      </c>
      <c r="G208" s="5">
        <f t="shared" si="19"/>
        <v>2.2085435728111492E-2</v>
      </c>
    </row>
    <row r="209" spans="1:7" ht="15.75" customHeight="1">
      <c r="A209" s="3">
        <v>21758</v>
      </c>
      <c r="B209" s="4">
        <v>45</v>
      </c>
      <c r="C209">
        <f t="shared" si="15"/>
        <v>39.689065594717079</v>
      </c>
      <c r="D209" s="8">
        <f t="shared" si="16"/>
        <v>5.3109344052829215</v>
      </c>
      <c r="E209" s="8">
        <f t="shared" si="17"/>
        <v>5.3109344052829215</v>
      </c>
      <c r="F209" s="8">
        <f t="shared" si="18"/>
        <v>28.206024257217859</v>
      </c>
      <c r="G209" s="5">
        <f t="shared" si="19"/>
        <v>0.1180207645618427</v>
      </c>
    </row>
    <row r="210" spans="1:7" ht="15.75" customHeight="1">
      <c r="A210" s="3">
        <v>21759</v>
      </c>
      <c r="B210" s="4">
        <v>43</v>
      </c>
      <c r="C210">
        <f t="shared" si="15"/>
        <v>40.751252475773668</v>
      </c>
      <c r="D210" s="8">
        <f t="shared" si="16"/>
        <v>2.2487475242263315</v>
      </c>
      <c r="E210" s="8">
        <f t="shared" si="17"/>
        <v>2.2487475242263315</v>
      </c>
      <c r="F210" s="8">
        <f t="shared" si="18"/>
        <v>5.0568654277140554</v>
      </c>
      <c r="G210" s="5">
        <f t="shared" si="19"/>
        <v>5.2296454051775153E-2</v>
      </c>
    </row>
    <row r="211" spans="1:7" ht="15.75" customHeight="1">
      <c r="A211" s="3">
        <v>21760</v>
      </c>
      <c r="B211" s="4">
        <v>47</v>
      </c>
      <c r="C211">
        <f t="shared" si="15"/>
        <v>41.20100198061894</v>
      </c>
      <c r="D211" s="8">
        <f t="shared" si="16"/>
        <v>5.7989980193810595</v>
      </c>
      <c r="E211" s="8">
        <f t="shared" si="17"/>
        <v>5.7989980193810595</v>
      </c>
      <c r="F211" s="8">
        <f t="shared" si="18"/>
        <v>33.628378028785448</v>
      </c>
      <c r="G211" s="5">
        <f t="shared" si="19"/>
        <v>0.12338293658257574</v>
      </c>
    </row>
    <row r="212" spans="1:7" ht="15.75" customHeight="1">
      <c r="A212" s="3">
        <v>21761</v>
      </c>
      <c r="B212" s="4">
        <v>36</v>
      </c>
      <c r="C212">
        <f t="shared" si="15"/>
        <v>42.36080158449515</v>
      </c>
      <c r="D212" s="8">
        <f t="shared" si="16"/>
        <v>-6.3608015844951495</v>
      </c>
      <c r="E212" s="8">
        <f t="shared" si="17"/>
        <v>6.3608015844951495</v>
      </c>
      <c r="F212" s="8">
        <f t="shared" si="18"/>
        <v>40.459796797316002</v>
      </c>
      <c r="G212" s="5">
        <f t="shared" si="19"/>
        <v>0.17668893290264304</v>
      </c>
    </row>
    <row r="213" spans="1:7" ht="15.75" customHeight="1">
      <c r="A213" s="3">
        <v>21762</v>
      </c>
      <c r="B213" s="4">
        <v>41</v>
      </c>
      <c r="C213">
        <f t="shared" si="15"/>
        <v>41.088641267596124</v>
      </c>
      <c r="D213" s="8">
        <f t="shared" si="16"/>
        <v>-8.8641267596123896E-2</v>
      </c>
      <c r="E213" s="8">
        <f t="shared" si="17"/>
        <v>8.8641267596123896E-2</v>
      </c>
      <c r="F213" s="8">
        <f t="shared" si="18"/>
        <v>7.8572743210476442E-3</v>
      </c>
      <c r="G213" s="5">
        <f t="shared" si="19"/>
        <v>2.1619821364908267E-3</v>
      </c>
    </row>
    <row r="214" spans="1:7" ht="15.75" customHeight="1">
      <c r="A214" s="3">
        <v>21763</v>
      </c>
      <c r="B214" s="4">
        <v>50</v>
      </c>
      <c r="C214">
        <f t="shared" si="15"/>
        <v>41.070913014076901</v>
      </c>
      <c r="D214" s="8">
        <f t="shared" si="16"/>
        <v>8.9290869859230995</v>
      </c>
      <c r="E214" s="8">
        <f t="shared" si="17"/>
        <v>8.9290869859230995</v>
      </c>
      <c r="F214" s="8">
        <f t="shared" si="18"/>
        <v>79.728594402181258</v>
      </c>
      <c r="G214" s="5">
        <f t="shared" si="19"/>
        <v>0.178581739718462</v>
      </c>
    </row>
    <row r="215" spans="1:7" ht="15.75" customHeight="1">
      <c r="A215" s="3">
        <v>21764</v>
      </c>
      <c r="B215" s="4">
        <v>39</v>
      </c>
      <c r="C215">
        <f t="shared" si="15"/>
        <v>42.856730411261523</v>
      </c>
      <c r="D215" s="8">
        <f t="shared" si="16"/>
        <v>-3.8567304112615233</v>
      </c>
      <c r="E215" s="8">
        <f t="shared" si="17"/>
        <v>3.8567304112615233</v>
      </c>
      <c r="F215" s="8">
        <f t="shared" si="18"/>
        <v>14.874369465149478</v>
      </c>
      <c r="G215" s="5">
        <f t="shared" si="19"/>
        <v>9.8890523365680078E-2</v>
      </c>
    </row>
    <row r="216" spans="1:7" ht="15.75" customHeight="1">
      <c r="A216" s="3">
        <v>21765</v>
      </c>
      <c r="B216" s="4">
        <v>41</v>
      </c>
      <c r="C216">
        <f t="shared" si="15"/>
        <v>42.085384329009216</v>
      </c>
      <c r="D216" s="8">
        <f t="shared" si="16"/>
        <v>-1.0853843290092158</v>
      </c>
      <c r="E216" s="8">
        <f t="shared" si="17"/>
        <v>1.0853843290092158</v>
      </c>
      <c r="F216" s="8">
        <f t="shared" si="18"/>
        <v>1.1780591416587856</v>
      </c>
      <c r="G216" s="5">
        <f t="shared" si="19"/>
        <v>2.6472788512419895E-2</v>
      </c>
    </row>
    <row r="217" spans="1:7" ht="15.75" customHeight="1">
      <c r="A217" s="3">
        <v>21766</v>
      </c>
      <c r="B217" s="4">
        <v>46</v>
      </c>
      <c r="C217">
        <f t="shared" si="15"/>
        <v>41.86830746320738</v>
      </c>
      <c r="D217" s="8">
        <f t="shared" si="16"/>
        <v>4.1316925367926203</v>
      </c>
      <c r="E217" s="8">
        <f t="shared" si="17"/>
        <v>4.1316925367926203</v>
      </c>
      <c r="F217" s="8">
        <f t="shared" si="18"/>
        <v>17.070883218587838</v>
      </c>
      <c r="G217" s="5">
        <f t="shared" si="19"/>
        <v>8.9819402973752613E-2</v>
      </c>
    </row>
    <row r="218" spans="1:7" ht="15.75" customHeight="1">
      <c r="A218" s="3">
        <v>21767</v>
      </c>
      <c r="B218" s="4">
        <v>64</v>
      </c>
      <c r="C218">
        <f t="shared" si="15"/>
        <v>42.694645970565908</v>
      </c>
      <c r="D218" s="8">
        <f t="shared" si="16"/>
        <v>21.305354029434092</v>
      </c>
      <c r="E218" s="8">
        <f t="shared" si="17"/>
        <v>21.305354029434092</v>
      </c>
      <c r="F218" s="8">
        <f t="shared" si="18"/>
        <v>453.91811031952352</v>
      </c>
      <c r="G218" s="5">
        <f t="shared" si="19"/>
        <v>0.33289615670990769</v>
      </c>
    </row>
    <row r="219" spans="1:7" ht="15.75" customHeight="1">
      <c r="A219" s="3">
        <v>21768</v>
      </c>
      <c r="B219" s="4">
        <v>45</v>
      </c>
      <c r="C219">
        <f t="shared" si="15"/>
        <v>46.955716776452732</v>
      </c>
      <c r="D219" s="8">
        <f t="shared" si="16"/>
        <v>-1.9557167764527321</v>
      </c>
      <c r="E219" s="8">
        <f t="shared" si="17"/>
        <v>1.9557167764527321</v>
      </c>
      <c r="F219" s="8">
        <f t="shared" si="18"/>
        <v>3.8248281096986658</v>
      </c>
      <c r="G219" s="5">
        <f t="shared" si="19"/>
        <v>4.3460372810060717E-2</v>
      </c>
    </row>
    <row r="220" spans="1:7" ht="15.75" customHeight="1">
      <c r="A220" s="3">
        <v>21769</v>
      </c>
      <c r="B220" s="4">
        <v>34</v>
      </c>
      <c r="C220">
        <f t="shared" si="15"/>
        <v>46.564573421162187</v>
      </c>
      <c r="D220" s="8">
        <f t="shared" si="16"/>
        <v>-12.564573421162187</v>
      </c>
      <c r="E220" s="8">
        <f t="shared" si="17"/>
        <v>12.564573421162187</v>
      </c>
      <c r="F220" s="8">
        <f t="shared" si="18"/>
        <v>157.86850525577526</v>
      </c>
      <c r="G220" s="5">
        <f t="shared" si="19"/>
        <v>0.36954627709300553</v>
      </c>
    </row>
    <row r="221" spans="1:7" ht="15.75" customHeight="1">
      <c r="A221" s="3">
        <v>21770</v>
      </c>
      <c r="B221" s="4">
        <v>38</v>
      </c>
      <c r="C221">
        <f t="shared" si="15"/>
        <v>44.051658736929753</v>
      </c>
      <c r="D221" s="8">
        <f t="shared" si="16"/>
        <v>-6.0516587369297525</v>
      </c>
      <c r="E221" s="8">
        <f t="shared" si="17"/>
        <v>6.0516587369297525</v>
      </c>
      <c r="F221" s="8">
        <f t="shared" si="18"/>
        <v>36.62257346825821</v>
      </c>
      <c r="G221" s="5">
        <f t="shared" si="19"/>
        <v>0.15925417728762506</v>
      </c>
    </row>
    <row r="222" spans="1:7" ht="15.75" customHeight="1">
      <c r="A222" s="3">
        <v>21771</v>
      </c>
      <c r="B222" s="4">
        <v>44</v>
      </c>
      <c r="C222">
        <f t="shared" si="15"/>
        <v>42.841326989543802</v>
      </c>
      <c r="D222" s="8">
        <f t="shared" si="16"/>
        <v>1.158673010456198</v>
      </c>
      <c r="E222" s="8">
        <f t="shared" si="17"/>
        <v>1.158673010456198</v>
      </c>
      <c r="F222" s="8">
        <f t="shared" si="18"/>
        <v>1.3425231451596287</v>
      </c>
      <c r="G222" s="5">
        <f t="shared" si="19"/>
        <v>2.6333477510368134E-2</v>
      </c>
    </row>
    <row r="223" spans="1:7" ht="15.75" customHeight="1">
      <c r="A223" s="3">
        <v>21772</v>
      </c>
      <c r="B223" s="4">
        <v>48</v>
      </c>
      <c r="C223">
        <f t="shared" si="15"/>
        <v>43.073061591635039</v>
      </c>
      <c r="D223" s="8">
        <f t="shared" si="16"/>
        <v>4.9269384083649612</v>
      </c>
      <c r="E223" s="8">
        <f t="shared" si="17"/>
        <v>4.9269384083649612</v>
      </c>
      <c r="F223" s="8">
        <f t="shared" si="18"/>
        <v>24.274722079821856</v>
      </c>
      <c r="G223" s="5">
        <f t="shared" si="19"/>
        <v>0.10264455017427003</v>
      </c>
    </row>
    <row r="224" spans="1:7" ht="15.75" customHeight="1">
      <c r="A224" s="3">
        <v>21773</v>
      </c>
      <c r="B224" s="4">
        <v>46</v>
      </c>
      <c r="C224">
        <f t="shared" si="15"/>
        <v>44.058449273308035</v>
      </c>
      <c r="D224" s="8">
        <f t="shared" si="16"/>
        <v>1.9415507266919647</v>
      </c>
      <c r="E224" s="8">
        <f t="shared" si="17"/>
        <v>1.9415507266919647</v>
      </c>
      <c r="F224" s="8">
        <f t="shared" si="18"/>
        <v>3.7696192243180962</v>
      </c>
      <c r="G224" s="5">
        <f t="shared" si="19"/>
        <v>4.2207624493303578E-2</v>
      </c>
    </row>
    <row r="225" spans="1:7" ht="15.75" customHeight="1">
      <c r="A225" s="3">
        <v>21774</v>
      </c>
      <c r="B225" s="4">
        <v>44</v>
      </c>
      <c r="C225">
        <f t="shared" si="15"/>
        <v>44.44675941864643</v>
      </c>
      <c r="D225" s="8">
        <f t="shared" si="16"/>
        <v>-0.44675941864642965</v>
      </c>
      <c r="E225" s="8">
        <f t="shared" si="17"/>
        <v>0.44675941864642965</v>
      </c>
      <c r="F225" s="8">
        <f t="shared" si="18"/>
        <v>0.1995939781492958</v>
      </c>
      <c r="G225" s="5">
        <f t="shared" si="19"/>
        <v>1.0153623151055219E-2</v>
      </c>
    </row>
    <row r="226" spans="1:7" ht="15.75" customHeight="1">
      <c r="A226" s="3">
        <v>21775</v>
      </c>
      <c r="B226" s="4">
        <v>37</v>
      </c>
      <c r="C226">
        <f t="shared" si="15"/>
        <v>44.357407534917144</v>
      </c>
      <c r="D226" s="8">
        <f t="shared" si="16"/>
        <v>-7.3574075349171437</v>
      </c>
      <c r="E226" s="8">
        <f t="shared" si="17"/>
        <v>7.3574075349171437</v>
      </c>
      <c r="F226" s="8">
        <f t="shared" si="18"/>
        <v>54.131445634855559</v>
      </c>
      <c r="G226" s="5">
        <f t="shared" si="19"/>
        <v>0.19884885229505794</v>
      </c>
    </row>
    <row r="227" spans="1:7" ht="15.75" customHeight="1">
      <c r="A227" s="3">
        <v>21776</v>
      </c>
      <c r="B227" s="4">
        <v>39</v>
      </c>
      <c r="C227">
        <f t="shared" si="15"/>
        <v>42.885926027933714</v>
      </c>
      <c r="D227" s="8">
        <f t="shared" si="16"/>
        <v>-3.8859260279337136</v>
      </c>
      <c r="E227" s="8">
        <f t="shared" si="17"/>
        <v>3.8859260279337136</v>
      </c>
      <c r="F227" s="8">
        <f t="shared" si="18"/>
        <v>15.100421094572688</v>
      </c>
      <c r="G227" s="5">
        <f t="shared" si="19"/>
        <v>9.9639128921377274E-2</v>
      </c>
    </row>
    <row r="228" spans="1:7" ht="15.75" customHeight="1">
      <c r="A228" s="3">
        <v>21777</v>
      </c>
      <c r="B228" s="4">
        <v>44</v>
      </c>
      <c r="C228">
        <f t="shared" si="15"/>
        <v>42.108740822346974</v>
      </c>
      <c r="D228" s="8">
        <f t="shared" si="16"/>
        <v>1.8912591776530263</v>
      </c>
      <c r="E228" s="8">
        <f t="shared" si="17"/>
        <v>1.8912591776530263</v>
      </c>
      <c r="F228" s="8">
        <f t="shared" si="18"/>
        <v>3.5768612770568011</v>
      </c>
      <c r="G228" s="5">
        <f t="shared" si="19"/>
        <v>4.2983163128477872E-2</v>
      </c>
    </row>
    <row r="229" spans="1:7" ht="15.75" customHeight="1">
      <c r="A229" s="3">
        <v>21778</v>
      </c>
      <c r="B229" s="4">
        <v>45</v>
      </c>
      <c r="C229">
        <f t="shared" si="15"/>
        <v>42.486992657877579</v>
      </c>
      <c r="D229" s="8">
        <f t="shared" si="16"/>
        <v>2.5130073421224211</v>
      </c>
      <c r="E229" s="8">
        <f t="shared" si="17"/>
        <v>2.5130073421224211</v>
      </c>
      <c r="F229" s="8">
        <f t="shared" si="18"/>
        <v>6.3152059015611952</v>
      </c>
      <c r="G229" s="5">
        <f t="shared" si="19"/>
        <v>5.5844607602720468E-2</v>
      </c>
    </row>
    <row r="230" spans="1:7" ht="15.75" customHeight="1">
      <c r="A230" s="3">
        <v>21779</v>
      </c>
      <c r="B230" s="4">
        <v>33</v>
      </c>
      <c r="C230">
        <f t="shared" si="15"/>
        <v>42.989594126302066</v>
      </c>
      <c r="D230" s="8">
        <f t="shared" si="16"/>
        <v>-9.989594126302066</v>
      </c>
      <c r="E230" s="8">
        <f t="shared" si="17"/>
        <v>9.989594126302066</v>
      </c>
      <c r="F230" s="8">
        <f t="shared" si="18"/>
        <v>99.791990808248741</v>
      </c>
      <c r="G230" s="5">
        <f t="shared" si="19"/>
        <v>0.30271497352430504</v>
      </c>
    </row>
    <row r="231" spans="1:7" ht="15.75" customHeight="1">
      <c r="A231" s="3">
        <v>21780</v>
      </c>
      <c r="B231" s="4">
        <v>44</v>
      </c>
      <c r="C231">
        <f t="shared" si="15"/>
        <v>40.991675301041653</v>
      </c>
      <c r="D231" s="8">
        <f t="shared" si="16"/>
        <v>3.0083246989583472</v>
      </c>
      <c r="E231" s="8">
        <f t="shared" si="17"/>
        <v>3.0083246989583472</v>
      </c>
      <c r="F231" s="8">
        <f t="shared" si="18"/>
        <v>9.0500174943628302</v>
      </c>
      <c r="G231" s="5">
        <f t="shared" si="19"/>
        <v>6.8371015885416983E-2</v>
      </c>
    </row>
    <row r="232" spans="1:7" ht="15.75" customHeight="1">
      <c r="A232" s="3">
        <v>21781</v>
      </c>
      <c r="B232" s="4">
        <v>38</v>
      </c>
      <c r="C232">
        <f t="shared" si="15"/>
        <v>41.593340240833328</v>
      </c>
      <c r="D232" s="8">
        <f t="shared" si="16"/>
        <v>-3.5933402408333279</v>
      </c>
      <c r="E232" s="8">
        <f t="shared" si="17"/>
        <v>3.5933402408333279</v>
      </c>
      <c r="F232" s="8">
        <f t="shared" si="18"/>
        <v>12.91209408639212</v>
      </c>
      <c r="G232" s="5">
        <f t="shared" si="19"/>
        <v>9.4561585285087582E-2</v>
      </c>
    </row>
    <row r="233" spans="1:7" ht="15.75" customHeight="1">
      <c r="A233" s="3">
        <v>21782</v>
      </c>
      <c r="B233" s="4">
        <v>46</v>
      </c>
      <c r="C233">
        <f t="shared" si="15"/>
        <v>40.874672192666665</v>
      </c>
      <c r="D233" s="8">
        <f t="shared" si="16"/>
        <v>5.1253278073333348</v>
      </c>
      <c r="E233" s="8">
        <f t="shared" si="17"/>
        <v>5.1253278073333348</v>
      </c>
      <c r="F233" s="8">
        <f t="shared" si="18"/>
        <v>26.26898513262433</v>
      </c>
      <c r="G233" s="5">
        <f t="shared" si="19"/>
        <v>0.11142016972463771</v>
      </c>
    </row>
    <row r="234" spans="1:7" ht="15.75" customHeight="1">
      <c r="A234" s="3">
        <v>21783</v>
      </c>
      <c r="B234" s="4">
        <v>46</v>
      </c>
      <c r="C234">
        <f t="shared" si="15"/>
        <v>41.899737754133334</v>
      </c>
      <c r="D234" s="8">
        <f t="shared" si="16"/>
        <v>4.1002622458666664</v>
      </c>
      <c r="E234" s="8">
        <f t="shared" si="17"/>
        <v>4.1002622458666664</v>
      </c>
      <c r="F234" s="8">
        <f t="shared" si="18"/>
        <v>16.81215048487956</v>
      </c>
      <c r="G234" s="5">
        <f t="shared" si="19"/>
        <v>8.9136135779710135E-2</v>
      </c>
    </row>
    <row r="235" spans="1:7" ht="15.75" customHeight="1">
      <c r="A235" s="3">
        <v>21784</v>
      </c>
      <c r="B235" s="4">
        <v>40</v>
      </c>
      <c r="C235">
        <f t="shared" si="15"/>
        <v>42.719790203306673</v>
      </c>
      <c r="D235" s="8">
        <f t="shared" si="16"/>
        <v>-2.7197902033066725</v>
      </c>
      <c r="E235" s="8">
        <f t="shared" si="17"/>
        <v>2.7197902033066725</v>
      </c>
      <c r="F235" s="8">
        <f t="shared" si="18"/>
        <v>7.3972587500029512</v>
      </c>
      <c r="G235" s="5">
        <f t="shared" si="19"/>
        <v>6.7994755082666808E-2</v>
      </c>
    </row>
    <row r="236" spans="1:7" ht="15.75" customHeight="1">
      <c r="A236" s="3">
        <v>21785</v>
      </c>
      <c r="B236" s="4">
        <v>39</v>
      </c>
      <c r="C236">
        <f t="shared" si="15"/>
        <v>42.175832162645342</v>
      </c>
      <c r="D236" s="8">
        <f t="shared" si="16"/>
        <v>-3.1758321626453423</v>
      </c>
      <c r="E236" s="8">
        <f t="shared" si="17"/>
        <v>3.1758321626453423</v>
      </c>
      <c r="F236" s="8">
        <f t="shared" si="18"/>
        <v>10.085909925292592</v>
      </c>
      <c r="G236" s="5">
        <f t="shared" si="19"/>
        <v>8.1431593913983136E-2</v>
      </c>
    </row>
    <row r="237" spans="1:7" ht="15.75" customHeight="1">
      <c r="A237" s="3">
        <v>21786</v>
      </c>
      <c r="B237" s="4">
        <v>44</v>
      </c>
      <c r="C237">
        <f t="shared" si="15"/>
        <v>41.540665730116274</v>
      </c>
      <c r="D237" s="8">
        <f t="shared" si="16"/>
        <v>2.4593342698837262</v>
      </c>
      <c r="E237" s="8">
        <f t="shared" si="17"/>
        <v>2.4593342698837262</v>
      </c>
      <c r="F237" s="8">
        <f t="shared" si="18"/>
        <v>6.0483250510245208</v>
      </c>
      <c r="G237" s="5">
        <f t="shared" si="19"/>
        <v>5.5893960679175597E-2</v>
      </c>
    </row>
    <row r="238" spans="1:7" ht="15.75" customHeight="1">
      <c r="A238" s="3">
        <v>21787</v>
      </c>
      <c r="B238" s="4">
        <v>48</v>
      </c>
      <c r="C238">
        <f t="shared" si="15"/>
        <v>42.032532584093019</v>
      </c>
      <c r="D238" s="8">
        <f t="shared" si="16"/>
        <v>5.9674674159069809</v>
      </c>
      <c r="E238" s="8">
        <f t="shared" si="17"/>
        <v>5.9674674159069809</v>
      </c>
      <c r="F238" s="8">
        <f t="shared" si="18"/>
        <v>35.610667359911538</v>
      </c>
      <c r="G238" s="5">
        <f t="shared" si="19"/>
        <v>0.12432223783139544</v>
      </c>
    </row>
    <row r="239" spans="1:7" ht="15.75" customHeight="1">
      <c r="A239" s="3">
        <v>21788</v>
      </c>
      <c r="B239" s="4">
        <v>50</v>
      </c>
      <c r="C239">
        <f t="shared" si="15"/>
        <v>43.226026067274418</v>
      </c>
      <c r="D239" s="8">
        <f t="shared" si="16"/>
        <v>6.7739739327255819</v>
      </c>
      <c r="E239" s="8">
        <f t="shared" si="17"/>
        <v>6.7739739327255819</v>
      </c>
      <c r="F239" s="8">
        <f t="shared" si="18"/>
        <v>45.886722841245685</v>
      </c>
      <c r="G239" s="5">
        <f t="shared" si="19"/>
        <v>0.13547947865451163</v>
      </c>
    </row>
    <row r="240" spans="1:7" ht="15.75" customHeight="1">
      <c r="A240" s="3">
        <v>21789</v>
      </c>
      <c r="B240" s="4">
        <v>41</v>
      </c>
      <c r="C240">
        <f t="shared" si="15"/>
        <v>44.580820853819539</v>
      </c>
      <c r="D240" s="8">
        <f t="shared" si="16"/>
        <v>-3.5808208538195387</v>
      </c>
      <c r="E240" s="8">
        <f t="shared" si="17"/>
        <v>3.5808208538195387</v>
      </c>
      <c r="F240" s="8">
        <f t="shared" si="18"/>
        <v>12.82227798714889</v>
      </c>
      <c r="G240" s="5">
        <f t="shared" si="19"/>
        <v>8.7337093995598511E-2</v>
      </c>
    </row>
    <row r="241" spans="1:7" ht="15.75" customHeight="1">
      <c r="A241" s="3">
        <v>21790</v>
      </c>
      <c r="B241" s="4">
        <v>42</v>
      </c>
      <c r="C241">
        <f t="shared" si="15"/>
        <v>43.864656683055635</v>
      </c>
      <c r="D241" s="8">
        <f t="shared" si="16"/>
        <v>-1.8646566830556353</v>
      </c>
      <c r="E241" s="8">
        <f t="shared" si="17"/>
        <v>1.8646566830556353</v>
      </c>
      <c r="F241" s="8">
        <f t="shared" si="18"/>
        <v>3.4769445456640438</v>
      </c>
      <c r="G241" s="5">
        <f t="shared" si="19"/>
        <v>4.439658769180084E-2</v>
      </c>
    </row>
    <row r="242" spans="1:7" ht="15.75" customHeight="1">
      <c r="A242" s="3">
        <v>21791</v>
      </c>
      <c r="B242" s="4">
        <v>51</v>
      </c>
      <c r="C242">
        <f t="shared" si="15"/>
        <v>43.491725346444511</v>
      </c>
      <c r="D242" s="8">
        <f t="shared" si="16"/>
        <v>7.508274653555489</v>
      </c>
      <c r="E242" s="8">
        <f t="shared" si="17"/>
        <v>7.508274653555489</v>
      </c>
      <c r="F242" s="8">
        <f t="shared" si="18"/>
        <v>56.374188273223801</v>
      </c>
      <c r="G242" s="5">
        <f t="shared" si="19"/>
        <v>0.14722107163834292</v>
      </c>
    </row>
    <row r="243" spans="1:7" ht="15.75" customHeight="1">
      <c r="A243" s="3">
        <v>21792</v>
      </c>
      <c r="B243" s="4">
        <v>41</v>
      </c>
      <c r="C243">
        <f t="shared" si="15"/>
        <v>44.993380277155616</v>
      </c>
      <c r="D243" s="8">
        <f t="shared" si="16"/>
        <v>-3.9933802771556159</v>
      </c>
      <c r="E243" s="8">
        <f t="shared" si="17"/>
        <v>3.9933802771556159</v>
      </c>
      <c r="F243" s="8">
        <f t="shared" si="18"/>
        <v>15.947086037975463</v>
      </c>
      <c r="G243" s="5">
        <f t="shared" si="19"/>
        <v>9.739951895501503E-2</v>
      </c>
    </row>
    <row r="244" spans="1:7" ht="15.75" customHeight="1">
      <c r="A244" s="3">
        <v>21793</v>
      </c>
      <c r="B244" s="4">
        <v>44</v>
      </c>
      <c r="C244">
        <f t="shared" si="15"/>
        <v>44.1947042217245</v>
      </c>
      <c r="D244" s="8">
        <f t="shared" si="16"/>
        <v>-0.19470422172449986</v>
      </c>
      <c r="E244" s="8">
        <f t="shared" si="17"/>
        <v>0.19470422172449986</v>
      </c>
      <c r="F244" s="8">
        <f t="shared" si="18"/>
        <v>3.7909733957343206E-2</v>
      </c>
      <c r="G244" s="5">
        <f t="shared" si="19"/>
        <v>4.425095948284088E-3</v>
      </c>
    </row>
    <row r="245" spans="1:7" ht="15.75" customHeight="1">
      <c r="A245" s="3">
        <v>21794</v>
      </c>
      <c r="B245" s="4">
        <v>38</v>
      </c>
      <c r="C245">
        <f t="shared" si="15"/>
        <v>44.1557633773796</v>
      </c>
      <c r="D245" s="8">
        <f t="shared" si="16"/>
        <v>-6.1557633773795999</v>
      </c>
      <c r="E245" s="8">
        <f t="shared" si="17"/>
        <v>6.1557633773795999</v>
      </c>
      <c r="F245" s="8">
        <f t="shared" si="18"/>
        <v>37.893422758287898</v>
      </c>
      <c r="G245" s="5">
        <f t="shared" si="19"/>
        <v>0.16199377308893684</v>
      </c>
    </row>
    <row r="246" spans="1:7" ht="15.75" customHeight="1">
      <c r="A246" s="3">
        <v>21795</v>
      </c>
      <c r="B246" s="4">
        <v>68</v>
      </c>
      <c r="C246">
        <f t="shared" si="15"/>
        <v>42.924610701903681</v>
      </c>
      <c r="D246" s="8">
        <f t="shared" si="16"/>
        <v>25.075389298096319</v>
      </c>
      <c r="E246" s="8">
        <f t="shared" si="17"/>
        <v>25.075389298096319</v>
      </c>
      <c r="F246" s="8">
        <f t="shared" si="18"/>
        <v>628.7751484510834</v>
      </c>
      <c r="G246" s="5">
        <f t="shared" si="19"/>
        <v>0.36875572497200471</v>
      </c>
    </row>
    <row r="247" spans="1:7" ht="15.75" customHeight="1">
      <c r="A247" s="3">
        <v>21796</v>
      </c>
      <c r="B247" s="4">
        <v>40</v>
      </c>
      <c r="C247">
        <f t="shared" si="15"/>
        <v>47.939688561522949</v>
      </c>
      <c r="D247" s="8">
        <f t="shared" si="16"/>
        <v>-7.9396885615229493</v>
      </c>
      <c r="E247" s="8">
        <f t="shared" si="17"/>
        <v>7.9396885615229493</v>
      </c>
      <c r="F247" s="8">
        <f t="shared" si="18"/>
        <v>63.03865445397836</v>
      </c>
      <c r="G247" s="5">
        <f t="shared" si="19"/>
        <v>0.19849221403807374</v>
      </c>
    </row>
    <row r="248" spans="1:7" ht="15.75" customHeight="1">
      <c r="A248" s="3">
        <v>21797</v>
      </c>
      <c r="B248" s="4">
        <v>42</v>
      </c>
      <c r="C248">
        <f t="shared" si="15"/>
        <v>46.351750849218362</v>
      </c>
      <c r="D248" s="8">
        <f t="shared" si="16"/>
        <v>-4.3517508492183623</v>
      </c>
      <c r="E248" s="8">
        <f t="shared" si="17"/>
        <v>4.3517508492183623</v>
      </c>
      <c r="F248" s="8">
        <f t="shared" si="18"/>
        <v>18.937735453672737</v>
      </c>
      <c r="G248" s="5">
        <f t="shared" si="19"/>
        <v>0.10361311545758005</v>
      </c>
    </row>
    <row r="249" spans="1:7" ht="15.75" customHeight="1">
      <c r="A249" s="3">
        <v>21798</v>
      </c>
      <c r="B249" s="4">
        <v>51</v>
      </c>
      <c r="C249">
        <f t="shared" si="15"/>
        <v>45.481400679374687</v>
      </c>
      <c r="D249" s="8">
        <f t="shared" si="16"/>
        <v>5.518599320625313</v>
      </c>
      <c r="E249" s="8">
        <f t="shared" si="17"/>
        <v>5.518599320625313</v>
      </c>
      <c r="F249" s="8">
        <f t="shared" si="18"/>
        <v>30.454938461606165</v>
      </c>
      <c r="G249" s="5">
        <f t="shared" si="19"/>
        <v>0.10820782981618261</v>
      </c>
    </row>
    <row r="250" spans="1:7" ht="15.75" customHeight="1">
      <c r="A250" s="3">
        <v>21799</v>
      </c>
      <c r="B250" s="4">
        <v>44</v>
      </c>
      <c r="C250">
        <f t="shared" si="15"/>
        <v>46.585120543499755</v>
      </c>
      <c r="D250" s="8">
        <f t="shared" si="16"/>
        <v>-2.5851205434997553</v>
      </c>
      <c r="E250" s="8">
        <f t="shared" si="17"/>
        <v>2.5851205434997553</v>
      </c>
      <c r="F250" s="8">
        <f t="shared" si="18"/>
        <v>6.68284822442447</v>
      </c>
      <c r="G250" s="5">
        <f t="shared" si="19"/>
        <v>5.8752739624994436E-2</v>
      </c>
    </row>
    <row r="251" spans="1:7" ht="15.75" customHeight="1">
      <c r="A251" s="3">
        <v>21800</v>
      </c>
      <c r="B251" s="4">
        <v>45</v>
      </c>
      <c r="C251">
        <f t="shared" si="15"/>
        <v>46.068096434799813</v>
      </c>
      <c r="D251" s="8">
        <f t="shared" si="16"/>
        <v>-1.0680964347998128</v>
      </c>
      <c r="E251" s="8">
        <f t="shared" si="17"/>
        <v>1.0680964347998128</v>
      </c>
      <c r="F251" s="8">
        <f t="shared" si="18"/>
        <v>1.1408299940320707</v>
      </c>
      <c r="G251" s="5">
        <f t="shared" si="19"/>
        <v>2.3735476328884727E-2</v>
      </c>
    </row>
    <row r="252" spans="1:7" ht="15.75" customHeight="1">
      <c r="A252" s="3">
        <v>21801</v>
      </c>
      <c r="B252" s="4">
        <v>36</v>
      </c>
      <c r="C252">
        <f t="shared" si="15"/>
        <v>45.854477147839852</v>
      </c>
      <c r="D252" s="8">
        <f t="shared" si="16"/>
        <v>-9.8544771478398516</v>
      </c>
      <c r="E252" s="8">
        <f t="shared" si="17"/>
        <v>9.8544771478398516</v>
      </c>
      <c r="F252" s="8">
        <f t="shared" si="18"/>
        <v>97.110719857297852</v>
      </c>
      <c r="G252" s="5">
        <f t="shared" si="19"/>
        <v>0.27373547632888479</v>
      </c>
    </row>
    <row r="253" spans="1:7" ht="15.75" customHeight="1">
      <c r="A253" s="3">
        <v>21802</v>
      </c>
      <c r="B253" s="4">
        <v>57</v>
      </c>
      <c r="C253">
        <f t="shared" si="15"/>
        <v>43.883581718271884</v>
      </c>
      <c r="D253" s="8">
        <f t="shared" si="16"/>
        <v>13.116418281728116</v>
      </c>
      <c r="E253" s="8">
        <f t="shared" si="17"/>
        <v>13.116418281728116</v>
      </c>
      <c r="F253" s="8">
        <f t="shared" si="18"/>
        <v>172.04042854125154</v>
      </c>
      <c r="G253" s="5">
        <f t="shared" si="19"/>
        <v>0.23011260143382659</v>
      </c>
    </row>
    <row r="254" spans="1:7" ht="15.75" customHeight="1">
      <c r="A254" s="3">
        <v>21803</v>
      </c>
      <c r="B254" s="4">
        <v>44</v>
      </c>
      <c r="C254">
        <f t="shared" si="15"/>
        <v>46.506865374617504</v>
      </c>
      <c r="D254" s="8">
        <f t="shared" si="16"/>
        <v>-2.5068653746175045</v>
      </c>
      <c r="E254" s="8">
        <f t="shared" si="17"/>
        <v>2.5068653746175045</v>
      </c>
      <c r="F254" s="8">
        <f t="shared" si="18"/>
        <v>6.2843740064561606</v>
      </c>
      <c r="G254" s="5">
        <f t="shared" si="19"/>
        <v>5.6974213059488736E-2</v>
      </c>
    </row>
    <row r="255" spans="1:7" ht="15.75" customHeight="1">
      <c r="A255" s="3">
        <v>21804</v>
      </c>
      <c r="B255" s="4">
        <v>42</v>
      </c>
      <c r="C255">
        <f t="shared" si="15"/>
        <v>46.005492299694012</v>
      </c>
      <c r="D255" s="8">
        <f t="shared" si="16"/>
        <v>-4.0054922996940121</v>
      </c>
      <c r="E255" s="8">
        <f t="shared" si="17"/>
        <v>4.0054922996940121</v>
      </c>
      <c r="F255" s="8">
        <f t="shared" si="18"/>
        <v>16.043968562908027</v>
      </c>
      <c r="G255" s="5">
        <f t="shared" si="19"/>
        <v>9.5368864278428861E-2</v>
      </c>
    </row>
    <row r="256" spans="1:7" ht="15.75" customHeight="1">
      <c r="A256" s="3">
        <v>21805</v>
      </c>
      <c r="B256" s="4">
        <v>53</v>
      </c>
      <c r="C256">
        <f t="shared" si="15"/>
        <v>45.204393839755213</v>
      </c>
      <c r="D256" s="8">
        <f t="shared" si="16"/>
        <v>7.7956061602447875</v>
      </c>
      <c r="E256" s="8">
        <f t="shared" si="17"/>
        <v>7.7956061602447875</v>
      </c>
      <c r="F256" s="8">
        <f t="shared" si="18"/>
        <v>60.771475405646477</v>
      </c>
      <c r="G256" s="5">
        <f t="shared" si="19"/>
        <v>0.14708690868386393</v>
      </c>
    </row>
    <row r="257" spans="1:7" ht="15.75" customHeight="1">
      <c r="A257" s="3">
        <v>21806</v>
      </c>
      <c r="B257" s="4">
        <v>42</v>
      </c>
      <c r="C257">
        <f t="shared" si="15"/>
        <v>46.763515071804171</v>
      </c>
      <c r="D257" s="8">
        <f t="shared" si="16"/>
        <v>-4.7635150718041714</v>
      </c>
      <c r="E257" s="8">
        <f t="shared" si="17"/>
        <v>4.7635150718041714</v>
      </c>
      <c r="F257" s="8">
        <f t="shared" si="18"/>
        <v>22.691075839305501</v>
      </c>
      <c r="G257" s="5">
        <f t="shared" si="19"/>
        <v>0.11341702551914694</v>
      </c>
    </row>
    <row r="258" spans="1:7" ht="15.75" customHeight="1">
      <c r="A258" s="3">
        <v>21807</v>
      </c>
      <c r="B258" s="4">
        <v>34</v>
      </c>
      <c r="C258">
        <f t="shared" si="15"/>
        <v>45.810812057443336</v>
      </c>
      <c r="D258" s="8">
        <f t="shared" si="16"/>
        <v>-11.810812057443336</v>
      </c>
      <c r="E258" s="8">
        <f t="shared" si="17"/>
        <v>11.810812057443336</v>
      </c>
      <c r="F258" s="8">
        <f t="shared" si="18"/>
        <v>139.49528145624888</v>
      </c>
      <c r="G258" s="5">
        <f t="shared" si="19"/>
        <v>0.34737682521892166</v>
      </c>
    </row>
    <row r="259" spans="1:7" ht="15.75" customHeight="1">
      <c r="A259" s="3">
        <v>21808</v>
      </c>
      <c r="B259" s="4">
        <v>40</v>
      </c>
      <c r="C259">
        <f t="shared" si="15"/>
        <v>43.448649645954674</v>
      </c>
      <c r="D259" s="8">
        <f t="shared" si="16"/>
        <v>-3.4486496459546743</v>
      </c>
      <c r="E259" s="8">
        <f t="shared" si="17"/>
        <v>3.4486496459546743</v>
      </c>
      <c r="F259" s="8">
        <f t="shared" si="18"/>
        <v>11.8931843805433</v>
      </c>
      <c r="G259" s="5">
        <f t="shared" si="19"/>
        <v>8.6216241148866862E-2</v>
      </c>
    </row>
    <row r="260" spans="1:7" ht="15.75" customHeight="1">
      <c r="A260" s="3">
        <v>21809</v>
      </c>
      <c r="B260" s="4">
        <v>56</v>
      </c>
      <c r="C260">
        <f t="shared" ref="C260:C323" si="20">0.2*B259+0.8*C259</f>
        <v>42.758919716763742</v>
      </c>
      <c r="D260" s="8">
        <f t="shared" ref="D260:D323" si="21">B260-C260</f>
        <v>13.241080283236258</v>
      </c>
      <c r="E260" s="8">
        <f t="shared" ref="E260:E323" si="22">ABS(D260)</f>
        <v>13.241080283236258</v>
      </c>
      <c r="F260" s="8">
        <f t="shared" ref="F260:F323" si="23">E260^2</f>
        <v>175.32620706710799</v>
      </c>
      <c r="G260" s="5">
        <f t="shared" ref="G260:G323" si="24">E260/B260</f>
        <v>0.23644786220064745</v>
      </c>
    </row>
    <row r="261" spans="1:7" ht="15.75" customHeight="1">
      <c r="A261" s="3">
        <v>21810</v>
      </c>
      <c r="B261" s="4">
        <v>44</v>
      </c>
      <c r="C261">
        <f t="shared" si="20"/>
        <v>45.407135773410999</v>
      </c>
      <c r="D261" s="8">
        <f t="shared" si="21"/>
        <v>-1.4071357734109995</v>
      </c>
      <c r="E261" s="8">
        <f t="shared" si="22"/>
        <v>1.4071357734109995</v>
      </c>
      <c r="F261" s="8">
        <f t="shared" si="23"/>
        <v>1.9800310848129716</v>
      </c>
      <c r="G261" s="5">
        <f t="shared" si="24"/>
        <v>3.1980358486613625E-2</v>
      </c>
    </row>
    <row r="262" spans="1:7" ht="15.75" customHeight="1">
      <c r="A262" s="3">
        <v>21811</v>
      </c>
      <c r="B262" s="4">
        <v>53</v>
      </c>
      <c r="C262">
        <f t="shared" si="20"/>
        <v>45.125708618728808</v>
      </c>
      <c r="D262" s="8">
        <f t="shared" si="21"/>
        <v>7.8742913812711919</v>
      </c>
      <c r="E262" s="8">
        <f t="shared" si="22"/>
        <v>7.8742913812711919</v>
      </c>
      <c r="F262" s="8">
        <f t="shared" si="23"/>
        <v>62.004464757161777</v>
      </c>
      <c r="G262" s="5">
        <f t="shared" si="24"/>
        <v>0.14857153549568286</v>
      </c>
    </row>
    <row r="263" spans="1:7" ht="15.75" customHeight="1">
      <c r="A263" s="3">
        <v>21812</v>
      </c>
      <c r="B263" s="4">
        <v>55</v>
      </c>
      <c r="C263">
        <f t="shared" si="20"/>
        <v>46.700566894983048</v>
      </c>
      <c r="D263" s="8">
        <f t="shared" si="21"/>
        <v>8.2994331050169521</v>
      </c>
      <c r="E263" s="8">
        <f t="shared" si="22"/>
        <v>8.2994331050169521</v>
      </c>
      <c r="F263" s="8">
        <f t="shared" si="23"/>
        <v>68.880589864651327</v>
      </c>
      <c r="G263" s="5">
        <f t="shared" si="24"/>
        <v>0.15089878372758095</v>
      </c>
    </row>
    <row r="264" spans="1:7" ht="15.75" customHeight="1">
      <c r="A264" s="3">
        <v>21813</v>
      </c>
      <c r="B264" s="4">
        <v>39</v>
      </c>
      <c r="C264">
        <f t="shared" si="20"/>
        <v>48.360453515986443</v>
      </c>
      <c r="D264" s="8">
        <f t="shared" si="21"/>
        <v>-9.3604535159864426</v>
      </c>
      <c r="E264" s="8">
        <f t="shared" si="22"/>
        <v>9.3604535159864426</v>
      </c>
      <c r="F264" s="8">
        <f t="shared" si="23"/>
        <v>87.618090024942958</v>
      </c>
      <c r="G264" s="5">
        <f t="shared" si="24"/>
        <v>0.240011628615037</v>
      </c>
    </row>
    <row r="265" spans="1:7" ht="15.75" customHeight="1">
      <c r="A265" s="3">
        <v>21814</v>
      </c>
      <c r="B265" s="4">
        <v>59</v>
      </c>
      <c r="C265">
        <f t="shared" si="20"/>
        <v>46.488362812789163</v>
      </c>
      <c r="D265" s="8">
        <f t="shared" si="21"/>
        <v>12.511637187210837</v>
      </c>
      <c r="E265" s="8">
        <f t="shared" si="22"/>
        <v>12.511637187210837</v>
      </c>
      <c r="F265" s="8">
        <f t="shared" si="23"/>
        <v>156.54106510439712</v>
      </c>
      <c r="G265" s="5">
        <f t="shared" si="24"/>
        <v>0.21206164724086166</v>
      </c>
    </row>
    <row r="266" spans="1:7" ht="15.75" customHeight="1">
      <c r="A266" s="3">
        <v>21815</v>
      </c>
      <c r="B266" s="4">
        <v>55</v>
      </c>
      <c r="C266">
        <f t="shared" si="20"/>
        <v>48.990690250231339</v>
      </c>
      <c r="D266" s="8">
        <f t="shared" si="21"/>
        <v>6.0093097497686614</v>
      </c>
      <c r="E266" s="8">
        <f t="shared" si="22"/>
        <v>6.0093097497686614</v>
      </c>
      <c r="F266" s="8">
        <f t="shared" si="23"/>
        <v>36.111803668664692</v>
      </c>
      <c r="G266" s="5">
        <f t="shared" si="24"/>
        <v>0.10926017726852112</v>
      </c>
    </row>
    <row r="267" spans="1:7" ht="15.75" customHeight="1">
      <c r="A267" s="3">
        <v>21816</v>
      </c>
      <c r="B267" s="4">
        <v>73</v>
      </c>
      <c r="C267">
        <f t="shared" si="20"/>
        <v>50.192552200185077</v>
      </c>
      <c r="D267" s="8">
        <f t="shared" si="21"/>
        <v>22.807447799814923</v>
      </c>
      <c r="E267" s="8">
        <f t="shared" si="22"/>
        <v>22.807447799814923</v>
      </c>
      <c r="F267" s="8">
        <f t="shared" si="23"/>
        <v>520.17967514128259</v>
      </c>
      <c r="G267" s="5">
        <f t="shared" si="24"/>
        <v>0.31243079177828664</v>
      </c>
    </row>
    <row r="268" spans="1:7" ht="15.75" customHeight="1">
      <c r="A268" s="3">
        <v>21817</v>
      </c>
      <c r="B268" s="4">
        <v>55</v>
      </c>
      <c r="C268">
        <f t="shared" si="20"/>
        <v>54.754041760148063</v>
      </c>
      <c r="D268" s="8">
        <f t="shared" si="21"/>
        <v>0.24595823985193732</v>
      </c>
      <c r="E268" s="8">
        <f t="shared" si="22"/>
        <v>0.24595823985193732</v>
      </c>
      <c r="F268" s="8">
        <f t="shared" si="23"/>
        <v>6.0495455751063125E-2</v>
      </c>
      <c r="G268" s="5">
        <f t="shared" si="24"/>
        <v>4.4719679973079509E-3</v>
      </c>
    </row>
    <row r="269" spans="1:7" ht="15.75" customHeight="1">
      <c r="A269" s="3">
        <v>21818</v>
      </c>
      <c r="B269" s="4">
        <v>44</v>
      </c>
      <c r="C269">
        <f t="shared" si="20"/>
        <v>54.803233408118452</v>
      </c>
      <c r="D269" s="8">
        <f t="shared" si="21"/>
        <v>-10.803233408118452</v>
      </c>
      <c r="E269" s="8">
        <f t="shared" si="22"/>
        <v>10.803233408118452</v>
      </c>
      <c r="F269" s="8">
        <f t="shared" si="23"/>
        <v>116.70985207028662</v>
      </c>
      <c r="G269" s="5">
        <f t="shared" si="24"/>
        <v>0.24552803200269208</v>
      </c>
    </row>
    <row r="270" spans="1:7" ht="15.75" customHeight="1">
      <c r="A270" s="3">
        <v>21819</v>
      </c>
      <c r="B270" s="4">
        <v>43</v>
      </c>
      <c r="C270">
        <f t="shared" si="20"/>
        <v>52.64258672649477</v>
      </c>
      <c r="D270" s="8">
        <f t="shared" si="21"/>
        <v>-9.6425867264947698</v>
      </c>
      <c r="E270" s="8">
        <f t="shared" si="22"/>
        <v>9.6425867264947698</v>
      </c>
      <c r="F270" s="8">
        <f t="shared" si="23"/>
        <v>92.979478777973114</v>
      </c>
      <c r="G270" s="5">
        <f t="shared" si="24"/>
        <v>0.22424620294173883</v>
      </c>
    </row>
    <row r="271" spans="1:7" ht="15.75" customHeight="1">
      <c r="A271" s="3">
        <v>21820</v>
      </c>
      <c r="B271" s="4">
        <v>40</v>
      </c>
      <c r="C271">
        <f t="shared" si="20"/>
        <v>50.71406938119582</v>
      </c>
      <c r="D271" s="8">
        <f t="shared" si="21"/>
        <v>-10.71406938119582</v>
      </c>
      <c r="E271" s="8">
        <f t="shared" si="22"/>
        <v>10.71406938119582</v>
      </c>
      <c r="F271" s="8">
        <f t="shared" si="23"/>
        <v>114.79128270507778</v>
      </c>
      <c r="G271" s="5">
        <f t="shared" si="24"/>
        <v>0.26785173452989552</v>
      </c>
    </row>
    <row r="272" spans="1:7" ht="15.75" customHeight="1">
      <c r="A272" s="3">
        <v>21821</v>
      </c>
      <c r="B272" s="4">
        <v>47</v>
      </c>
      <c r="C272">
        <f t="shared" si="20"/>
        <v>48.57125550495666</v>
      </c>
      <c r="D272" s="8">
        <f t="shared" si="21"/>
        <v>-1.5712555049566603</v>
      </c>
      <c r="E272" s="8">
        <f t="shared" si="22"/>
        <v>1.5712555049566603</v>
      </c>
      <c r="F272" s="8">
        <f t="shared" si="23"/>
        <v>2.4688438618566098</v>
      </c>
      <c r="G272" s="5">
        <f t="shared" si="24"/>
        <v>3.3430968190567241E-2</v>
      </c>
    </row>
    <row r="273" spans="1:7" ht="15.75" customHeight="1">
      <c r="A273" s="3">
        <v>21822</v>
      </c>
      <c r="B273" s="4">
        <v>51</v>
      </c>
      <c r="C273">
        <f t="shared" si="20"/>
        <v>48.257004403965333</v>
      </c>
      <c r="D273" s="8">
        <f t="shared" si="21"/>
        <v>2.7429955960346675</v>
      </c>
      <c r="E273" s="8">
        <f t="shared" si="22"/>
        <v>2.7429955960346675</v>
      </c>
      <c r="F273" s="8">
        <f t="shared" si="23"/>
        <v>7.5240248398655805</v>
      </c>
      <c r="G273" s="5">
        <f t="shared" si="24"/>
        <v>5.3784227373228771E-2</v>
      </c>
    </row>
    <row r="274" spans="1:7" ht="15.75" customHeight="1">
      <c r="A274" s="3">
        <v>21823</v>
      </c>
      <c r="B274" s="4">
        <v>56</v>
      </c>
      <c r="C274">
        <f t="shared" si="20"/>
        <v>48.805603523172273</v>
      </c>
      <c r="D274" s="8">
        <f t="shared" si="21"/>
        <v>7.1943964768277269</v>
      </c>
      <c r="E274" s="8">
        <f t="shared" si="22"/>
        <v>7.1943964768277269</v>
      </c>
      <c r="F274" s="8">
        <f t="shared" si="23"/>
        <v>51.759340665791207</v>
      </c>
      <c r="G274" s="5">
        <f t="shared" si="24"/>
        <v>0.12847136565763798</v>
      </c>
    </row>
    <row r="275" spans="1:7" ht="15.75" customHeight="1">
      <c r="A275" s="3">
        <v>21824</v>
      </c>
      <c r="B275" s="4">
        <v>49</v>
      </c>
      <c r="C275">
        <f t="shared" si="20"/>
        <v>50.244482818537826</v>
      </c>
      <c r="D275" s="8">
        <f t="shared" si="21"/>
        <v>-1.2444828185378256</v>
      </c>
      <c r="E275" s="8">
        <f t="shared" si="22"/>
        <v>1.2444828185378256</v>
      </c>
      <c r="F275" s="8">
        <f t="shared" si="23"/>
        <v>1.5487374856358507</v>
      </c>
      <c r="G275" s="5">
        <f t="shared" si="24"/>
        <v>2.5397608541588276E-2</v>
      </c>
    </row>
    <row r="276" spans="1:7" ht="15.75" customHeight="1">
      <c r="A276" s="3">
        <v>21825</v>
      </c>
      <c r="B276" s="4">
        <v>54</v>
      </c>
      <c r="C276">
        <f t="shared" si="20"/>
        <v>49.995586254830258</v>
      </c>
      <c r="D276" s="8">
        <f t="shared" si="21"/>
        <v>4.0044137451697424</v>
      </c>
      <c r="E276" s="8">
        <f t="shared" si="22"/>
        <v>4.0044137451697424</v>
      </c>
      <c r="F276" s="8">
        <f t="shared" si="23"/>
        <v>16.035329442504363</v>
      </c>
      <c r="G276" s="5">
        <f t="shared" si="24"/>
        <v>7.4155810095735963E-2</v>
      </c>
    </row>
    <row r="277" spans="1:7" ht="15.75" customHeight="1">
      <c r="A277" s="3">
        <v>21826</v>
      </c>
      <c r="B277" s="4">
        <v>56</v>
      </c>
      <c r="C277">
        <f t="shared" si="20"/>
        <v>50.796469003864203</v>
      </c>
      <c r="D277" s="8">
        <f t="shared" si="21"/>
        <v>5.2035309961357967</v>
      </c>
      <c r="E277" s="8">
        <f t="shared" si="22"/>
        <v>5.2035309961357967</v>
      </c>
      <c r="F277" s="8">
        <f t="shared" si="23"/>
        <v>27.076734827745998</v>
      </c>
      <c r="G277" s="5">
        <f t="shared" si="24"/>
        <v>9.2920196359567803E-2</v>
      </c>
    </row>
    <row r="278" spans="1:7" ht="15.75" customHeight="1">
      <c r="A278" s="3">
        <v>21827</v>
      </c>
      <c r="B278" s="4">
        <v>47</v>
      </c>
      <c r="C278">
        <f t="shared" si="20"/>
        <v>51.83717520309137</v>
      </c>
      <c r="D278" s="8">
        <f t="shared" si="21"/>
        <v>-4.8371752030913697</v>
      </c>
      <c r="E278" s="8">
        <f t="shared" si="22"/>
        <v>4.8371752030913697</v>
      </c>
      <c r="F278" s="8">
        <f t="shared" si="23"/>
        <v>23.398263945402032</v>
      </c>
      <c r="G278" s="5">
        <f t="shared" si="24"/>
        <v>0.10291862134236957</v>
      </c>
    </row>
    <row r="279" spans="1:7" ht="15.75" customHeight="1">
      <c r="A279" s="3">
        <v>21828</v>
      </c>
      <c r="B279" s="4">
        <v>44</v>
      </c>
      <c r="C279">
        <f t="shared" si="20"/>
        <v>50.8697401624731</v>
      </c>
      <c r="D279" s="8">
        <f t="shared" si="21"/>
        <v>-6.8697401624731</v>
      </c>
      <c r="E279" s="8">
        <f t="shared" si="22"/>
        <v>6.8697401624731</v>
      </c>
      <c r="F279" s="8">
        <f t="shared" si="23"/>
        <v>47.193329899895936</v>
      </c>
      <c r="G279" s="5">
        <f t="shared" si="24"/>
        <v>0.15613045823802499</v>
      </c>
    </row>
    <row r="280" spans="1:7" ht="15.75" customHeight="1">
      <c r="A280" s="3">
        <v>21829</v>
      </c>
      <c r="B280" s="4">
        <v>43</v>
      </c>
      <c r="C280">
        <f t="shared" si="20"/>
        <v>49.495792129978483</v>
      </c>
      <c r="D280" s="8">
        <f t="shared" si="21"/>
        <v>-6.4957921299784829</v>
      </c>
      <c r="E280" s="8">
        <f t="shared" si="22"/>
        <v>6.4957921299784829</v>
      </c>
      <c r="F280" s="8">
        <f t="shared" si="23"/>
        <v>42.195315395890397</v>
      </c>
      <c r="G280" s="5">
        <f t="shared" si="24"/>
        <v>0.15106493325531356</v>
      </c>
    </row>
    <row r="281" spans="1:7" ht="15.75" customHeight="1">
      <c r="A281" s="3">
        <v>21830</v>
      </c>
      <c r="B281" s="4">
        <v>42</v>
      </c>
      <c r="C281">
        <f t="shared" si="20"/>
        <v>48.196633703982791</v>
      </c>
      <c r="D281" s="8">
        <f t="shared" si="21"/>
        <v>-6.1966337039827906</v>
      </c>
      <c r="E281" s="8">
        <f t="shared" si="22"/>
        <v>6.1966337039827906</v>
      </c>
      <c r="F281" s="8">
        <f t="shared" si="23"/>
        <v>38.398269261335479</v>
      </c>
      <c r="G281" s="5">
        <f t="shared" si="24"/>
        <v>0.14753889771387596</v>
      </c>
    </row>
    <row r="282" spans="1:7" ht="15.75" customHeight="1">
      <c r="A282" s="3">
        <v>21831</v>
      </c>
      <c r="B282" s="4">
        <v>45</v>
      </c>
      <c r="C282">
        <f t="shared" si="20"/>
        <v>46.957306963186234</v>
      </c>
      <c r="D282" s="8">
        <f t="shared" si="21"/>
        <v>-1.9573069631862339</v>
      </c>
      <c r="E282" s="8">
        <f t="shared" si="22"/>
        <v>1.9573069631862339</v>
      </c>
      <c r="F282" s="8">
        <f t="shared" si="23"/>
        <v>3.8310505481373172</v>
      </c>
      <c r="G282" s="5">
        <f t="shared" si="24"/>
        <v>4.3495710293027422E-2</v>
      </c>
    </row>
    <row r="283" spans="1:7" ht="15.75" customHeight="1">
      <c r="A283" s="3">
        <v>21832</v>
      </c>
      <c r="B283" s="4">
        <v>50</v>
      </c>
      <c r="C283">
        <f t="shared" si="20"/>
        <v>46.565845570548987</v>
      </c>
      <c r="D283" s="8">
        <f t="shared" si="21"/>
        <v>3.4341544294510129</v>
      </c>
      <c r="E283" s="8">
        <f t="shared" si="22"/>
        <v>3.4341544294510129</v>
      </c>
      <c r="F283" s="8">
        <f t="shared" si="23"/>
        <v>11.793416645318011</v>
      </c>
      <c r="G283" s="5">
        <f t="shared" si="24"/>
        <v>6.8683088589020252E-2</v>
      </c>
    </row>
    <row r="284" spans="1:7" ht="15.75" customHeight="1">
      <c r="A284" s="3">
        <v>21833</v>
      </c>
      <c r="B284" s="4">
        <v>48</v>
      </c>
      <c r="C284">
        <f t="shared" si="20"/>
        <v>47.25267645643919</v>
      </c>
      <c r="D284" s="8">
        <f t="shared" si="21"/>
        <v>0.74732354356081032</v>
      </c>
      <c r="E284" s="8">
        <f t="shared" si="22"/>
        <v>0.74732354356081032</v>
      </c>
      <c r="F284" s="8">
        <f t="shared" si="23"/>
        <v>0.5584924787602864</v>
      </c>
      <c r="G284" s="5">
        <f t="shared" si="24"/>
        <v>1.5569240490850214E-2</v>
      </c>
    </row>
    <row r="285" spans="1:7" ht="15.75" customHeight="1">
      <c r="A285" s="3">
        <v>21834</v>
      </c>
      <c r="B285" s="4">
        <v>43</v>
      </c>
      <c r="C285">
        <f t="shared" si="20"/>
        <v>47.402141165151356</v>
      </c>
      <c r="D285" s="8">
        <f t="shared" si="21"/>
        <v>-4.402141165151356</v>
      </c>
      <c r="E285" s="8">
        <f t="shared" si="22"/>
        <v>4.402141165151356</v>
      </c>
      <c r="F285" s="8">
        <f t="shared" si="23"/>
        <v>19.37884683792014</v>
      </c>
      <c r="G285" s="5">
        <f t="shared" si="24"/>
        <v>0.10237537593375247</v>
      </c>
    </row>
    <row r="286" spans="1:7" ht="15.75" customHeight="1">
      <c r="A286" s="3">
        <v>21835</v>
      </c>
      <c r="B286" s="4">
        <v>40</v>
      </c>
      <c r="C286">
        <f t="shared" si="20"/>
        <v>46.52171293212109</v>
      </c>
      <c r="D286" s="8">
        <f t="shared" si="21"/>
        <v>-6.5217129321210905</v>
      </c>
      <c r="E286" s="8">
        <f t="shared" si="22"/>
        <v>6.5217129321210905</v>
      </c>
      <c r="F286" s="8">
        <f t="shared" si="23"/>
        <v>42.532739568995474</v>
      </c>
      <c r="G286" s="5">
        <f t="shared" si="24"/>
        <v>0.16304282330302727</v>
      </c>
    </row>
    <row r="287" spans="1:7" ht="15.75" customHeight="1">
      <c r="A287" s="3">
        <v>21836</v>
      </c>
      <c r="B287" s="4">
        <v>59</v>
      </c>
      <c r="C287">
        <f t="shared" si="20"/>
        <v>45.217370345696871</v>
      </c>
      <c r="D287" s="8">
        <f t="shared" si="21"/>
        <v>13.782629654303129</v>
      </c>
      <c r="E287" s="8">
        <f t="shared" si="22"/>
        <v>13.782629654303129</v>
      </c>
      <c r="F287" s="8">
        <f t="shared" si="23"/>
        <v>189.960880187676</v>
      </c>
      <c r="G287" s="5">
        <f t="shared" si="24"/>
        <v>0.23360389244581575</v>
      </c>
    </row>
    <row r="288" spans="1:7" ht="15.75" customHeight="1">
      <c r="A288" s="3">
        <v>21837</v>
      </c>
      <c r="B288" s="4">
        <v>41</v>
      </c>
      <c r="C288">
        <f t="shared" si="20"/>
        <v>47.973896276557497</v>
      </c>
      <c r="D288" s="8">
        <f t="shared" si="21"/>
        <v>-6.9738962765574968</v>
      </c>
      <c r="E288" s="8">
        <f t="shared" si="22"/>
        <v>6.9738962765574968</v>
      </c>
      <c r="F288" s="8">
        <f t="shared" si="23"/>
        <v>48.635229276182514</v>
      </c>
      <c r="G288" s="5">
        <f t="shared" si="24"/>
        <v>0.17009503113554869</v>
      </c>
    </row>
    <row r="289" spans="1:7" ht="15.75" customHeight="1">
      <c r="A289" s="3">
        <v>21838</v>
      </c>
      <c r="B289" s="4">
        <v>42</v>
      </c>
      <c r="C289">
        <f t="shared" si="20"/>
        <v>46.579117021246006</v>
      </c>
      <c r="D289" s="8">
        <f t="shared" si="21"/>
        <v>-4.5791170212460059</v>
      </c>
      <c r="E289" s="8">
        <f t="shared" si="22"/>
        <v>4.5791170212460059</v>
      </c>
      <c r="F289" s="8">
        <f t="shared" si="23"/>
        <v>20.968312694264895</v>
      </c>
      <c r="G289" s="5">
        <f t="shared" si="24"/>
        <v>0.10902659574395253</v>
      </c>
    </row>
    <row r="290" spans="1:7" ht="15.75" customHeight="1">
      <c r="A290" s="3">
        <v>21839</v>
      </c>
      <c r="B290" s="4">
        <v>51</v>
      </c>
      <c r="C290">
        <f t="shared" si="20"/>
        <v>45.663293616996803</v>
      </c>
      <c r="D290" s="8">
        <f t="shared" si="21"/>
        <v>5.3367063830031967</v>
      </c>
      <c r="E290" s="8">
        <f t="shared" si="22"/>
        <v>5.3367063830031967</v>
      </c>
      <c r="F290" s="8">
        <f t="shared" si="23"/>
        <v>28.480435018387062</v>
      </c>
      <c r="G290" s="5">
        <f t="shared" si="24"/>
        <v>0.10464130162751366</v>
      </c>
    </row>
    <row r="291" spans="1:7" ht="15.75" customHeight="1">
      <c r="A291" s="3">
        <v>21840</v>
      </c>
      <c r="B291" s="4">
        <v>49</v>
      </c>
      <c r="C291">
        <f t="shared" si="20"/>
        <v>46.730634893597447</v>
      </c>
      <c r="D291" s="8">
        <f t="shared" si="21"/>
        <v>2.2693651064025531</v>
      </c>
      <c r="E291" s="8">
        <f t="shared" si="22"/>
        <v>2.2693651064025531</v>
      </c>
      <c r="F291" s="8">
        <f t="shared" si="23"/>
        <v>5.1500179861574713</v>
      </c>
      <c r="G291" s="5">
        <f t="shared" si="24"/>
        <v>4.6313573600052102E-2</v>
      </c>
    </row>
    <row r="292" spans="1:7" ht="15.75" customHeight="1">
      <c r="A292" s="3">
        <v>21841</v>
      </c>
      <c r="B292" s="4">
        <v>45</v>
      </c>
      <c r="C292">
        <f t="shared" si="20"/>
        <v>47.184507914877955</v>
      </c>
      <c r="D292" s="8">
        <f t="shared" si="21"/>
        <v>-2.1845079148779547</v>
      </c>
      <c r="E292" s="8">
        <f t="shared" si="22"/>
        <v>2.1845079148779547</v>
      </c>
      <c r="F292" s="8">
        <f t="shared" si="23"/>
        <v>4.7720748301644296</v>
      </c>
      <c r="G292" s="5">
        <f t="shared" si="24"/>
        <v>4.8544620330621215E-2</v>
      </c>
    </row>
    <row r="293" spans="1:7" ht="15.75" customHeight="1">
      <c r="A293" s="3">
        <v>21842</v>
      </c>
      <c r="B293" s="4">
        <v>43</v>
      </c>
      <c r="C293">
        <f t="shared" si="20"/>
        <v>46.747606331902368</v>
      </c>
      <c r="D293" s="8">
        <f t="shared" si="21"/>
        <v>-3.747606331902368</v>
      </c>
      <c r="E293" s="8">
        <f t="shared" si="22"/>
        <v>3.747606331902368</v>
      </c>
      <c r="F293" s="8">
        <f t="shared" si="23"/>
        <v>14.044553218914722</v>
      </c>
      <c r="G293" s="5">
        <f t="shared" si="24"/>
        <v>8.7153635625636466E-2</v>
      </c>
    </row>
    <row r="294" spans="1:7" ht="15.75" customHeight="1">
      <c r="A294" s="3">
        <v>21843</v>
      </c>
      <c r="B294" s="4">
        <v>42</v>
      </c>
      <c r="C294">
        <f t="shared" si="20"/>
        <v>45.998085065521899</v>
      </c>
      <c r="D294" s="8">
        <f t="shared" si="21"/>
        <v>-3.9980850655218987</v>
      </c>
      <c r="E294" s="8">
        <f t="shared" si="22"/>
        <v>3.9980850655218987</v>
      </c>
      <c r="F294" s="8">
        <f t="shared" si="23"/>
        <v>15.984684191149245</v>
      </c>
      <c r="G294" s="5">
        <f t="shared" si="24"/>
        <v>9.5192501560045203E-2</v>
      </c>
    </row>
    <row r="295" spans="1:7" ht="15.75" customHeight="1">
      <c r="A295" s="3">
        <v>21844</v>
      </c>
      <c r="B295" s="4">
        <v>38</v>
      </c>
      <c r="C295">
        <f t="shared" si="20"/>
        <v>45.198468052417518</v>
      </c>
      <c r="D295" s="8">
        <f t="shared" si="21"/>
        <v>-7.1984680524175175</v>
      </c>
      <c r="E295" s="8">
        <f t="shared" si="22"/>
        <v>7.1984680524175175</v>
      </c>
      <c r="F295" s="8">
        <f t="shared" si="23"/>
        <v>51.81794230167565</v>
      </c>
      <c r="G295" s="5">
        <f t="shared" si="24"/>
        <v>0.18943336980046099</v>
      </c>
    </row>
    <row r="296" spans="1:7" ht="15.75" customHeight="1">
      <c r="A296" s="3">
        <v>21845</v>
      </c>
      <c r="B296" s="4">
        <v>47</v>
      </c>
      <c r="C296">
        <f t="shared" si="20"/>
        <v>43.758774441934015</v>
      </c>
      <c r="D296" s="8">
        <f t="shared" si="21"/>
        <v>3.2412255580659846</v>
      </c>
      <c r="E296" s="8">
        <f t="shared" si="22"/>
        <v>3.2412255580659846</v>
      </c>
      <c r="F296" s="8">
        <f t="shared" si="23"/>
        <v>10.505543118260153</v>
      </c>
      <c r="G296" s="5">
        <f t="shared" si="24"/>
        <v>6.8962245916297543E-2</v>
      </c>
    </row>
    <row r="297" spans="1:7" ht="15.75" customHeight="1">
      <c r="A297" s="3">
        <v>21846</v>
      </c>
      <c r="B297" s="4">
        <v>38</v>
      </c>
      <c r="C297">
        <f t="shared" si="20"/>
        <v>44.407019553547215</v>
      </c>
      <c r="D297" s="8">
        <f t="shared" si="21"/>
        <v>-6.4070195535472152</v>
      </c>
      <c r="E297" s="8">
        <f t="shared" si="22"/>
        <v>6.4070195535472152</v>
      </c>
      <c r="F297" s="8">
        <f t="shared" si="23"/>
        <v>41.049899559536357</v>
      </c>
      <c r="G297" s="5">
        <f t="shared" si="24"/>
        <v>0.16860577772492671</v>
      </c>
    </row>
    <row r="298" spans="1:7" ht="15.75" customHeight="1">
      <c r="A298" s="3">
        <v>21847</v>
      </c>
      <c r="B298" s="4">
        <v>36</v>
      </c>
      <c r="C298">
        <f t="shared" si="20"/>
        <v>43.125615642837772</v>
      </c>
      <c r="D298" s="8">
        <f t="shared" si="21"/>
        <v>-7.1256156428377722</v>
      </c>
      <c r="E298" s="8">
        <f t="shared" si="22"/>
        <v>7.1256156428377722</v>
      </c>
      <c r="F298" s="8">
        <f t="shared" si="23"/>
        <v>50.774398289454354</v>
      </c>
      <c r="G298" s="5">
        <f t="shared" si="24"/>
        <v>0.19793376785660477</v>
      </c>
    </row>
    <row r="299" spans="1:7" ht="15.75" customHeight="1">
      <c r="A299" s="3">
        <v>21848</v>
      </c>
      <c r="B299" s="4">
        <v>42</v>
      </c>
      <c r="C299">
        <f t="shared" si="20"/>
        <v>41.700492514270223</v>
      </c>
      <c r="D299" s="8">
        <f t="shared" si="21"/>
        <v>0.29950748572977659</v>
      </c>
      <c r="E299" s="8">
        <f t="shared" si="22"/>
        <v>0.29950748572977659</v>
      </c>
      <c r="F299" s="8">
        <f t="shared" si="23"/>
        <v>8.9704734008172332E-2</v>
      </c>
      <c r="G299" s="5">
        <f t="shared" si="24"/>
        <v>7.1311306126137283E-3</v>
      </c>
    </row>
    <row r="300" spans="1:7" ht="15.75" customHeight="1">
      <c r="A300" s="3">
        <v>21849</v>
      </c>
      <c r="B300" s="4">
        <v>35</v>
      </c>
      <c r="C300">
        <f t="shared" si="20"/>
        <v>41.760394011416182</v>
      </c>
      <c r="D300" s="8">
        <f t="shared" si="21"/>
        <v>-6.7603940114161816</v>
      </c>
      <c r="E300" s="8">
        <f t="shared" si="22"/>
        <v>6.7603940114161816</v>
      </c>
      <c r="F300" s="8">
        <f t="shared" si="23"/>
        <v>45.702927189591769</v>
      </c>
      <c r="G300" s="5">
        <f t="shared" si="24"/>
        <v>0.19315411461189091</v>
      </c>
    </row>
    <row r="301" spans="1:7" ht="15.75" customHeight="1">
      <c r="A301" s="3">
        <v>21850</v>
      </c>
      <c r="B301" s="4">
        <v>28</v>
      </c>
      <c r="C301">
        <f t="shared" si="20"/>
        <v>40.408315209132944</v>
      </c>
      <c r="D301" s="8">
        <f t="shared" si="21"/>
        <v>-12.408315209132944</v>
      </c>
      <c r="E301" s="8">
        <f t="shared" si="22"/>
        <v>12.408315209132944</v>
      </c>
      <c r="F301" s="8">
        <f t="shared" si="23"/>
        <v>153.96628632919993</v>
      </c>
      <c r="G301" s="5">
        <f t="shared" si="24"/>
        <v>0.44315411461189086</v>
      </c>
    </row>
    <row r="302" spans="1:7" ht="15.75" customHeight="1">
      <c r="A302" s="3">
        <v>21851</v>
      </c>
      <c r="B302" s="4">
        <v>44</v>
      </c>
      <c r="C302">
        <f t="shared" si="20"/>
        <v>37.926652167306358</v>
      </c>
      <c r="D302" s="8">
        <f t="shared" si="21"/>
        <v>6.0733478326936421</v>
      </c>
      <c r="E302" s="8">
        <f t="shared" si="22"/>
        <v>6.0733478326936421</v>
      </c>
      <c r="F302" s="8">
        <f t="shared" si="23"/>
        <v>36.885553896884559</v>
      </c>
      <c r="G302" s="5">
        <f t="shared" si="24"/>
        <v>0.13803063256121914</v>
      </c>
    </row>
    <row r="303" spans="1:7" ht="15.75" customHeight="1">
      <c r="A303" s="3">
        <v>21852</v>
      </c>
      <c r="B303" s="4">
        <v>36</v>
      </c>
      <c r="C303">
        <f t="shared" si="20"/>
        <v>39.141321733845089</v>
      </c>
      <c r="D303" s="8">
        <f t="shared" si="21"/>
        <v>-3.1413217338450892</v>
      </c>
      <c r="E303" s="8">
        <f t="shared" si="22"/>
        <v>3.1413217338450892</v>
      </c>
      <c r="F303" s="8">
        <f t="shared" si="23"/>
        <v>9.8679022355275166</v>
      </c>
      <c r="G303" s="5">
        <f t="shared" si="24"/>
        <v>8.7258937051252483E-2</v>
      </c>
    </row>
    <row r="304" spans="1:7" ht="15.75" customHeight="1">
      <c r="A304" s="3">
        <v>21853</v>
      </c>
      <c r="B304" s="4">
        <v>45</v>
      </c>
      <c r="C304">
        <f t="shared" si="20"/>
        <v>38.513057387076074</v>
      </c>
      <c r="D304" s="8">
        <f t="shared" si="21"/>
        <v>6.4869426129239258</v>
      </c>
      <c r="E304" s="8">
        <f t="shared" si="22"/>
        <v>6.4869426129239258</v>
      </c>
      <c r="F304" s="8">
        <f t="shared" si="23"/>
        <v>42.080424463368288</v>
      </c>
      <c r="G304" s="5">
        <f t="shared" si="24"/>
        <v>0.14415428028719834</v>
      </c>
    </row>
    <row r="305" spans="1:7" ht="15.75" customHeight="1">
      <c r="A305" s="3">
        <v>21854</v>
      </c>
      <c r="B305" s="4">
        <v>46</v>
      </c>
      <c r="C305">
        <f t="shared" si="20"/>
        <v>39.810445909660857</v>
      </c>
      <c r="D305" s="8">
        <f t="shared" si="21"/>
        <v>6.1895540903391435</v>
      </c>
      <c r="E305" s="8">
        <f t="shared" si="22"/>
        <v>6.1895540903391435</v>
      </c>
      <c r="F305" s="8">
        <f t="shared" si="23"/>
        <v>38.310579837234023</v>
      </c>
      <c r="G305" s="5">
        <f t="shared" si="24"/>
        <v>0.13455552370302487</v>
      </c>
    </row>
    <row r="306" spans="1:7" ht="15.75" customHeight="1">
      <c r="A306" s="3">
        <v>21855</v>
      </c>
      <c r="B306" s="4">
        <v>48</v>
      </c>
      <c r="C306">
        <f t="shared" si="20"/>
        <v>41.048356727728688</v>
      </c>
      <c r="D306" s="8">
        <f t="shared" si="21"/>
        <v>6.951643272271312</v>
      </c>
      <c r="E306" s="8">
        <f t="shared" si="22"/>
        <v>6.951643272271312</v>
      </c>
      <c r="F306" s="8">
        <f t="shared" si="23"/>
        <v>48.325344184914997</v>
      </c>
      <c r="G306" s="5">
        <f t="shared" si="24"/>
        <v>0.14482590150565233</v>
      </c>
    </row>
    <row r="307" spans="1:7" ht="15.75" customHeight="1">
      <c r="A307" s="3">
        <v>21856</v>
      </c>
      <c r="B307" s="4">
        <v>49</v>
      </c>
      <c r="C307">
        <f t="shared" si="20"/>
        <v>42.438685382182953</v>
      </c>
      <c r="D307" s="8">
        <f t="shared" si="21"/>
        <v>6.5613146178170467</v>
      </c>
      <c r="E307" s="8">
        <f t="shared" si="22"/>
        <v>6.5613146178170467</v>
      </c>
      <c r="F307" s="8">
        <f t="shared" si="23"/>
        <v>43.050849513979657</v>
      </c>
      <c r="G307" s="5">
        <f t="shared" si="24"/>
        <v>0.13390437995544993</v>
      </c>
    </row>
    <row r="308" spans="1:7" ht="15.75" customHeight="1">
      <c r="A308" s="3">
        <v>21857</v>
      </c>
      <c r="B308" s="4">
        <v>43</v>
      </c>
      <c r="C308">
        <f t="shared" si="20"/>
        <v>43.750948305746363</v>
      </c>
      <c r="D308" s="8">
        <f t="shared" si="21"/>
        <v>-0.75094830574636262</v>
      </c>
      <c r="E308" s="8">
        <f t="shared" si="22"/>
        <v>0.75094830574636262</v>
      </c>
      <c r="F308" s="8">
        <f t="shared" si="23"/>
        <v>0.56392335790333248</v>
      </c>
      <c r="G308" s="5">
        <f t="shared" si="24"/>
        <v>1.7463914087124711E-2</v>
      </c>
    </row>
    <row r="309" spans="1:7" ht="15.75" customHeight="1">
      <c r="A309" s="3">
        <v>21858</v>
      </c>
      <c r="B309" s="4">
        <v>42</v>
      </c>
      <c r="C309">
        <f t="shared" si="20"/>
        <v>43.600758644597093</v>
      </c>
      <c r="D309" s="8">
        <f t="shared" si="21"/>
        <v>-1.6007586445970929</v>
      </c>
      <c r="E309" s="8">
        <f t="shared" si="22"/>
        <v>1.6007586445970929</v>
      </c>
      <c r="F309" s="8">
        <f t="shared" si="23"/>
        <v>2.562428238252322</v>
      </c>
      <c r="G309" s="5">
        <f t="shared" si="24"/>
        <v>3.8113301061835546E-2</v>
      </c>
    </row>
    <row r="310" spans="1:7" ht="15.75" customHeight="1">
      <c r="A310" s="3">
        <v>21859</v>
      </c>
      <c r="B310" s="4">
        <v>59</v>
      </c>
      <c r="C310">
        <f t="shared" si="20"/>
        <v>43.280606915677673</v>
      </c>
      <c r="D310" s="8">
        <f t="shared" si="21"/>
        <v>15.719393084322327</v>
      </c>
      <c r="E310" s="8">
        <f t="shared" si="22"/>
        <v>15.719393084322327</v>
      </c>
      <c r="F310" s="8">
        <f t="shared" si="23"/>
        <v>247.09931893944059</v>
      </c>
      <c r="G310" s="5">
        <f t="shared" si="24"/>
        <v>0.26643039125970047</v>
      </c>
    </row>
    <row r="311" spans="1:7" ht="15.75" customHeight="1">
      <c r="A311" s="3">
        <v>21860</v>
      </c>
      <c r="B311" s="4">
        <v>45</v>
      </c>
      <c r="C311">
        <f t="shared" si="20"/>
        <v>46.424485532542136</v>
      </c>
      <c r="D311" s="8">
        <f t="shared" si="21"/>
        <v>-1.4244855325421355</v>
      </c>
      <c r="E311" s="8">
        <f t="shared" si="22"/>
        <v>1.4244855325421355</v>
      </c>
      <c r="F311" s="8">
        <f t="shared" si="23"/>
        <v>2.0291590324218514</v>
      </c>
      <c r="G311" s="5">
        <f t="shared" si="24"/>
        <v>3.1655234056491899E-2</v>
      </c>
    </row>
    <row r="312" spans="1:7" ht="15.75" customHeight="1">
      <c r="A312" s="3">
        <v>21861</v>
      </c>
      <c r="B312" s="4">
        <v>52</v>
      </c>
      <c r="C312">
        <f t="shared" si="20"/>
        <v>46.139588426033711</v>
      </c>
      <c r="D312" s="8">
        <f t="shared" si="21"/>
        <v>5.8604115739662888</v>
      </c>
      <c r="E312" s="8">
        <f t="shared" si="22"/>
        <v>5.8604115739662888</v>
      </c>
      <c r="F312" s="8">
        <f t="shared" si="23"/>
        <v>34.344423816278031</v>
      </c>
      <c r="G312" s="5">
        <f t="shared" si="24"/>
        <v>0.11270022257627478</v>
      </c>
    </row>
    <row r="313" spans="1:7" ht="15.75" customHeight="1">
      <c r="A313" s="3">
        <v>21862</v>
      </c>
      <c r="B313" s="4">
        <v>46</v>
      </c>
      <c r="C313">
        <f t="shared" si="20"/>
        <v>47.311670740826969</v>
      </c>
      <c r="D313" s="8">
        <f t="shared" si="21"/>
        <v>-1.311670740826969</v>
      </c>
      <c r="E313" s="8">
        <f t="shared" si="22"/>
        <v>1.311670740826969</v>
      </c>
      <c r="F313" s="8">
        <f t="shared" si="23"/>
        <v>1.7204801323415697</v>
      </c>
      <c r="G313" s="5">
        <f t="shared" si="24"/>
        <v>2.8514581322325414E-2</v>
      </c>
    </row>
    <row r="314" spans="1:7" ht="15.75" customHeight="1">
      <c r="A314" s="3">
        <v>21863</v>
      </c>
      <c r="B314" s="4">
        <v>42</v>
      </c>
      <c r="C314">
        <f t="shared" si="20"/>
        <v>47.049336592661582</v>
      </c>
      <c r="D314" s="8">
        <f t="shared" si="21"/>
        <v>-5.0493365926615823</v>
      </c>
      <c r="E314" s="8">
        <f t="shared" si="22"/>
        <v>5.0493365926615823</v>
      </c>
      <c r="F314" s="8">
        <f t="shared" si="23"/>
        <v>25.495800025991279</v>
      </c>
      <c r="G314" s="5">
        <f t="shared" si="24"/>
        <v>0.12022229982527577</v>
      </c>
    </row>
    <row r="315" spans="1:7" ht="15.75" customHeight="1">
      <c r="A315" s="3">
        <v>21864</v>
      </c>
      <c r="B315" s="4">
        <v>40</v>
      </c>
      <c r="C315">
        <f t="shared" si="20"/>
        <v>46.039469274129267</v>
      </c>
      <c r="D315" s="8">
        <f t="shared" si="21"/>
        <v>-6.0394692741292673</v>
      </c>
      <c r="E315" s="8">
        <f t="shared" si="22"/>
        <v>6.0394692741292673</v>
      </c>
      <c r="F315" s="8">
        <f t="shared" si="23"/>
        <v>36.475189113151501</v>
      </c>
      <c r="G315" s="5">
        <f t="shared" si="24"/>
        <v>0.15098673185323169</v>
      </c>
    </row>
    <row r="316" spans="1:7" ht="15.75" customHeight="1">
      <c r="A316" s="3">
        <v>21865</v>
      </c>
      <c r="B316" s="4">
        <v>40</v>
      </c>
      <c r="C316">
        <f t="shared" si="20"/>
        <v>44.831575419303412</v>
      </c>
      <c r="D316" s="8">
        <f t="shared" si="21"/>
        <v>-4.8315754193034124</v>
      </c>
      <c r="E316" s="8">
        <f t="shared" si="22"/>
        <v>4.8315754193034124</v>
      </c>
      <c r="F316" s="8">
        <f t="shared" si="23"/>
        <v>23.344121032416947</v>
      </c>
      <c r="G316" s="5">
        <f t="shared" si="24"/>
        <v>0.1207893854825853</v>
      </c>
    </row>
    <row r="317" spans="1:7" ht="15.75" customHeight="1">
      <c r="A317" s="3">
        <v>21866</v>
      </c>
      <c r="B317" s="4">
        <v>45</v>
      </c>
      <c r="C317">
        <f t="shared" si="20"/>
        <v>43.865260335442734</v>
      </c>
      <c r="D317" s="8">
        <f t="shared" si="21"/>
        <v>1.1347396645572658</v>
      </c>
      <c r="E317" s="8">
        <f t="shared" si="22"/>
        <v>1.1347396645572658</v>
      </c>
      <c r="F317" s="8">
        <f t="shared" si="23"/>
        <v>1.2876341063195362</v>
      </c>
      <c r="G317" s="5">
        <f t="shared" si="24"/>
        <v>2.5216436990161462E-2</v>
      </c>
    </row>
    <row r="318" spans="1:7" ht="15.75" customHeight="1">
      <c r="A318" s="3">
        <v>21867</v>
      </c>
      <c r="B318" s="4">
        <v>35</v>
      </c>
      <c r="C318">
        <f t="shared" si="20"/>
        <v>44.092208268354192</v>
      </c>
      <c r="D318" s="8">
        <f t="shared" si="21"/>
        <v>-9.0922082683541916</v>
      </c>
      <c r="E318" s="8">
        <f t="shared" si="22"/>
        <v>9.0922082683541916</v>
      </c>
      <c r="F318" s="8">
        <f t="shared" si="23"/>
        <v>82.668251195128335</v>
      </c>
      <c r="G318" s="5">
        <f t="shared" si="24"/>
        <v>0.25977737909583404</v>
      </c>
    </row>
    <row r="319" spans="1:7" ht="15.75" customHeight="1">
      <c r="A319" s="3">
        <v>21868</v>
      </c>
      <c r="B319" s="4">
        <v>35</v>
      </c>
      <c r="C319">
        <f t="shared" si="20"/>
        <v>42.273766614683353</v>
      </c>
      <c r="D319" s="8">
        <f t="shared" si="21"/>
        <v>-7.2737666146833533</v>
      </c>
      <c r="E319" s="8">
        <f t="shared" si="22"/>
        <v>7.2737666146833533</v>
      </c>
      <c r="F319" s="8">
        <f t="shared" si="23"/>
        <v>52.90768076488213</v>
      </c>
      <c r="G319" s="5">
        <f t="shared" si="24"/>
        <v>0.20782190327666725</v>
      </c>
    </row>
    <row r="320" spans="1:7" ht="15.75" customHeight="1">
      <c r="A320" s="3">
        <v>21869</v>
      </c>
      <c r="B320" s="4">
        <v>40</v>
      </c>
      <c r="C320">
        <f t="shared" si="20"/>
        <v>40.819013291746685</v>
      </c>
      <c r="D320" s="8">
        <f t="shared" si="21"/>
        <v>-0.81901329174668547</v>
      </c>
      <c r="E320" s="8">
        <f t="shared" si="22"/>
        <v>0.81901329174668547</v>
      </c>
      <c r="F320" s="8">
        <f t="shared" si="23"/>
        <v>0.67078277205774128</v>
      </c>
      <c r="G320" s="5">
        <f t="shared" si="24"/>
        <v>2.0475332293667138E-2</v>
      </c>
    </row>
    <row r="321" spans="1:7" ht="15.75" customHeight="1">
      <c r="A321" s="3">
        <v>21870</v>
      </c>
      <c r="B321" s="4">
        <v>39</v>
      </c>
      <c r="C321">
        <f t="shared" si="20"/>
        <v>40.655210633397353</v>
      </c>
      <c r="D321" s="8">
        <f t="shared" si="21"/>
        <v>-1.6552106333973526</v>
      </c>
      <c r="E321" s="8">
        <f t="shared" si="22"/>
        <v>1.6552106333973526</v>
      </c>
      <c r="F321" s="8">
        <f t="shared" si="23"/>
        <v>2.7397222409116653</v>
      </c>
      <c r="G321" s="5">
        <f t="shared" si="24"/>
        <v>4.2441298292239811E-2</v>
      </c>
    </row>
    <row r="322" spans="1:7" ht="15.75" customHeight="1">
      <c r="A322" s="3">
        <v>21871</v>
      </c>
      <c r="B322" s="4">
        <v>33</v>
      </c>
      <c r="C322">
        <f t="shared" si="20"/>
        <v>40.324168506717882</v>
      </c>
      <c r="D322" s="8">
        <f t="shared" si="21"/>
        <v>-7.3241685067178821</v>
      </c>
      <c r="E322" s="8">
        <f t="shared" si="22"/>
        <v>7.3241685067178821</v>
      </c>
      <c r="F322" s="8">
        <f t="shared" si="23"/>
        <v>53.643444314798053</v>
      </c>
      <c r="G322" s="5">
        <f t="shared" si="24"/>
        <v>0.22194450020357218</v>
      </c>
    </row>
    <row r="323" spans="1:7" ht="15.75" customHeight="1">
      <c r="A323" s="3">
        <v>21872</v>
      </c>
      <c r="B323" s="4">
        <v>42</v>
      </c>
      <c r="C323">
        <f t="shared" si="20"/>
        <v>38.85933480537431</v>
      </c>
      <c r="D323" s="8">
        <f t="shared" si="21"/>
        <v>3.14066519462569</v>
      </c>
      <c r="E323" s="8">
        <f t="shared" si="22"/>
        <v>3.14066519462569</v>
      </c>
      <c r="F323" s="8">
        <f t="shared" si="23"/>
        <v>9.8637778647332244</v>
      </c>
      <c r="G323" s="5">
        <f t="shared" si="24"/>
        <v>7.4777742729183097E-2</v>
      </c>
    </row>
    <row r="324" spans="1:7" ht="15.75" customHeight="1">
      <c r="A324" s="3">
        <v>21873</v>
      </c>
      <c r="B324" s="4">
        <v>47</v>
      </c>
      <c r="C324">
        <f t="shared" ref="C324:C366" si="25">0.2*B323+0.8*C323</f>
        <v>39.487467844299452</v>
      </c>
      <c r="D324" s="8">
        <f t="shared" ref="D324:D366" si="26">B324-C324</f>
        <v>7.5125321557005478</v>
      </c>
      <c r="E324" s="8">
        <f t="shared" ref="E324:E366" si="27">ABS(D324)</f>
        <v>7.5125321557005478</v>
      </c>
      <c r="F324" s="8">
        <f t="shared" ref="F324:F366" si="28">E324^2</f>
        <v>56.438139390434721</v>
      </c>
      <c r="G324" s="5">
        <f t="shared" ref="G324:G366" si="29">E324/B324</f>
        <v>0.15984110969575632</v>
      </c>
    </row>
    <row r="325" spans="1:7" ht="15.75" customHeight="1">
      <c r="A325" s="3">
        <v>21874</v>
      </c>
      <c r="B325" s="4">
        <v>51</v>
      </c>
      <c r="C325">
        <f t="shared" si="25"/>
        <v>40.989974275439565</v>
      </c>
      <c r="D325" s="8">
        <f t="shared" si="26"/>
        <v>10.010025724560435</v>
      </c>
      <c r="E325" s="8">
        <f t="shared" si="27"/>
        <v>10.010025724560435</v>
      </c>
      <c r="F325" s="8">
        <f t="shared" si="28"/>
        <v>100.20061500636167</v>
      </c>
      <c r="G325" s="5">
        <f t="shared" si="29"/>
        <v>0.19627501420706736</v>
      </c>
    </row>
    <row r="326" spans="1:7" ht="15.75" customHeight="1">
      <c r="A326" s="3">
        <v>21875</v>
      </c>
      <c r="B326" s="4">
        <v>44</v>
      </c>
      <c r="C326">
        <f t="shared" si="25"/>
        <v>42.991979420351655</v>
      </c>
      <c r="D326" s="8">
        <f t="shared" si="26"/>
        <v>1.0080205796483455</v>
      </c>
      <c r="E326" s="8">
        <f t="shared" si="27"/>
        <v>1.0080205796483455</v>
      </c>
      <c r="F326" s="8">
        <f t="shared" si="28"/>
        <v>1.0161054889945864</v>
      </c>
      <c r="G326" s="5">
        <f t="shared" si="29"/>
        <v>2.2909558628371487E-2</v>
      </c>
    </row>
    <row r="327" spans="1:7" ht="15.75" customHeight="1">
      <c r="A327" s="3">
        <v>21876</v>
      </c>
      <c r="B327" s="4">
        <v>40</v>
      </c>
      <c r="C327">
        <f t="shared" si="25"/>
        <v>43.193583536281324</v>
      </c>
      <c r="D327" s="8">
        <f t="shared" si="26"/>
        <v>-3.1935835362813236</v>
      </c>
      <c r="E327" s="8">
        <f t="shared" si="27"/>
        <v>3.1935835362813236</v>
      </c>
      <c r="F327" s="8">
        <f t="shared" si="28"/>
        <v>10.198975803207125</v>
      </c>
      <c r="G327" s="5">
        <f t="shared" si="29"/>
        <v>7.9839588407033091E-2</v>
      </c>
    </row>
    <row r="328" spans="1:7" ht="15.75" customHeight="1">
      <c r="A328" s="3">
        <v>21877</v>
      </c>
      <c r="B328" s="4">
        <v>57</v>
      </c>
      <c r="C328">
        <f t="shared" si="25"/>
        <v>42.554866829025059</v>
      </c>
      <c r="D328" s="8">
        <f t="shared" si="26"/>
        <v>14.445133170974941</v>
      </c>
      <c r="E328" s="8">
        <f t="shared" si="27"/>
        <v>14.445133170974941</v>
      </c>
      <c r="F328" s="8">
        <f t="shared" si="28"/>
        <v>208.66187232720057</v>
      </c>
      <c r="G328" s="5">
        <f t="shared" si="29"/>
        <v>0.25342338896447264</v>
      </c>
    </row>
    <row r="329" spans="1:7" ht="15.75" customHeight="1">
      <c r="A329" s="3">
        <v>21878</v>
      </c>
      <c r="B329" s="4">
        <v>49</v>
      </c>
      <c r="C329">
        <f t="shared" si="25"/>
        <v>45.44389346322005</v>
      </c>
      <c r="D329" s="8">
        <f t="shared" si="26"/>
        <v>3.55610653677995</v>
      </c>
      <c r="E329" s="8">
        <f t="shared" si="27"/>
        <v>3.55610653677995</v>
      </c>
      <c r="F329" s="8">
        <f t="shared" si="28"/>
        <v>12.64589370092909</v>
      </c>
      <c r="G329" s="5">
        <f t="shared" si="29"/>
        <v>7.2573602791427549E-2</v>
      </c>
    </row>
    <row r="330" spans="1:7" ht="15.75" customHeight="1">
      <c r="A330" s="3">
        <v>21879</v>
      </c>
      <c r="B330" s="4">
        <v>45</v>
      </c>
      <c r="C330">
        <f t="shared" si="25"/>
        <v>46.155114770576048</v>
      </c>
      <c r="D330" s="8">
        <f t="shared" si="26"/>
        <v>-1.1551147705760485</v>
      </c>
      <c r="E330" s="8">
        <f t="shared" si="27"/>
        <v>1.1551147705760485</v>
      </c>
      <c r="F330" s="8">
        <f t="shared" si="28"/>
        <v>1.3342901332029571</v>
      </c>
      <c r="G330" s="5">
        <f t="shared" si="29"/>
        <v>2.5669217123912187E-2</v>
      </c>
    </row>
    <row r="331" spans="1:7" ht="15.75" customHeight="1">
      <c r="A331" s="3">
        <v>21880</v>
      </c>
      <c r="B331" s="4">
        <v>49</v>
      </c>
      <c r="C331">
        <f t="shared" si="25"/>
        <v>45.924091816460837</v>
      </c>
      <c r="D331" s="8">
        <f t="shared" si="26"/>
        <v>3.0759081835391626</v>
      </c>
      <c r="E331" s="8">
        <f t="shared" si="27"/>
        <v>3.0759081835391626</v>
      </c>
      <c r="F331" s="8">
        <f t="shared" si="28"/>
        <v>9.4612111535631911</v>
      </c>
      <c r="G331" s="5">
        <f t="shared" si="29"/>
        <v>6.2773636398758423E-2</v>
      </c>
    </row>
    <row r="332" spans="1:7" ht="15.75" customHeight="1">
      <c r="A332" s="3">
        <v>21881</v>
      </c>
      <c r="B332" s="4">
        <v>51</v>
      </c>
      <c r="C332">
        <f t="shared" si="25"/>
        <v>46.539273453168676</v>
      </c>
      <c r="D332" s="8">
        <f t="shared" si="26"/>
        <v>4.4607265468313244</v>
      </c>
      <c r="E332" s="8">
        <f t="shared" si="27"/>
        <v>4.4607265468313244</v>
      </c>
      <c r="F332" s="8">
        <f t="shared" si="28"/>
        <v>19.898081325605713</v>
      </c>
      <c r="G332" s="5">
        <f t="shared" si="29"/>
        <v>8.7465226408457344E-2</v>
      </c>
    </row>
    <row r="333" spans="1:7" ht="15.75" customHeight="1">
      <c r="A333" s="3">
        <v>21882</v>
      </c>
      <c r="B333" s="4">
        <v>46</v>
      </c>
      <c r="C333">
        <f t="shared" si="25"/>
        <v>47.431418762534946</v>
      </c>
      <c r="D333" s="8">
        <f t="shared" si="26"/>
        <v>-1.4314187625349462</v>
      </c>
      <c r="E333" s="8">
        <f t="shared" si="27"/>
        <v>1.4314187625349462</v>
      </c>
      <c r="F333" s="8">
        <f t="shared" si="28"/>
        <v>2.0489596737370768</v>
      </c>
      <c r="G333" s="5">
        <f t="shared" si="29"/>
        <v>3.1117799185542309E-2</v>
      </c>
    </row>
    <row r="334" spans="1:7" ht="15.75" customHeight="1">
      <c r="A334" s="3">
        <v>21883</v>
      </c>
      <c r="B334" s="4">
        <v>44</v>
      </c>
      <c r="C334">
        <f t="shared" si="25"/>
        <v>47.145135010027964</v>
      </c>
      <c r="D334" s="8">
        <f t="shared" si="26"/>
        <v>-3.145135010027964</v>
      </c>
      <c r="E334" s="8">
        <f t="shared" si="27"/>
        <v>3.145135010027964</v>
      </c>
      <c r="F334" s="8">
        <f t="shared" si="28"/>
        <v>9.8918742313036017</v>
      </c>
      <c r="G334" s="5">
        <f t="shared" si="29"/>
        <v>7.1480341136999179E-2</v>
      </c>
    </row>
    <row r="335" spans="1:7" ht="15.75" customHeight="1">
      <c r="A335" s="3">
        <v>21884</v>
      </c>
      <c r="B335" s="4">
        <v>52</v>
      </c>
      <c r="C335">
        <f t="shared" si="25"/>
        <v>46.516108008022371</v>
      </c>
      <c r="D335" s="8">
        <f t="shared" si="26"/>
        <v>5.4838919919776288</v>
      </c>
      <c r="E335" s="8">
        <f t="shared" si="27"/>
        <v>5.4838919919776288</v>
      </c>
      <c r="F335" s="8">
        <f t="shared" si="28"/>
        <v>30.073071379676364</v>
      </c>
      <c r="G335" s="5">
        <f t="shared" si="29"/>
        <v>0.10545946138418517</v>
      </c>
    </row>
    <row r="336" spans="1:7" ht="15.75" customHeight="1">
      <c r="A336" s="3">
        <v>21885</v>
      </c>
      <c r="B336" s="4">
        <v>45</v>
      </c>
      <c r="C336">
        <f t="shared" si="25"/>
        <v>47.6128864064179</v>
      </c>
      <c r="D336" s="8">
        <f t="shared" si="26"/>
        <v>-2.6128864064178998</v>
      </c>
      <c r="E336" s="8">
        <f t="shared" si="27"/>
        <v>2.6128864064178998</v>
      </c>
      <c r="F336" s="8">
        <f t="shared" si="28"/>
        <v>6.8271753728434463</v>
      </c>
      <c r="G336" s="5">
        <f t="shared" si="29"/>
        <v>5.8064142364842218E-2</v>
      </c>
    </row>
    <row r="337" spans="1:7" ht="15.75" customHeight="1">
      <c r="A337" s="3">
        <v>21886</v>
      </c>
      <c r="B337" s="4">
        <v>32</v>
      </c>
      <c r="C337">
        <f t="shared" si="25"/>
        <v>47.090309125134318</v>
      </c>
      <c r="D337" s="8">
        <f t="shared" si="26"/>
        <v>-15.090309125134318</v>
      </c>
      <c r="E337" s="8">
        <f t="shared" si="27"/>
        <v>15.090309125134318</v>
      </c>
      <c r="F337" s="8">
        <f t="shared" si="28"/>
        <v>227.71742949211207</v>
      </c>
      <c r="G337" s="5">
        <f t="shared" si="29"/>
        <v>0.47157216016044745</v>
      </c>
    </row>
    <row r="338" spans="1:7" ht="15.75" customHeight="1">
      <c r="A338" s="3">
        <v>21887</v>
      </c>
      <c r="B338" s="4">
        <v>46</v>
      </c>
      <c r="C338">
        <f t="shared" si="25"/>
        <v>44.072247300107456</v>
      </c>
      <c r="D338" s="8">
        <f t="shared" si="26"/>
        <v>1.9277526998925438</v>
      </c>
      <c r="E338" s="8">
        <f t="shared" si="27"/>
        <v>1.9277526998925438</v>
      </c>
      <c r="F338" s="8">
        <f t="shared" si="28"/>
        <v>3.7162304719429922</v>
      </c>
      <c r="G338" s="5">
        <f t="shared" si="29"/>
        <v>4.1907667388968346E-2</v>
      </c>
    </row>
    <row r="339" spans="1:7" ht="15.75" customHeight="1">
      <c r="A339" s="3">
        <v>21888</v>
      </c>
      <c r="B339" s="4">
        <v>41</v>
      </c>
      <c r="C339">
        <f t="shared" si="25"/>
        <v>44.457797840085966</v>
      </c>
      <c r="D339" s="8">
        <f t="shared" si="26"/>
        <v>-3.4577978400859664</v>
      </c>
      <c r="E339" s="8">
        <f t="shared" si="27"/>
        <v>3.4577978400859664</v>
      </c>
      <c r="F339" s="8">
        <f t="shared" si="28"/>
        <v>11.956365902903174</v>
      </c>
      <c r="G339" s="5">
        <f t="shared" si="29"/>
        <v>8.4336532685023571E-2</v>
      </c>
    </row>
    <row r="340" spans="1:7" ht="15.75" customHeight="1">
      <c r="A340" s="3">
        <v>21889</v>
      </c>
      <c r="B340" s="4">
        <v>34</v>
      </c>
      <c r="C340">
        <f t="shared" si="25"/>
        <v>43.766238272068776</v>
      </c>
      <c r="D340" s="8">
        <f t="shared" si="26"/>
        <v>-9.7662382720687759</v>
      </c>
      <c r="E340" s="8">
        <f t="shared" si="27"/>
        <v>9.7662382720687759</v>
      </c>
      <c r="F340" s="8">
        <f t="shared" si="28"/>
        <v>95.379409986820903</v>
      </c>
      <c r="G340" s="5">
        <f t="shared" si="29"/>
        <v>0.28724230211966989</v>
      </c>
    </row>
    <row r="341" spans="1:7" ht="15.75" customHeight="1">
      <c r="A341" s="3">
        <v>21890</v>
      </c>
      <c r="B341" s="4">
        <v>33</v>
      </c>
      <c r="C341">
        <f t="shared" si="25"/>
        <v>41.812990617655018</v>
      </c>
      <c r="D341" s="8">
        <f t="shared" si="26"/>
        <v>-8.8129906176550179</v>
      </c>
      <c r="E341" s="8">
        <f t="shared" si="27"/>
        <v>8.8129906176550179</v>
      </c>
      <c r="F341" s="8">
        <f t="shared" si="28"/>
        <v>77.668803626875373</v>
      </c>
      <c r="G341" s="5">
        <f t="shared" si="29"/>
        <v>0.26706032174712174</v>
      </c>
    </row>
    <row r="342" spans="1:7" ht="15.75" customHeight="1">
      <c r="A342" s="3">
        <v>21891</v>
      </c>
      <c r="B342" s="4">
        <v>36</v>
      </c>
      <c r="C342">
        <f t="shared" si="25"/>
        <v>40.050392494124019</v>
      </c>
      <c r="D342" s="8">
        <f t="shared" si="26"/>
        <v>-4.0503924941240186</v>
      </c>
      <c r="E342" s="8">
        <f t="shared" si="27"/>
        <v>4.0503924941240186</v>
      </c>
      <c r="F342" s="8">
        <f t="shared" si="28"/>
        <v>16.405679356456186</v>
      </c>
      <c r="G342" s="5">
        <f t="shared" si="29"/>
        <v>0.11251090261455607</v>
      </c>
    </row>
    <row r="343" spans="1:7" ht="15.75" customHeight="1">
      <c r="A343" s="3">
        <v>21892</v>
      </c>
      <c r="B343" s="4">
        <v>49</v>
      </c>
      <c r="C343">
        <f t="shared" si="25"/>
        <v>39.240313995299218</v>
      </c>
      <c r="D343" s="8">
        <f t="shared" si="26"/>
        <v>9.7596860047007823</v>
      </c>
      <c r="E343" s="8">
        <f t="shared" si="27"/>
        <v>9.7596860047007823</v>
      </c>
      <c r="F343" s="8">
        <f t="shared" si="28"/>
        <v>95.251470910352324</v>
      </c>
      <c r="G343" s="5">
        <f t="shared" si="29"/>
        <v>0.19917726540205677</v>
      </c>
    </row>
    <row r="344" spans="1:7" ht="15.75" customHeight="1">
      <c r="A344" s="3">
        <v>21893</v>
      </c>
      <c r="B344" s="4">
        <v>43</v>
      </c>
      <c r="C344">
        <f t="shared" si="25"/>
        <v>41.192251196239376</v>
      </c>
      <c r="D344" s="8">
        <f t="shared" si="26"/>
        <v>1.8077488037606244</v>
      </c>
      <c r="E344" s="8">
        <f t="shared" si="27"/>
        <v>1.8077488037606244</v>
      </c>
      <c r="F344" s="8">
        <f t="shared" si="28"/>
        <v>3.2679557374979686</v>
      </c>
      <c r="G344" s="5">
        <f t="shared" si="29"/>
        <v>4.2040669854898245E-2</v>
      </c>
    </row>
    <row r="345" spans="1:7" ht="15.75" customHeight="1">
      <c r="A345" s="3">
        <v>21894</v>
      </c>
      <c r="B345" s="4">
        <v>43</v>
      </c>
      <c r="C345">
        <f t="shared" si="25"/>
        <v>41.553800956991502</v>
      </c>
      <c r="D345" s="8">
        <f t="shared" si="26"/>
        <v>1.4461990430084981</v>
      </c>
      <c r="E345" s="8">
        <f t="shared" si="27"/>
        <v>1.4461990430084981</v>
      </c>
      <c r="F345" s="8">
        <f t="shared" si="28"/>
        <v>2.0914916719986958</v>
      </c>
      <c r="G345" s="5">
        <f t="shared" si="29"/>
        <v>3.3632535883918561E-2</v>
      </c>
    </row>
    <row r="346" spans="1:7" ht="15.75" customHeight="1">
      <c r="A346" s="3">
        <v>21895</v>
      </c>
      <c r="B346" s="4">
        <v>34</v>
      </c>
      <c r="C346">
        <f t="shared" si="25"/>
        <v>41.843040765593202</v>
      </c>
      <c r="D346" s="8">
        <f t="shared" si="26"/>
        <v>-7.8430407655932015</v>
      </c>
      <c r="E346" s="8">
        <f t="shared" si="27"/>
        <v>7.8430407655932015</v>
      </c>
      <c r="F346" s="8">
        <f t="shared" si="28"/>
        <v>61.513288450756789</v>
      </c>
      <c r="G346" s="5">
        <f t="shared" si="29"/>
        <v>0.23067766957627064</v>
      </c>
    </row>
    <row r="347" spans="1:7" ht="15.75" customHeight="1">
      <c r="A347" s="3">
        <v>21896</v>
      </c>
      <c r="B347" s="4">
        <v>39</v>
      </c>
      <c r="C347">
        <f t="shared" si="25"/>
        <v>40.27443261247457</v>
      </c>
      <c r="D347" s="8">
        <f t="shared" si="26"/>
        <v>-1.2744326124745697</v>
      </c>
      <c r="E347" s="8">
        <f t="shared" si="27"/>
        <v>1.2744326124745697</v>
      </c>
      <c r="F347" s="8">
        <f t="shared" si="28"/>
        <v>1.624178483738757</v>
      </c>
      <c r="G347" s="5">
        <f t="shared" si="29"/>
        <v>3.267775929421974E-2</v>
      </c>
    </row>
    <row r="348" spans="1:7" ht="15.75" customHeight="1">
      <c r="A348" s="3">
        <v>21897</v>
      </c>
      <c r="B348" s="4">
        <v>35</v>
      </c>
      <c r="C348">
        <f t="shared" si="25"/>
        <v>40.019546089979656</v>
      </c>
      <c r="D348" s="8">
        <f t="shared" si="26"/>
        <v>-5.0195460899796558</v>
      </c>
      <c r="E348" s="8">
        <f t="shared" si="27"/>
        <v>5.0195460899796558</v>
      </c>
      <c r="F348" s="8">
        <f t="shared" si="28"/>
        <v>25.195842949430052</v>
      </c>
      <c r="G348" s="5">
        <f t="shared" si="29"/>
        <v>0.14341560257084732</v>
      </c>
    </row>
    <row r="349" spans="1:7" ht="15.75" customHeight="1">
      <c r="A349" s="3">
        <v>21898</v>
      </c>
      <c r="B349" s="4">
        <v>52</v>
      </c>
      <c r="C349">
        <f t="shared" si="25"/>
        <v>39.015636871983723</v>
      </c>
      <c r="D349" s="8">
        <f t="shared" si="26"/>
        <v>12.984363128016277</v>
      </c>
      <c r="E349" s="8">
        <f t="shared" si="27"/>
        <v>12.984363128016277</v>
      </c>
      <c r="F349" s="8">
        <f t="shared" si="28"/>
        <v>168.59368584018864</v>
      </c>
      <c r="G349" s="5">
        <f t="shared" si="29"/>
        <v>0.24969929092338994</v>
      </c>
    </row>
    <row r="350" spans="1:7" ht="15.75" customHeight="1">
      <c r="A350" s="3">
        <v>21899</v>
      </c>
      <c r="B350" s="4">
        <v>47</v>
      </c>
      <c r="C350">
        <f t="shared" si="25"/>
        <v>41.612509497586977</v>
      </c>
      <c r="D350" s="8">
        <f t="shared" si="26"/>
        <v>5.3874905024130229</v>
      </c>
      <c r="E350" s="8">
        <f t="shared" si="27"/>
        <v>5.3874905024130229</v>
      </c>
      <c r="F350" s="8">
        <f t="shared" si="28"/>
        <v>29.025053913590526</v>
      </c>
      <c r="G350" s="5">
        <f t="shared" si="29"/>
        <v>0.11462745749814943</v>
      </c>
    </row>
    <row r="351" spans="1:7" ht="15.75" customHeight="1">
      <c r="A351" s="3">
        <v>21900</v>
      </c>
      <c r="B351" s="4">
        <v>52</v>
      </c>
      <c r="C351">
        <f t="shared" si="25"/>
        <v>42.690007598069585</v>
      </c>
      <c r="D351" s="8">
        <f t="shared" si="26"/>
        <v>9.3099924019304154</v>
      </c>
      <c r="E351" s="8">
        <f t="shared" si="27"/>
        <v>9.3099924019304154</v>
      </c>
      <c r="F351" s="8">
        <f t="shared" si="28"/>
        <v>86.67595852400207</v>
      </c>
      <c r="G351" s="5">
        <f t="shared" si="29"/>
        <v>0.17903831542173876</v>
      </c>
    </row>
    <row r="352" spans="1:7" ht="15.75" customHeight="1">
      <c r="A352" s="3">
        <v>21901</v>
      </c>
      <c r="B352" s="4">
        <v>39</v>
      </c>
      <c r="C352">
        <f t="shared" si="25"/>
        <v>44.552006078455669</v>
      </c>
      <c r="D352" s="8">
        <f t="shared" si="26"/>
        <v>-5.5520060784556691</v>
      </c>
      <c r="E352" s="8">
        <f t="shared" si="27"/>
        <v>5.5520060784556691</v>
      </c>
      <c r="F352" s="8">
        <f t="shared" si="28"/>
        <v>30.824771495208697</v>
      </c>
      <c r="G352" s="5">
        <f t="shared" si="29"/>
        <v>0.14235913021681204</v>
      </c>
    </row>
    <row r="353" spans="1:7" ht="15.75" customHeight="1">
      <c r="A353" s="3">
        <v>21902</v>
      </c>
      <c r="B353" s="4">
        <v>40</v>
      </c>
      <c r="C353">
        <f t="shared" si="25"/>
        <v>43.441604862764535</v>
      </c>
      <c r="D353" s="8">
        <f t="shared" si="26"/>
        <v>-3.4416048627645353</v>
      </c>
      <c r="E353" s="8">
        <f t="shared" si="27"/>
        <v>3.4416048627645353</v>
      </c>
      <c r="F353" s="8">
        <f t="shared" si="28"/>
        <v>11.844644031404496</v>
      </c>
      <c r="G353" s="5">
        <f t="shared" si="29"/>
        <v>8.6040121569113379E-2</v>
      </c>
    </row>
    <row r="354" spans="1:7" ht="15.75" customHeight="1">
      <c r="A354" s="3">
        <v>21903</v>
      </c>
      <c r="B354" s="4">
        <v>42</v>
      </c>
      <c r="C354">
        <f t="shared" si="25"/>
        <v>42.753283890211627</v>
      </c>
      <c r="D354" s="8">
        <f t="shared" si="26"/>
        <v>-0.75328389021162678</v>
      </c>
      <c r="E354" s="8">
        <f t="shared" si="27"/>
        <v>0.75328389021162678</v>
      </c>
      <c r="F354" s="8">
        <f t="shared" si="28"/>
        <v>0.56743661925236222</v>
      </c>
      <c r="G354" s="5">
        <f t="shared" si="29"/>
        <v>1.7935330719324447E-2</v>
      </c>
    </row>
    <row r="355" spans="1:7" ht="15.75" customHeight="1">
      <c r="A355" s="3">
        <v>21904</v>
      </c>
      <c r="B355" s="4">
        <v>42</v>
      </c>
      <c r="C355">
        <f t="shared" si="25"/>
        <v>42.602627112169301</v>
      </c>
      <c r="D355" s="8">
        <f t="shared" si="26"/>
        <v>-0.60262711216930143</v>
      </c>
      <c r="E355" s="8">
        <f t="shared" si="27"/>
        <v>0.60262711216930143</v>
      </c>
      <c r="F355" s="8">
        <f t="shared" si="28"/>
        <v>0.36315943632151182</v>
      </c>
      <c r="G355" s="5">
        <f t="shared" si="29"/>
        <v>1.4348264575459558E-2</v>
      </c>
    </row>
    <row r="356" spans="1:7" ht="15.75" customHeight="1">
      <c r="A356" s="3">
        <v>21905</v>
      </c>
      <c r="B356" s="4">
        <v>53</v>
      </c>
      <c r="C356">
        <f t="shared" si="25"/>
        <v>42.482101689735444</v>
      </c>
      <c r="D356" s="8">
        <f t="shared" si="26"/>
        <v>10.517898310264556</v>
      </c>
      <c r="E356" s="8">
        <f t="shared" si="27"/>
        <v>10.517898310264556</v>
      </c>
      <c r="F356" s="8">
        <f t="shared" si="28"/>
        <v>110.62618486506601</v>
      </c>
      <c r="G356" s="5">
        <f t="shared" si="29"/>
        <v>0.19845091151442559</v>
      </c>
    </row>
    <row r="357" spans="1:7" ht="15.75" customHeight="1">
      <c r="A357" s="3">
        <v>21906</v>
      </c>
      <c r="B357" s="4">
        <v>39</v>
      </c>
      <c r="C357">
        <f t="shared" si="25"/>
        <v>44.585681351788359</v>
      </c>
      <c r="D357" s="8">
        <f t="shared" si="26"/>
        <v>-5.5856813517883594</v>
      </c>
      <c r="E357" s="8">
        <f t="shared" si="27"/>
        <v>5.5856813517883594</v>
      </c>
      <c r="F357" s="8">
        <f t="shared" si="28"/>
        <v>31.199836163716235</v>
      </c>
      <c r="G357" s="5">
        <f t="shared" si="29"/>
        <v>0.14322259876380408</v>
      </c>
    </row>
    <row r="358" spans="1:7" ht="15.75" customHeight="1">
      <c r="A358" s="3">
        <v>21907</v>
      </c>
      <c r="B358" s="4">
        <v>40</v>
      </c>
      <c r="C358">
        <f t="shared" si="25"/>
        <v>43.46854508143069</v>
      </c>
      <c r="D358" s="8">
        <f t="shared" si="26"/>
        <v>-3.4685450814306904</v>
      </c>
      <c r="E358" s="8">
        <f t="shared" si="27"/>
        <v>3.4685450814306904</v>
      </c>
      <c r="F358" s="8">
        <f t="shared" si="28"/>
        <v>12.030804981917035</v>
      </c>
      <c r="G358" s="5">
        <f t="shared" si="29"/>
        <v>8.6713627035767266E-2</v>
      </c>
    </row>
    <row r="359" spans="1:7" ht="15.75" customHeight="1">
      <c r="A359" s="3">
        <v>21908</v>
      </c>
      <c r="B359" s="4">
        <v>38</v>
      </c>
      <c r="C359">
        <f t="shared" si="25"/>
        <v>42.774836065144555</v>
      </c>
      <c r="D359" s="8">
        <f t="shared" si="26"/>
        <v>-4.7748360651445552</v>
      </c>
      <c r="E359" s="8">
        <f t="shared" si="27"/>
        <v>4.7748360651445552</v>
      </c>
      <c r="F359" s="8">
        <f t="shared" si="28"/>
        <v>22.799059449005139</v>
      </c>
      <c r="G359" s="5">
        <f t="shared" si="29"/>
        <v>0.12565358066169882</v>
      </c>
    </row>
    <row r="360" spans="1:7" ht="15.75" customHeight="1">
      <c r="A360" s="3">
        <v>21909</v>
      </c>
      <c r="B360" s="4">
        <v>44</v>
      </c>
      <c r="C360">
        <f t="shared" si="25"/>
        <v>41.819868852115647</v>
      </c>
      <c r="D360" s="8">
        <f t="shared" si="26"/>
        <v>2.180131147884353</v>
      </c>
      <c r="E360" s="8">
        <f t="shared" si="27"/>
        <v>2.180131147884353</v>
      </c>
      <c r="F360" s="8">
        <f t="shared" si="28"/>
        <v>4.7529718219755468</v>
      </c>
      <c r="G360" s="5">
        <f t="shared" si="29"/>
        <v>4.9548435179189838E-2</v>
      </c>
    </row>
    <row r="361" spans="1:7" ht="15.75" customHeight="1">
      <c r="A361" s="3">
        <v>21910</v>
      </c>
      <c r="B361" s="4">
        <v>34</v>
      </c>
      <c r="C361">
        <f t="shared" si="25"/>
        <v>42.255895081692515</v>
      </c>
      <c r="D361" s="8">
        <f t="shared" si="26"/>
        <v>-8.2558950816925147</v>
      </c>
      <c r="E361" s="8">
        <f t="shared" si="27"/>
        <v>8.2558950816925147</v>
      </c>
      <c r="F361" s="8">
        <f t="shared" si="28"/>
        <v>68.159803599914653</v>
      </c>
      <c r="G361" s="5">
        <f t="shared" si="29"/>
        <v>0.24282044357919161</v>
      </c>
    </row>
    <row r="362" spans="1:7" ht="15.75" customHeight="1">
      <c r="A362" s="3">
        <v>21911</v>
      </c>
      <c r="B362" s="4">
        <v>37</v>
      </c>
      <c r="C362">
        <f t="shared" si="25"/>
        <v>40.604716065354012</v>
      </c>
      <c r="D362" s="8">
        <f t="shared" si="26"/>
        <v>-3.6047160653540118</v>
      </c>
      <c r="E362" s="8">
        <f t="shared" si="27"/>
        <v>3.6047160653540118</v>
      </c>
      <c r="F362" s="8">
        <f t="shared" si="28"/>
        <v>12.993977911821307</v>
      </c>
      <c r="G362" s="5">
        <f t="shared" si="29"/>
        <v>9.7424758523081398E-2</v>
      </c>
    </row>
    <row r="363" spans="1:7" ht="15.75" customHeight="1">
      <c r="A363" s="3">
        <v>21912</v>
      </c>
      <c r="B363" s="4">
        <v>52</v>
      </c>
      <c r="C363">
        <f t="shared" si="25"/>
        <v>39.883772852283208</v>
      </c>
      <c r="D363" s="8">
        <f t="shared" si="26"/>
        <v>12.116227147716792</v>
      </c>
      <c r="E363" s="8">
        <f t="shared" si="27"/>
        <v>12.116227147716792</v>
      </c>
      <c r="F363" s="8">
        <f t="shared" si="28"/>
        <v>146.8029602950694</v>
      </c>
      <c r="G363" s="5">
        <f t="shared" si="29"/>
        <v>0.23300436822532292</v>
      </c>
    </row>
    <row r="364" spans="1:7" ht="15.75" customHeight="1">
      <c r="A364" s="3">
        <v>21913</v>
      </c>
      <c r="B364" s="4">
        <v>48</v>
      </c>
      <c r="C364">
        <f t="shared" si="25"/>
        <v>42.307018281826565</v>
      </c>
      <c r="D364" s="8">
        <f t="shared" si="26"/>
        <v>5.692981718173435</v>
      </c>
      <c r="E364" s="8">
        <f t="shared" si="27"/>
        <v>5.692981718173435</v>
      </c>
      <c r="F364" s="8">
        <f t="shared" si="28"/>
        <v>32.410040843456954</v>
      </c>
      <c r="G364" s="5">
        <f t="shared" si="29"/>
        <v>0.1186037857952799</v>
      </c>
    </row>
    <row r="365" spans="1:7" ht="15.75" customHeight="1">
      <c r="A365" s="3">
        <v>21914</v>
      </c>
      <c r="B365" s="4">
        <v>55</v>
      </c>
      <c r="C365">
        <f t="shared" si="25"/>
        <v>43.445614625461253</v>
      </c>
      <c r="D365" s="8">
        <f t="shared" si="26"/>
        <v>11.554385374538747</v>
      </c>
      <c r="E365" s="8">
        <f t="shared" si="27"/>
        <v>11.554385374538747</v>
      </c>
      <c r="F365" s="8">
        <f t="shared" si="28"/>
        <v>133.5038213833549</v>
      </c>
      <c r="G365" s="5">
        <f t="shared" si="29"/>
        <v>0.21007973408252267</v>
      </c>
    </row>
    <row r="366" spans="1:7" ht="15.75" customHeight="1">
      <c r="A366" s="3">
        <v>21915</v>
      </c>
      <c r="B366" s="4">
        <v>50</v>
      </c>
      <c r="C366">
        <f t="shared" si="25"/>
        <v>45.756491700369004</v>
      </c>
      <c r="D366" s="8">
        <f t="shared" si="26"/>
        <v>4.2435082996309959</v>
      </c>
      <c r="E366" s="8">
        <f t="shared" si="27"/>
        <v>4.2435082996309959</v>
      </c>
      <c r="F366" s="8">
        <f t="shared" si="28"/>
        <v>18.007362689037144</v>
      </c>
      <c r="G366" s="5">
        <f t="shared" si="29"/>
        <v>8.4870165992619914E-2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topLeftCell="G1" workbookViewId="0">
      <selection activeCell="K2" sqref="K2:K366"/>
    </sheetView>
  </sheetViews>
  <sheetFormatPr defaultColWidth="11.19921875" defaultRowHeight="15" customHeight="1"/>
  <cols>
    <col min="1" max="4" width="11" customWidth="1"/>
    <col min="5" max="5" width="12.09765625" customWidth="1"/>
    <col min="6" max="6" width="12" customWidth="1"/>
    <col min="7" max="7" width="12.8984375" customWidth="1"/>
    <col min="8" max="8" width="20.09765625" customWidth="1"/>
    <col min="9" max="9" width="22.8984375" customWidth="1"/>
    <col min="10" max="10" width="14.3984375" customWidth="1"/>
    <col min="11" max="11" width="23.3984375" customWidth="1"/>
    <col min="12" max="13" width="11" customWidth="1"/>
    <col min="14" max="14" width="8.5" bestFit="1" customWidth="1"/>
    <col min="15" max="15" width="13.5" bestFit="1" customWidth="1"/>
    <col min="16" max="22" width="11" customWidth="1"/>
    <col min="23" max="23" width="15.296875" customWidth="1"/>
    <col min="24" max="24" width="14" customWidth="1"/>
    <col min="25" max="25" width="14.296875" customWidth="1"/>
    <col min="26" max="26" width="11" customWidth="1"/>
  </cols>
  <sheetData>
    <row r="1" spans="1:25" ht="15.75" customHeight="1">
      <c r="A1" s="2" t="s">
        <v>17</v>
      </c>
      <c r="B1" s="2" t="s">
        <v>15</v>
      </c>
      <c r="C1" s="1" t="s">
        <v>0</v>
      </c>
      <c r="D1" s="2" t="s">
        <v>1</v>
      </c>
      <c r="E1" s="2" t="s">
        <v>18</v>
      </c>
      <c r="F1" s="14" t="s">
        <v>14</v>
      </c>
      <c r="G1" s="2" t="s">
        <v>4</v>
      </c>
      <c r="H1" s="2" t="s">
        <v>5</v>
      </c>
      <c r="I1" s="2" t="s">
        <v>6</v>
      </c>
      <c r="J1" s="2" t="s">
        <v>19</v>
      </c>
      <c r="K1" s="2" t="s">
        <v>20</v>
      </c>
    </row>
    <row r="2" spans="1:25" ht="15.75" customHeight="1">
      <c r="A2" s="4" t="str">
        <f t="shared" ref="A2:A256" si="0">IF(MONTH(C2)=1, "Jan",  IF(MONTH(C2) = 2, "Feb", IF(MONTH(C2) = 3, "Mar", IF(MONTH(C2) = 4, "Apr", IF(MONTH(C2) = 5, "May", IF(MONTH(C2) = 6, "Jun", IF(MONTH(C2) = 7, "Jul", IF(MONTH(C2) = 8, "Aug", IF(MONTH(C2) = 9, "Sep", IF(MONTH(C2) = 10, "Oct", IF(MONTH(C2) = 11, "Nov", "Dec")))))))))))</f>
        <v>Jan</v>
      </c>
      <c r="B2" s="4">
        <v>1</v>
      </c>
      <c r="C2" s="3">
        <v>21551</v>
      </c>
      <c r="D2" s="4">
        <v>35</v>
      </c>
      <c r="E2" s="15">
        <f>$O$2+($O$3*B2)</f>
        <v>38.507433191107125</v>
      </c>
      <c r="F2" s="8">
        <f>D2-K2</f>
        <v>-0.89159351048650137</v>
      </c>
      <c r="G2" s="8">
        <f>ABS(F2)</f>
        <v>0.89159351048650137</v>
      </c>
      <c r="H2" s="8">
        <f>G2^2</f>
        <v>0.79493898794164308</v>
      </c>
      <c r="I2" s="5">
        <f>G2/D2</f>
        <v>2.5474100299614326E-2</v>
      </c>
      <c r="J2" s="8">
        <f>VLOOKUP(A2,$V$7:$Y$19,4,FALSE)</f>
        <v>0.93206922757903476</v>
      </c>
      <c r="K2" s="8">
        <f>E2*J2</f>
        <v>35.891593510486501</v>
      </c>
      <c r="N2" s="18" t="s">
        <v>21</v>
      </c>
      <c r="O2" s="7">
        <f>INTERCEPT(D2:D366,B2:B366)</f>
        <v>38.488348637663712</v>
      </c>
    </row>
    <row r="3" spans="1:25" ht="15.75" customHeight="1">
      <c r="A3" s="4" t="str">
        <f t="shared" si="0"/>
        <v>Jan</v>
      </c>
      <c r="B3" s="4">
        <v>2</v>
      </c>
      <c r="C3" s="3">
        <v>21552</v>
      </c>
      <c r="D3" s="4">
        <v>32</v>
      </c>
      <c r="E3" s="15">
        <f>$O$2+($O$3*B3)</f>
        <v>38.526517744550539</v>
      </c>
      <c r="F3" s="8">
        <f t="shared" ref="F3:F66" si="1">D3-K3</f>
        <v>-3.9093816354731956</v>
      </c>
      <c r="G3" s="8">
        <f t="shared" ref="G3:G66" si="2">ABS(F3)</f>
        <v>3.9093816354731956</v>
      </c>
      <c r="H3" s="8">
        <f t="shared" ref="H3:H66" si="3">G3^2</f>
        <v>15.283264771775078</v>
      </c>
      <c r="I3" s="5">
        <f t="shared" ref="I3:I66" si="4">G3/D3</f>
        <v>0.12216817610853736</v>
      </c>
      <c r="J3" s="8">
        <f t="shared" ref="J3:J66" si="5">VLOOKUP(A3,$V$7:$Y$19,4,FALSE)</f>
        <v>0.93206922757903476</v>
      </c>
      <c r="K3" s="8">
        <f t="shared" ref="K3:K66" si="6">E3*J3</f>
        <v>35.909381635473196</v>
      </c>
      <c r="N3" s="19" t="s">
        <v>39</v>
      </c>
      <c r="O3" s="23">
        <f>SLOPE(D2:D366,B2:B366)</f>
        <v>1.9084553443412627E-2</v>
      </c>
    </row>
    <row r="4" spans="1:25" ht="15.75" customHeight="1">
      <c r="A4" s="4" t="str">
        <f t="shared" si="0"/>
        <v>Jan</v>
      </c>
      <c r="B4" s="4">
        <v>3</v>
      </c>
      <c r="C4" s="3">
        <v>21553</v>
      </c>
      <c r="D4" s="4">
        <v>30</v>
      </c>
      <c r="E4" s="15">
        <f t="shared" ref="E4:E67" si="7">$O$2+($O$3*B4)</f>
        <v>38.545602297993952</v>
      </c>
      <c r="F4" s="8">
        <f t="shared" si="1"/>
        <v>-5.9271697604598899</v>
      </c>
      <c r="G4" s="8">
        <f t="shared" si="2"/>
        <v>5.9271697604598899</v>
      </c>
      <c r="H4" s="8">
        <f t="shared" si="3"/>
        <v>35.13134136931015</v>
      </c>
      <c r="I4" s="5">
        <f t="shared" si="4"/>
        <v>0.19757232534866301</v>
      </c>
      <c r="J4" s="8">
        <f t="shared" si="5"/>
        <v>0.93206922757903476</v>
      </c>
      <c r="K4" s="8">
        <f t="shared" si="6"/>
        <v>35.92716976045989</v>
      </c>
    </row>
    <row r="5" spans="1:25" ht="15.75" customHeight="1">
      <c r="A5" s="4" t="str">
        <f t="shared" si="0"/>
        <v>Jan</v>
      </c>
      <c r="B5" s="4">
        <v>4</v>
      </c>
      <c r="C5" s="3">
        <v>21554</v>
      </c>
      <c r="D5" s="4">
        <v>31</v>
      </c>
      <c r="E5" s="15">
        <f t="shared" si="7"/>
        <v>38.564686851437365</v>
      </c>
      <c r="F5" s="8">
        <f t="shared" si="1"/>
        <v>-4.9449578854465841</v>
      </c>
      <c r="G5" s="8">
        <f t="shared" si="2"/>
        <v>4.9449578854465841</v>
      </c>
      <c r="H5" s="8">
        <f t="shared" si="3"/>
        <v>24.452608488840351</v>
      </c>
      <c r="I5" s="5">
        <f t="shared" si="4"/>
        <v>0.15951477049827692</v>
      </c>
      <c r="J5" s="8">
        <f t="shared" si="5"/>
        <v>0.93206922757903476</v>
      </c>
      <c r="K5" s="8">
        <f t="shared" si="6"/>
        <v>35.944957885446584</v>
      </c>
    </row>
    <row r="6" spans="1:25" ht="15.75" customHeight="1">
      <c r="A6" s="4" t="str">
        <f t="shared" si="0"/>
        <v>Jan</v>
      </c>
      <c r="B6" s="4">
        <v>5</v>
      </c>
      <c r="C6" s="3">
        <v>21555</v>
      </c>
      <c r="D6" s="4">
        <v>44</v>
      </c>
      <c r="E6" s="15">
        <f t="shared" si="7"/>
        <v>38.583771404880778</v>
      </c>
      <c r="F6" s="8">
        <f t="shared" si="1"/>
        <v>8.0372539895667217</v>
      </c>
      <c r="G6" s="8">
        <f t="shared" si="2"/>
        <v>8.0372539895667217</v>
      </c>
      <c r="H6" s="8">
        <f t="shared" si="3"/>
        <v>64.597451692806189</v>
      </c>
      <c r="I6" s="5">
        <f t="shared" si="4"/>
        <v>0.18266486339924368</v>
      </c>
      <c r="J6" s="8">
        <f t="shared" si="5"/>
        <v>0.93206922757903476</v>
      </c>
      <c r="K6" s="8">
        <f t="shared" si="6"/>
        <v>35.962746010433278</v>
      </c>
      <c r="W6" s="20" t="s">
        <v>22</v>
      </c>
    </row>
    <row r="7" spans="1:25" ht="15.75" customHeight="1">
      <c r="A7" s="4" t="str">
        <f t="shared" si="0"/>
        <v>Jan</v>
      </c>
      <c r="B7" s="4">
        <v>6</v>
      </c>
      <c r="C7" s="3">
        <v>21556</v>
      </c>
      <c r="D7" s="4">
        <v>29</v>
      </c>
      <c r="E7" s="15">
        <f t="shared" si="7"/>
        <v>38.602855958324191</v>
      </c>
      <c r="F7" s="8">
        <f t="shared" si="1"/>
        <v>-6.9805341354199655</v>
      </c>
      <c r="G7" s="8">
        <f t="shared" si="2"/>
        <v>6.9805341354199655</v>
      </c>
      <c r="H7" s="8">
        <f t="shared" si="3"/>
        <v>48.727856815763367</v>
      </c>
      <c r="I7" s="5">
        <f t="shared" si="4"/>
        <v>0.24070807363517122</v>
      </c>
      <c r="J7" s="8">
        <f t="shared" si="5"/>
        <v>0.93206922757903476</v>
      </c>
      <c r="K7" s="8">
        <f t="shared" si="6"/>
        <v>35.980534135419965</v>
      </c>
      <c r="V7" s="6" t="s">
        <v>17</v>
      </c>
      <c r="W7" s="6" t="s">
        <v>23</v>
      </c>
      <c r="X7" s="6" t="s">
        <v>24</v>
      </c>
      <c r="Y7" s="6" t="s">
        <v>25</v>
      </c>
    </row>
    <row r="8" spans="1:25" ht="15.75" customHeight="1">
      <c r="A8" s="4" t="str">
        <f t="shared" si="0"/>
        <v>Jan</v>
      </c>
      <c r="B8" s="4">
        <v>7</v>
      </c>
      <c r="C8" s="3">
        <v>21557</v>
      </c>
      <c r="D8" s="4">
        <v>45</v>
      </c>
      <c r="E8" s="15">
        <f t="shared" si="7"/>
        <v>38.621940511767598</v>
      </c>
      <c r="F8" s="8">
        <f t="shared" si="1"/>
        <v>9.0016777395933474</v>
      </c>
      <c r="G8" s="8">
        <f t="shared" si="2"/>
        <v>9.0016777395933474</v>
      </c>
      <c r="H8" s="8">
        <f t="shared" si="3"/>
        <v>81.030202127490398</v>
      </c>
      <c r="I8" s="5">
        <f t="shared" si="4"/>
        <v>0.20003728310207439</v>
      </c>
      <c r="J8" s="8">
        <f t="shared" si="5"/>
        <v>0.93206922757903476</v>
      </c>
      <c r="K8" s="8">
        <f t="shared" si="6"/>
        <v>35.998322260406653</v>
      </c>
      <c r="N8" s="6" t="s">
        <v>7</v>
      </c>
      <c r="O8" s="7">
        <f>AVERAGE(G2:G366)</f>
        <v>5.6272218112411752</v>
      </c>
      <c r="V8" s="21" t="s">
        <v>26</v>
      </c>
      <c r="W8" s="15">
        <f t="shared" ref="W8:W19" si="8">AVERAGEIF($A$2:$A$366,V8,$D$2:$D$366)</f>
        <v>39.12903225806452</v>
      </c>
      <c r="X8" s="15">
        <f t="shared" ref="X8:X19" si="9">AVERAGE($D$2:$D$366)</f>
        <v>41.980821917808221</v>
      </c>
      <c r="Y8" s="8">
        <f t="shared" ref="Y8:Y19" si="10">W8/X8</f>
        <v>0.93206922757903476</v>
      </c>
    </row>
    <row r="9" spans="1:25" ht="15.75" customHeight="1">
      <c r="A9" s="4" t="str">
        <f t="shared" si="0"/>
        <v>Jan</v>
      </c>
      <c r="B9" s="4">
        <v>8</v>
      </c>
      <c r="C9" s="3">
        <v>21558</v>
      </c>
      <c r="D9" s="4">
        <v>43</v>
      </c>
      <c r="E9" s="15">
        <f t="shared" si="7"/>
        <v>38.641025065211011</v>
      </c>
      <c r="F9" s="8">
        <f t="shared" si="1"/>
        <v>6.9838896146066531</v>
      </c>
      <c r="G9" s="8">
        <f t="shared" si="2"/>
        <v>6.9838896146066531</v>
      </c>
      <c r="H9" s="8">
        <f t="shared" si="3"/>
        <v>48.774714149010663</v>
      </c>
      <c r="I9" s="5">
        <f t="shared" si="4"/>
        <v>0.16241603754899192</v>
      </c>
      <c r="J9" s="8">
        <f t="shared" si="5"/>
        <v>0.93206922757903476</v>
      </c>
      <c r="K9" s="8">
        <f t="shared" si="6"/>
        <v>36.016110385393347</v>
      </c>
      <c r="N9" s="2" t="s">
        <v>8</v>
      </c>
      <c r="O9" s="8">
        <f>AVERAGE(H2:H366)</f>
        <v>50.409445478174696</v>
      </c>
      <c r="V9" s="21" t="s">
        <v>27</v>
      </c>
      <c r="W9" s="15">
        <f t="shared" si="8"/>
        <v>41</v>
      </c>
      <c r="X9" s="15">
        <f t="shared" si="9"/>
        <v>41.980821917808221</v>
      </c>
      <c r="Y9" s="8">
        <f t="shared" si="10"/>
        <v>0.97663642889773539</v>
      </c>
    </row>
    <row r="10" spans="1:25" ht="15.75" customHeight="1">
      <c r="A10" s="4" t="str">
        <f t="shared" si="0"/>
        <v>Jan</v>
      </c>
      <c r="B10" s="4">
        <v>9</v>
      </c>
      <c r="C10" s="3">
        <v>21559</v>
      </c>
      <c r="D10" s="4">
        <v>38</v>
      </c>
      <c r="E10" s="15">
        <f t="shared" si="7"/>
        <v>38.660109618654424</v>
      </c>
      <c r="F10" s="8">
        <f t="shared" si="1"/>
        <v>1.9661014896199589</v>
      </c>
      <c r="G10" s="8">
        <f t="shared" si="2"/>
        <v>1.9661014896199589</v>
      </c>
      <c r="H10" s="8">
        <f t="shared" si="3"/>
        <v>3.8655550674858214</v>
      </c>
      <c r="I10" s="5">
        <f t="shared" si="4"/>
        <v>5.1739512884735758E-2</v>
      </c>
      <c r="J10" s="8">
        <f t="shared" si="5"/>
        <v>0.93206922757903476</v>
      </c>
      <c r="K10" s="8">
        <f t="shared" si="6"/>
        <v>36.033898510380041</v>
      </c>
      <c r="N10" s="2" t="s">
        <v>9</v>
      </c>
      <c r="O10" s="5">
        <f>AVERAGE(I2:I366)</f>
        <v>0.13778263128762683</v>
      </c>
      <c r="V10" s="21" t="s">
        <v>28</v>
      </c>
      <c r="W10" s="15">
        <f t="shared" si="8"/>
        <v>39.29032258064516</v>
      </c>
      <c r="X10" s="15">
        <f t="shared" si="9"/>
        <v>41.980821917808221</v>
      </c>
      <c r="Y10" s="8">
        <f t="shared" si="10"/>
        <v>0.93591122769271573</v>
      </c>
    </row>
    <row r="11" spans="1:25" ht="15.75" customHeight="1">
      <c r="A11" s="4" t="str">
        <f t="shared" si="0"/>
        <v>Jan</v>
      </c>
      <c r="B11" s="4">
        <v>10</v>
      </c>
      <c r="C11" s="3">
        <v>21560</v>
      </c>
      <c r="D11" s="4">
        <v>27</v>
      </c>
      <c r="E11" s="15">
        <f t="shared" si="7"/>
        <v>38.679194172097837</v>
      </c>
      <c r="F11" s="8">
        <f t="shared" si="1"/>
        <v>-9.0516866353667353</v>
      </c>
      <c r="G11" s="8">
        <f t="shared" si="2"/>
        <v>9.0516866353667353</v>
      </c>
      <c r="H11" s="8">
        <f t="shared" si="3"/>
        <v>81.933030944876776</v>
      </c>
      <c r="I11" s="5">
        <f t="shared" si="4"/>
        <v>0.33524765316173094</v>
      </c>
      <c r="J11" s="8">
        <f t="shared" si="5"/>
        <v>0.93206922757903476</v>
      </c>
      <c r="K11" s="8">
        <f t="shared" si="6"/>
        <v>36.051686635366735</v>
      </c>
      <c r="N11" s="16" t="s">
        <v>10</v>
      </c>
      <c r="O11" s="17">
        <f>100%-O10</f>
        <v>0.8622173687123732</v>
      </c>
      <c r="V11" s="21" t="s">
        <v>29</v>
      </c>
      <c r="W11" s="15">
        <f t="shared" si="8"/>
        <v>39.833333333333336</v>
      </c>
      <c r="X11" s="15">
        <f t="shared" si="9"/>
        <v>41.980821917808221</v>
      </c>
      <c r="Y11" s="8">
        <f t="shared" si="10"/>
        <v>0.94884596140877553</v>
      </c>
    </row>
    <row r="12" spans="1:25" ht="15.75" customHeight="1">
      <c r="A12" s="4" t="str">
        <f t="shared" si="0"/>
        <v>Jan</v>
      </c>
      <c r="B12" s="4">
        <v>11</v>
      </c>
      <c r="C12" s="3">
        <v>21561</v>
      </c>
      <c r="D12" s="4">
        <v>38</v>
      </c>
      <c r="E12" s="15">
        <f t="shared" si="7"/>
        <v>38.69827872554125</v>
      </c>
      <c r="F12" s="8">
        <f t="shared" si="1"/>
        <v>1.9305252396465704</v>
      </c>
      <c r="G12" s="8">
        <f t="shared" si="2"/>
        <v>1.9305252396465704</v>
      </c>
      <c r="H12" s="8">
        <f t="shared" si="3"/>
        <v>3.726927700912448</v>
      </c>
      <c r="I12" s="5">
        <f t="shared" si="4"/>
        <v>5.0803295780172904E-2</v>
      </c>
      <c r="J12" s="8">
        <f t="shared" si="5"/>
        <v>0.93206922757903476</v>
      </c>
      <c r="K12" s="8">
        <f t="shared" si="6"/>
        <v>36.06947476035343</v>
      </c>
      <c r="V12" s="21" t="s">
        <v>30</v>
      </c>
      <c r="W12" s="15">
        <f t="shared" si="8"/>
        <v>38.967741935483872</v>
      </c>
      <c r="X12" s="15">
        <f t="shared" si="9"/>
        <v>41.980821917808221</v>
      </c>
      <c r="Y12" s="8">
        <f t="shared" si="10"/>
        <v>0.92822722746535358</v>
      </c>
    </row>
    <row r="13" spans="1:25" ht="15.75" customHeight="1">
      <c r="A13" s="4" t="str">
        <f t="shared" si="0"/>
        <v>Jan</v>
      </c>
      <c r="B13" s="4">
        <v>12</v>
      </c>
      <c r="C13" s="3">
        <v>21562</v>
      </c>
      <c r="D13" s="4">
        <v>33</v>
      </c>
      <c r="E13" s="15">
        <f t="shared" si="7"/>
        <v>38.717363278984664</v>
      </c>
      <c r="F13" s="8">
        <f t="shared" si="1"/>
        <v>-3.0872628853401167</v>
      </c>
      <c r="G13" s="8">
        <f t="shared" si="2"/>
        <v>3.0872628853401167</v>
      </c>
      <c r="H13" s="8">
        <f t="shared" si="3"/>
        <v>9.5311921231985828</v>
      </c>
      <c r="I13" s="5">
        <f t="shared" si="4"/>
        <v>9.3553420767882325E-2</v>
      </c>
      <c r="J13" s="8">
        <f t="shared" si="5"/>
        <v>0.93206922757903476</v>
      </c>
      <c r="K13" s="8">
        <f t="shared" si="6"/>
        <v>36.087262885340117</v>
      </c>
      <c r="V13" s="21" t="s">
        <v>31</v>
      </c>
      <c r="W13" s="15">
        <f t="shared" si="8"/>
        <v>40.4</v>
      </c>
      <c r="X13" s="15">
        <f t="shared" si="9"/>
        <v>41.980821917808221</v>
      </c>
      <c r="Y13" s="8">
        <f t="shared" si="10"/>
        <v>0.96234418847484171</v>
      </c>
    </row>
    <row r="14" spans="1:25" ht="15.75" customHeight="1">
      <c r="A14" s="4" t="str">
        <f t="shared" si="0"/>
        <v>Jan</v>
      </c>
      <c r="B14" s="4">
        <v>13</v>
      </c>
      <c r="C14" s="3">
        <v>21563</v>
      </c>
      <c r="D14" s="4">
        <v>55</v>
      </c>
      <c r="E14" s="15">
        <f t="shared" si="7"/>
        <v>38.736447832428077</v>
      </c>
      <c r="F14" s="8">
        <f t="shared" si="1"/>
        <v>18.894948989673189</v>
      </c>
      <c r="G14" s="8">
        <f t="shared" si="2"/>
        <v>18.894948989673189</v>
      </c>
      <c r="H14" s="8">
        <f t="shared" si="3"/>
        <v>357.01909732235185</v>
      </c>
      <c r="I14" s="5">
        <f t="shared" si="4"/>
        <v>0.34354452708496708</v>
      </c>
      <c r="J14" s="8">
        <f t="shared" si="5"/>
        <v>0.93206922757903476</v>
      </c>
      <c r="K14" s="8">
        <f t="shared" si="6"/>
        <v>36.105051010326811</v>
      </c>
      <c r="V14" s="21" t="s">
        <v>32</v>
      </c>
      <c r="W14" s="15">
        <f t="shared" si="8"/>
        <v>41.935483870967744</v>
      </c>
      <c r="X14" s="15">
        <f t="shared" si="9"/>
        <v>41.980821917808221</v>
      </c>
      <c r="Y14" s="8">
        <f t="shared" si="10"/>
        <v>0.99892002955708581</v>
      </c>
    </row>
    <row r="15" spans="1:25" ht="15.75" customHeight="1">
      <c r="A15" s="4" t="str">
        <f t="shared" si="0"/>
        <v>Jan</v>
      </c>
      <c r="B15" s="4">
        <v>14</v>
      </c>
      <c r="C15" s="3">
        <v>21564</v>
      </c>
      <c r="D15" s="4">
        <v>47</v>
      </c>
      <c r="E15" s="15">
        <f t="shared" si="7"/>
        <v>38.75553238587149</v>
      </c>
      <c r="F15" s="8">
        <f t="shared" si="1"/>
        <v>10.877160864686495</v>
      </c>
      <c r="G15" s="8">
        <f t="shared" si="2"/>
        <v>10.877160864686495</v>
      </c>
      <c r="H15" s="8">
        <f t="shared" si="3"/>
        <v>118.31262847626745</v>
      </c>
      <c r="I15" s="5">
        <f t="shared" si="4"/>
        <v>0.23142895456779777</v>
      </c>
      <c r="J15" s="8">
        <f t="shared" si="5"/>
        <v>0.93206922757903476</v>
      </c>
      <c r="K15" s="8">
        <f t="shared" si="6"/>
        <v>36.122839135313505</v>
      </c>
      <c r="V15" s="21" t="s">
        <v>33</v>
      </c>
      <c r="W15" s="15">
        <f t="shared" si="8"/>
        <v>43.58064516129032</v>
      </c>
      <c r="X15" s="15">
        <f t="shared" si="9"/>
        <v>41.980821917808221</v>
      </c>
      <c r="Y15" s="8">
        <f t="shared" si="10"/>
        <v>1.0381084307166328</v>
      </c>
    </row>
    <row r="16" spans="1:25" ht="15.75" customHeight="1">
      <c r="A16" s="4" t="str">
        <f t="shared" si="0"/>
        <v>Jan</v>
      </c>
      <c r="B16" s="4">
        <v>15</v>
      </c>
      <c r="C16" s="3">
        <v>21565</v>
      </c>
      <c r="D16" s="4">
        <v>45</v>
      </c>
      <c r="E16" s="15">
        <f t="shared" si="7"/>
        <v>38.774616939314903</v>
      </c>
      <c r="F16" s="8">
        <f t="shared" si="1"/>
        <v>8.8593727396998005</v>
      </c>
      <c r="G16" s="8">
        <f t="shared" si="2"/>
        <v>8.8593727396998005</v>
      </c>
      <c r="H16" s="8">
        <f t="shared" si="3"/>
        <v>78.488485340935952</v>
      </c>
      <c r="I16" s="5">
        <f t="shared" si="4"/>
        <v>0.19687494977110667</v>
      </c>
      <c r="J16" s="8">
        <f t="shared" si="5"/>
        <v>0.93206922757903476</v>
      </c>
      <c r="K16" s="8">
        <f t="shared" si="6"/>
        <v>36.140627260300199</v>
      </c>
      <c r="V16" s="21" t="s">
        <v>34</v>
      </c>
      <c r="W16" s="15">
        <f t="shared" si="8"/>
        <v>48.2</v>
      </c>
      <c r="X16" s="15">
        <f t="shared" si="9"/>
        <v>41.980821917808221</v>
      </c>
      <c r="Y16" s="8">
        <f t="shared" si="10"/>
        <v>1.1481433139724597</v>
      </c>
    </row>
    <row r="17" spans="1:25" ht="15.75" customHeight="1">
      <c r="A17" s="4" t="str">
        <f t="shared" si="0"/>
        <v>Jan</v>
      </c>
      <c r="B17" s="4">
        <v>16</v>
      </c>
      <c r="C17" s="3">
        <v>21566</v>
      </c>
      <c r="D17" s="4">
        <v>37</v>
      </c>
      <c r="E17" s="15">
        <f t="shared" si="7"/>
        <v>38.793701492758316</v>
      </c>
      <c r="F17" s="8">
        <f t="shared" si="1"/>
        <v>0.8415846147131063</v>
      </c>
      <c r="G17" s="8">
        <f t="shared" si="2"/>
        <v>0.8415846147131063</v>
      </c>
      <c r="H17" s="8">
        <f t="shared" si="3"/>
        <v>0.70826466372180763</v>
      </c>
      <c r="I17" s="5">
        <f t="shared" si="4"/>
        <v>2.2745530127381251E-2</v>
      </c>
      <c r="J17" s="8">
        <f t="shared" si="5"/>
        <v>0.93206922757903476</v>
      </c>
      <c r="K17" s="8">
        <f t="shared" si="6"/>
        <v>36.158415385286894</v>
      </c>
      <c r="V17" s="21" t="s">
        <v>35</v>
      </c>
      <c r="W17" s="15">
        <f t="shared" si="8"/>
        <v>44.12903225806452</v>
      </c>
      <c r="X17" s="15">
        <f t="shared" si="9"/>
        <v>41.980821917808221</v>
      </c>
      <c r="Y17" s="8">
        <f t="shared" si="10"/>
        <v>1.0511712311031487</v>
      </c>
    </row>
    <row r="18" spans="1:25" ht="15.75" customHeight="1">
      <c r="A18" s="4" t="str">
        <f t="shared" si="0"/>
        <v>Jan</v>
      </c>
      <c r="B18" s="4">
        <v>17</v>
      </c>
      <c r="C18" s="3">
        <v>21567</v>
      </c>
      <c r="D18" s="4">
        <v>50</v>
      </c>
      <c r="E18" s="15">
        <f t="shared" si="7"/>
        <v>38.81278604620173</v>
      </c>
      <c r="F18" s="8">
        <f t="shared" si="1"/>
        <v>13.823796489726412</v>
      </c>
      <c r="G18" s="8">
        <f t="shared" si="2"/>
        <v>13.823796489726412</v>
      </c>
      <c r="H18" s="8">
        <f t="shared" si="3"/>
        <v>191.09734938937228</v>
      </c>
      <c r="I18" s="5">
        <f t="shared" si="4"/>
        <v>0.27647592979452823</v>
      </c>
      <c r="J18" s="8">
        <f t="shared" si="5"/>
        <v>0.93206922757903476</v>
      </c>
      <c r="K18" s="8">
        <f t="shared" si="6"/>
        <v>36.176203510273588</v>
      </c>
      <c r="V18" s="21" t="s">
        <v>36</v>
      </c>
      <c r="W18" s="15">
        <f t="shared" si="8"/>
        <v>45</v>
      </c>
      <c r="X18" s="15">
        <f t="shared" si="9"/>
        <v>41.980821917808221</v>
      </c>
      <c r="Y18" s="8">
        <f t="shared" si="10"/>
        <v>1.0719180317170267</v>
      </c>
    </row>
    <row r="19" spans="1:25" ht="15.75" customHeight="1">
      <c r="A19" s="4" t="str">
        <f t="shared" si="0"/>
        <v>Jan</v>
      </c>
      <c r="B19" s="4">
        <v>18</v>
      </c>
      <c r="C19" s="3">
        <v>21568</v>
      </c>
      <c r="D19" s="4">
        <v>43</v>
      </c>
      <c r="E19" s="15">
        <f t="shared" si="7"/>
        <v>38.831870599645143</v>
      </c>
      <c r="F19" s="8">
        <f t="shared" si="1"/>
        <v>6.8060083647397249</v>
      </c>
      <c r="G19" s="8">
        <f t="shared" si="2"/>
        <v>6.8060083647397249</v>
      </c>
      <c r="H19" s="8">
        <f t="shared" si="3"/>
        <v>46.321749860907104</v>
      </c>
      <c r="I19" s="5">
        <f t="shared" si="4"/>
        <v>0.15827926429627268</v>
      </c>
      <c r="J19" s="8">
        <f t="shared" si="5"/>
        <v>0.93206922757903476</v>
      </c>
      <c r="K19" s="8">
        <f t="shared" si="6"/>
        <v>36.193991635260275</v>
      </c>
      <c r="V19" s="19" t="s">
        <v>37</v>
      </c>
      <c r="W19" s="22">
        <f t="shared" si="8"/>
        <v>42.387096774193552</v>
      </c>
      <c r="X19" s="22">
        <f t="shared" si="9"/>
        <v>41.980821917808221</v>
      </c>
      <c r="Y19" s="23">
        <f t="shared" si="10"/>
        <v>1.0096776298753929</v>
      </c>
    </row>
    <row r="20" spans="1:25" ht="15.75" customHeight="1">
      <c r="A20" s="4" t="str">
        <f t="shared" si="0"/>
        <v>Jan</v>
      </c>
      <c r="B20" s="4">
        <v>19</v>
      </c>
      <c r="C20" s="3">
        <v>21569</v>
      </c>
      <c r="D20" s="4">
        <v>41</v>
      </c>
      <c r="E20" s="15">
        <f t="shared" si="7"/>
        <v>38.850955153088549</v>
      </c>
      <c r="F20" s="8">
        <f t="shared" si="1"/>
        <v>4.7882202397530378</v>
      </c>
      <c r="G20" s="8">
        <f t="shared" si="2"/>
        <v>4.7882202397530378</v>
      </c>
      <c r="H20" s="8">
        <f t="shared" si="3"/>
        <v>22.92705306438064</v>
      </c>
      <c r="I20" s="5">
        <f t="shared" si="4"/>
        <v>0.11678585950617165</v>
      </c>
      <c r="J20" s="8">
        <f t="shared" si="5"/>
        <v>0.93206922757903476</v>
      </c>
      <c r="K20" s="8">
        <f t="shared" si="6"/>
        <v>36.211779760246962</v>
      </c>
    </row>
    <row r="21" spans="1:25" ht="15.75" customHeight="1">
      <c r="A21" s="4" t="str">
        <f t="shared" si="0"/>
        <v>Jan</v>
      </c>
      <c r="B21" s="4">
        <v>20</v>
      </c>
      <c r="C21" s="3">
        <v>21570</v>
      </c>
      <c r="D21" s="4">
        <v>52</v>
      </c>
      <c r="E21" s="15">
        <f t="shared" si="7"/>
        <v>38.870039706531962</v>
      </c>
      <c r="F21" s="8">
        <f t="shared" si="1"/>
        <v>15.770432114766344</v>
      </c>
      <c r="G21" s="8">
        <f t="shared" si="2"/>
        <v>15.770432114766344</v>
      </c>
      <c r="H21" s="8">
        <f t="shared" si="3"/>
        <v>248.70652908645366</v>
      </c>
      <c r="I21" s="5">
        <f t="shared" si="4"/>
        <v>0.30327754066858353</v>
      </c>
      <c r="J21" s="8">
        <f t="shared" si="5"/>
        <v>0.93206922757903476</v>
      </c>
      <c r="K21" s="8">
        <f t="shared" si="6"/>
        <v>36.229567885233656</v>
      </c>
    </row>
    <row r="22" spans="1:25" ht="15.75" customHeight="1">
      <c r="A22" s="4" t="str">
        <f t="shared" si="0"/>
        <v>Jan</v>
      </c>
      <c r="B22" s="4">
        <v>21</v>
      </c>
      <c r="C22" s="3">
        <v>21571</v>
      </c>
      <c r="D22" s="4">
        <v>34</v>
      </c>
      <c r="E22" s="15">
        <f t="shared" si="7"/>
        <v>38.889124259975375</v>
      </c>
      <c r="F22" s="8">
        <f t="shared" si="1"/>
        <v>-2.2473560102203507</v>
      </c>
      <c r="G22" s="8">
        <f t="shared" si="2"/>
        <v>2.2473560102203507</v>
      </c>
      <c r="H22" s="8">
        <f t="shared" si="3"/>
        <v>5.0506090366735332</v>
      </c>
      <c r="I22" s="5">
        <f t="shared" si="4"/>
        <v>6.6098706182951494E-2</v>
      </c>
      <c r="J22" s="8">
        <f t="shared" si="5"/>
        <v>0.93206922757903476</v>
      </c>
      <c r="K22" s="8">
        <f t="shared" si="6"/>
        <v>36.247356010220351</v>
      </c>
    </row>
    <row r="23" spans="1:25" ht="15.75" customHeight="1">
      <c r="A23" s="4" t="str">
        <f t="shared" si="0"/>
        <v>Jan</v>
      </c>
      <c r="B23" s="4">
        <v>22</v>
      </c>
      <c r="C23" s="3">
        <v>21572</v>
      </c>
      <c r="D23" s="4">
        <v>53</v>
      </c>
      <c r="E23" s="15">
        <f t="shared" si="7"/>
        <v>38.908208813418788</v>
      </c>
      <c r="F23" s="8">
        <f t="shared" si="1"/>
        <v>16.734855864792955</v>
      </c>
      <c r="G23" s="8">
        <f t="shared" si="2"/>
        <v>16.734855864792955</v>
      </c>
      <c r="H23" s="8">
        <f t="shared" si="3"/>
        <v>280.05540081539516</v>
      </c>
      <c r="I23" s="5">
        <f t="shared" si="4"/>
        <v>0.31575199744892368</v>
      </c>
      <c r="J23" s="8">
        <f t="shared" si="5"/>
        <v>0.93206922757903476</v>
      </c>
      <c r="K23" s="8">
        <f t="shared" si="6"/>
        <v>36.265144135207045</v>
      </c>
    </row>
    <row r="24" spans="1:25" ht="15.75" customHeight="1">
      <c r="A24" s="4" t="str">
        <f t="shared" si="0"/>
        <v>Jan</v>
      </c>
      <c r="B24" s="4">
        <v>23</v>
      </c>
      <c r="C24" s="3">
        <v>21573</v>
      </c>
      <c r="D24" s="4">
        <v>39</v>
      </c>
      <c r="E24" s="15">
        <f t="shared" si="7"/>
        <v>38.927293366862202</v>
      </c>
      <c r="F24" s="8">
        <f t="shared" si="1"/>
        <v>2.7170677398062608</v>
      </c>
      <c r="G24" s="8">
        <f t="shared" si="2"/>
        <v>2.7170677398062608</v>
      </c>
      <c r="H24" s="8">
        <f t="shared" si="3"/>
        <v>7.3824571026959029</v>
      </c>
      <c r="I24" s="5">
        <f t="shared" si="4"/>
        <v>6.9668403584775912E-2</v>
      </c>
      <c r="J24" s="8">
        <f t="shared" si="5"/>
        <v>0.93206922757903476</v>
      </c>
      <c r="K24" s="8">
        <f t="shared" si="6"/>
        <v>36.282932260193739</v>
      </c>
    </row>
    <row r="25" spans="1:25" ht="15.75" customHeight="1">
      <c r="A25" s="4" t="str">
        <f t="shared" si="0"/>
        <v>Jan</v>
      </c>
      <c r="B25" s="4">
        <v>24</v>
      </c>
      <c r="C25" s="3">
        <v>21574</v>
      </c>
      <c r="D25" s="4">
        <v>32</v>
      </c>
      <c r="E25" s="15">
        <f t="shared" si="7"/>
        <v>38.946377920305615</v>
      </c>
      <c r="F25" s="8">
        <f t="shared" si="1"/>
        <v>-4.3007203851804263</v>
      </c>
      <c r="G25" s="8">
        <f t="shared" si="2"/>
        <v>4.3007203851804263</v>
      </c>
      <c r="H25" s="8">
        <f t="shared" si="3"/>
        <v>18.496195831506476</v>
      </c>
      <c r="I25" s="5">
        <f t="shared" si="4"/>
        <v>0.13439751203688832</v>
      </c>
      <c r="J25" s="8">
        <f t="shared" si="5"/>
        <v>0.93206922757903476</v>
      </c>
      <c r="K25" s="8">
        <f t="shared" si="6"/>
        <v>36.300720385180426</v>
      </c>
    </row>
    <row r="26" spans="1:25" ht="15.75" customHeight="1">
      <c r="A26" s="4" t="str">
        <f t="shared" si="0"/>
        <v>Jan</v>
      </c>
      <c r="B26" s="4">
        <v>25</v>
      </c>
      <c r="C26" s="3">
        <v>21575</v>
      </c>
      <c r="D26" s="4">
        <v>37</v>
      </c>
      <c r="E26" s="15">
        <f t="shared" si="7"/>
        <v>38.965462473749028</v>
      </c>
      <c r="F26" s="8">
        <f t="shared" si="1"/>
        <v>0.68149148983287944</v>
      </c>
      <c r="G26" s="8">
        <f t="shared" si="2"/>
        <v>0.68149148983287944</v>
      </c>
      <c r="H26" s="8">
        <f t="shared" si="3"/>
        <v>0.46443065071463763</v>
      </c>
      <c r="I26" s="5">
        <f t="shared" si="4"/>
        <v>1.8418688914402147E-2</v>
      </c>
      <c r="J26" s="8">
        <f t="shared" si="5"/>
        <v>0.93206922757903476</v>
      </c>
      <c r="K26" s="8">
        <f t="shared" si="6"/>
        <v>36.318508510167121</v>
      </c>
    </row>
    <row r="27" spans="1:25" ht="15.75" customHeight="1">
      <c r="A27" s="4" t="str">
        <f t="shared" si="0"/>
        <v>Jan</v>
      </c>
      <c r="B27" s="4">
        <v>26</v>
      </c>
      <c r="C27" s="3">
        <v>21576</v>
      </c>
      <c r="D27" s="4">
        <v>43</v>
      </c>
      <c r="E27" s="15">
        <f t="shared" si="7"/>
        <v>38.984547027192441</v>
      </c>
      <c r="F27" s="8">
        <f t="shared" si="1"/>
        <v>6.6637033648461852</v>
      </c>
      <c r="G27" s="8">
        <f t="shared" si="2"/>
        <v>6.6637033648461852</v>
      </c>
      <c r="H27" s="8">
        <f t="shared" si="3"/>
        <v>44.404942534662368</v>
      </c>
      <c r="I27" s="5">
        <f t="shared" si="4"/>
        <v>0.15496984569409733</v>
      </c>
      <c r="J27" s="8">
        <f t="shared" si="5"/>
        <v>0.93206922757903476</v>
      </c>
      <c r="K27" s="8">
        <f t="shared" si="6"/>
        <v>36.336296635153815</v>
      </c>
    </row>
    <row r="28" spans="1:25" ht="15.75" customHeight="1">
      <c r="A28" s="4" t="str">
        <f t="shared" si="0"/>
        <v>Jan</v>
      </c>
      <c r="B28" s="4">
        <v>27</v>
      </c>
      <c r="C28" s="3">
        <v>21577</v>
      </c>
      <c r="D28" s="4">
        <v>39</v>
      </c>
      <c r="E28" s="15">
        <f t="shared" si="7"/>
        <v>39.003631580635854</v>
      </c>
      <c r="F28" s="8">
        <f t="shared" si="1"/>
        <v>2.645915239859491</v>
      </c>
      <c r="G28" s="8">
        <f t="shared" si="2"/>
        <v>2.645915239859491</v>
      </c>
      <c r="H28" s="8">
        <f t="shared" si="3"/>
        <v>7.0008674565207079</v>
      </c>
      <c r="I28" s="5">
        <f t="shared" si="4"/>
        <v>6.7843980509217722E-2</v>
      </c>
      <c r="J28" s="8">
        <f t="shared" si="5"/>
        <v>0.93206922757903476</v>
      </c>
      <c r="K28" s="8">
        <f t="shared" si="6"/>
        <v>36.354084760140509</v>
      </c>
    </row>
    <row r="29" spans="1:25" ht="15.75" customHeight="1">
      <c r="A29" s="4" t="str">
        <f t="shared" si="0"/>
        <v>Jan</v>
      </c>
      <c r="B29" s="4">
        <v>28</v>
      </c>
      <c r="C29" s="3">
        <v>21578</v>
      </c>
      <c r="D29" s="4">
        <v>35</v>
      </c>
      <c r="E29" s="15">
        <f t="shared" si="7"/>
        <v>39.022716134079268</v>
      </c>
      <c r="F29" s="8">
        <f t="shared" si="1"/>
        <v>-1.3718728851272033</v>
      </c>
      <c r="G29" s="8">
        <f t="shared" si="2"/>
        <v>1.3718728851272033</v>
      </c>
      <c r="H29" s="8">
        <f t="shared" si="3"/>
        <v>1.8820352129472366</v>
      </c>
      <c r="I29" s="5">
        <f t="shared" si="4"/>
        <v>3.9196368146491523E-2</v>
      </c>
      <c r="J29" s="8">
        <f t="shared" si="5"/>
        <v>0.93206922757903476</v>
      </c>
      <c r="K29" s="8">
        <f t="shared" si="6"/>
        <v>36.371872885127203</v>
      </c>
    </row>
    <row r="30" spans="1:25" ht="15.75" customHeight="1">
      <c r="A30" s="4" t="str">
        <f t="shared" si="0"/>
        <v>Jan</v>
      </c>
      <c r="B30" s="4">
        <v>29</v>
      </c>
      <c r="C30" s="3">
        <v>21579</v>
      </c>
      <c r="D30" s="4">
        <v>44</v>
      </c>
      <c r="E30" s="15">
        <f t="shared" si="7"/>
        <v>39.041800687522681</v>
      </c>
      <c r="F30" s="8">
        <f t="shared" si="1"/>
        <v>7.6103389898861096</v>
      </c>
      <c r="G30" s="8">
        <f t="shared" si="2"/>
        <v>7.6103389898861096</v>
      </c>
      <c r="H30" s="8">
        <f t="shared" si="3"/>
        <v>57.91725954098073</v>
      </c>
      <c r="I30" s="5">
        <f t="shared" si="4"/>
        <v>0.17296224977013885</v>
      </c>
      <c r="J30" s="8">
        <f t="shared" si="5"/>
        <v>0.93206922757903476</v>
      </c>
      <c r="K30" s="8">
        <f t="shared" si="6"/>
        <v>36.38966101011389</v>
      </c>
    </row>
    <row r="31" spans="1:25" ht="15.75" customHeight="1">
      <c r="A31" s="4" t="str">
        <f t="shared" si="0"/>
        <v>Jan</v>
      </c>
      <c r="B31" s="4">
        <v>30</v>
      </c>
      <c r="C31" s="3">
        <v>21580</v>
      </c>
      <c r="D31" s="4">
        <v>38</v>
      </c>
      <c r="E31" s="15">
        <f t="shared" si="7"/>
        <v>39.060885240966094</v>
      </c>
      <c r="F31" s="8">
        <f t="shared" si="1"/>
        <v>1.5925508648994153</v>
      </c>
      <c r="G31" s="8">
        <f t="shared" si="2"/>
        <v>1.5925508648994153</v>
      </c>
      <c r="H31" s="8">
        <f t="shared" si="3"/>
        <v>2.5362182572918757</v>
      </c>
      <c r="I31" s="5">
        <f t="shared" si="4"/>
        <v>4.1909233286826719E-2</v>
      </c>
      <c r="J31" s="8">
        <f t="shared" si="5"/>
        <v>0.93206922757903476</v>
      </c>
      <c r="K31" s="8">
        <f t="shared" si="6"/>
        <v>36.407449135100585</v>
      </c>
    </row>
    <row r="32" spans="1:25" ht="15.75" customHeight="1">
      <c r="A32" s="4" t="str">
        <f t="shared" si="0"/>
        <v>Jan</v>
      </c>
      <c r="B32" s="4">
        <v>31</v>
      </c>
      <c r="C32" s="3">
        <v>21581</v>
      </c>
      <c r="D32" s="4">
        <v>24</v>
      </c>
      <c r="E32" s="15">
        <f t="shared" si="7"/>
        <v>39.079969794409507</v>
      </c>
      <c r="F32" s="8">
        <f t="shared" si="1"/>
        <v>-12.425237260087279</v>
      </c>
      <c r="G32" s="8">
        <f t="shared" si="2"/>
        <v>12.425237260087279</v>
      </c>
      <c r="H32" s="8">
        <f t="shared" si="3"/>
        <v>154.38652096946123</v>
      </c>
      <c r="I32" s="5">
        <f t="shared" si="4"/>
        <v>0.51771821917030325</v>
      </c>
      <c r="J32" s="8">
        <f t="shared" si="5"/>
        <v>0.93206922757903476</v>
      </c>
      <c r="K32" s="8">
        <f t="shared" si="6"/>
        <v>36.425237260087279</v>
      </c>
    </row>
    <row r="33" spans="1:11" ht="15.75" customHeight="1">
      <c r="A33" s="4" t="str">
        <f t="shared" si="0"/>
        <v>Feb</v>
      </c>
      <c r="B33" s="4">
        <v>32</v>
      </c>
      <c r="C33" s="3">
        <v>21582</v>
      </c>
      <c r="D33" s="4">
        <v>23</v>
      </c>
      <c r="E33" s="15">
        <f t="shared" si="7"/>
        <v>39.099054347852913</v>
      </c>
      <c r="F33" s="8">
        <f t="shared" si="1"/>
        <v>-15.185560811565544</v>
      </c>
      <c r="G33" s="8">
        <f t="shared" si="2"/>
        <v>15.185560811565544</v>
      </c>
      <c r="H33" s="8">
        <f t="shared" si="3"/>
        <v>230.6012571617552</v>
      </c>
      <c r="I33" s="5">
        <f t="shared" si="4"/>
        <v>0.66024177441589327</v>
      </c>
      <c r="J33" s="8">
        <f t="shared" si="5"/>
        <v>0.97663642889773539</v>
      </c>
      <c r="K33" s="8">
        <f t="shared" si="6"/>
        <v>38.185560811565544</v>
      </c>
    </row>
    <row r="34" spans="1:11" ht="15.75" customHeight="1">
      <c r="A34" s="4" t="str">
        <f t="shared" si="0"/>
        <v>Feb</v>
      </c>
      <c r="B34" s="4">
        <v>33</v>
      </c>
      <c r="C34" s="3">
        <v>21583</v>
      </c>
      <c r="D34" s="4">
        <v>31</v>
      </c>
      <c r="E34" s="15">
        <f t="shared" si="7"/>
        <v>39.118138901296327</v>
      </c>
      <c r="F34" s="8">
        <f t="shared" si="1"/>
        <v>-7.204199481687624</v>
      </c>
      <c r="G34" s="8">
        <f t="shared" si="2"/>
        <v>7.204199481687624</v>
      </c>
      <c r="H34" s="8">
        <f t="shared" si="3"/>
        <v>51.900490171948228</v>
      </c>
      <c r="I34" s="5">
        <f t="shared" si="4"/>
        <v>0.23239353166734272</v>
      </c>
      <c r="J34" s="8">
        <f t="shared" si="5"/>
        <v>0.97663642889773539</v>
      </c>
      <c r="K34" s="8">
        <f t="shared" si="6"/>
        <v>38.204199481687624</v>
      </c>
    </row>
    <row r="35" spans="1:11" ht="15.75" customHeight="1">
      <c r="A35" s="4" t="str">
        <f t="shared" si="0"/>
        <v>Feb</v>
      </c>
      <c r="B35" s="4">
        <v>34</v>
      </c>
      <c r="C35" s="3">
        <v>21584</v>
      </c>
      <c r="D35" s="4">
        <v>44</v>
      </c>
      <c r="E35" s="15">
        <f t="shared" si="7"/>
        <v>39.13722345473974</v>
      </c>
      <c r="F35" s="8">
        <f t="shared" si="1"/>
        <v>5.7771618481902891</v>
      </c>
      <c r="G35" s="8">
        <f t="shared" si="2"/>
        <v>5.7771618481902891</v>
      </c>
      <c r="H35" s="8">
        <f t="shared" si="3"/>
        <v>33.37559902018544</v>
      </c>
      <c r="I35" s="5">
        <f t="shared" si="4"/>
        <v>0.13129913291341566</v>
      </c>
      <c r="J35" s="8">
        <f t="shared" si="5"/>
        <v>0.97663642889773539</v>
      </c>
      <c r="K35" s="8">
        <f t="shared" si="6"/>
        <v>38.222838151809711</v>
      </c>
    </row>
    <row r="36" spans="1:11" ht="15.75" customHeight="1">
      <c r="A36" s="4" t="str">
        <f t="shared" si="0"/>
        <v>Feb</v>
      </c>
      <c r="B36" s="4">
        <v>35</v>
      </c>
      <c r="C36" s="3">
        <v>21585</v>
      </c>
      <c r="D36" s="4">
        <v>38</v>
      </c>
      <c r="E36" s="15">
        <f t="shared" si="7"/>
        <v>39.156308008183153</v>
      </c>
      <c r="F36" s="8">
        <f t="shared" si="1"/>
        <v>-0.24147682193179065</v>
      </c>
      <c r="G36" s="8">
        <f t="shared" si="2"/>
        <v>0.24147682193179065</v>
      </c>
      <c r="H36" s="8">
        <f t="shared" si="3"/>
        <v>5.8311055530277732E-2</v>
      </c>
      <c r="I36" s="5">
        <f t="shared" si="4"/>
        <v>6.3546532087313326E-3</v>
      </c>
      <c r="J36" s="8">
        <f t="shared" si="5"/>
        <v>0.97663642889773539</v>
      </c>
      <c r="K36" s="8">
        <f t="shared" si="6"/>
        <v>38.241476821931791</v>
      </c>
    </row>
    <row r="37" spans="1:11" ht="15.75" customHeight="1">
      <c r="A37" s="4" t="str">
        <f t="shared" si="0"/>
        <v>Feb</v>
      </c>
      <c r="B37" s="4">
        <v>36</v>
      </c>
      <c r="C37" s="3">
        <v>21586</v>
      </c>
      <c r="D37" s="4">
        <v>50</v>
      </c>
      <c r="E37" s="15">
        <f t="shared" si="7"/>
        <v>39.175392561626566</v>
      </c>
      <c r="F37" s="8">
        <f t="shared" si="1"/>
        <v>11.739884507946122</v>
      </c>
      <c r="G37" s="8">
        <f t="shared" si="2"/>
        <v>11.739884507946122</v>
      </c>
      <c r="H37" s="8">
        <f t="shared" si="3"/>
        <v>137.82488825991337</v>
      </c>
      <c r="I37" s="5">
        <f t="shared" si="4"/>
        <v>0.23479769015892246</v>
      </c>
      <c r="J37" s="8">
        <f t="shared" si="5"/>
        <v>0.97663642889773539</v>
      </c>
      <c r="K37" s="8">
        <f t="shared" si="6"/>
        <v>38.260115492053878</v>
      </c>
    </row>
    <row r="38" spans="1:11" ht="15.75" customHeight="1">
      <c r="A38" s="4" t="str">
        <f t="shared" si="0"/>
        <v>Feb</v>
      </c>
      <c r="B38" s="4">
        <v>37</v>
      </c>
      <c r="C38" s="3">
        <v>21587</v>
      </c>
      <c r="D38" s="4">
        <v>38</v>
      </c>
      <c r="E38" s="15">
        <f t="shared" si="7"/>
        <v>39.194477115069979</v>
      </c>
      <c r="F38" s="8">
        <f t="shared" si="1"/>
        <v>-0.27875416217595728</v>
      </c>
      <c r="G38" s="8">
        <f t="shared" si="2"/>
        <v>0.27875416217595728</v>
      </c>
      <c r="H38" s="8">
        <f t="shared" si="3"/>
        <v>7.7703882930419896E-2</v>
      </c>
      <c r="I38" s="5">
        <f t="shared" si="4"/>
        <v>7.3356358467357181E-3</v>
      </c>
      <c r="J38" s="8">
        <f t="shared" si="5"/>
        <v>0.97663642889773539</v>
      </c>
      <c r="K38" s="8">
        <f t="shared" si="6"/>
        <v>38.278754162175957</v>
      </c>
    </row>
    <row r="39" spans="1:11" ht="15.75" customHeight="1">
      <c r="A39" s="4" t="str">
        <f t="shared" si="0"/>
        <v>Feb</v>
      </c>
      <c r="B39" s="4">
        <v>38</v>
      </c>
      <c r="C39" s="3">
        <v>21588</v>
      </c>
      <c r="D39" s="4">
        <v>51</v>
      </c>
      <c r="E39" s="15">
        <f t="shared" si="7"/>
        <v>39.213561668513393</v>
      </c>
      <c r="F39" s="8">
        <f t="shared" si="1"/>
        <v>12.702607167701956</v>
      </c>
      <c r="G39" s="8">
        <f t="shared" si="2"/>
        <v>12.702607167701956</v>
      </c>
      <c r="H39" s="8">
        <f t="shared" si="3"/>
        <v>161.35622885695309</v>
      </c>
      <c r="I39" s="5">
        <f t="shared" si="4"/>
        <v>0.24907072877846972</v>
      </c>
      <c r="J39" s="8">
        <f t="shared" si="5"/>
        <v>0.97663642889773539</v>
      </c>
      <c r="K39" s="8">
        <f t="shared" si="6"/>
        <v>38.297392832298044</v>
      </c>
    </row>
    <row r="40" spans="1:11" ht="15.75" customHeight="1">
      <c r="A40" s="4" t="str">
        <f t="shared" si="0"/>
        <v>Feb</v>
      </c>
      <c r="B40" s="4">
        <v>39</v>
      </c>
      <c r="C40" s="3">
        <v>21589</v>
      </c>
      <c r="D40" s="4">
        <v>31</v>
      </c>
      <c r="E40" s="15">
        <f t="shared" si="7"/>
        <v>39.232646221956806</v>
      </c>
      <c r="F40" s="8">
        <f t="shared" si="1"/>
        <v>-7.3160315024201239</v>
      </c>
      <c r="G40" s="8">
        <f t="shared" si="2"/>
        <v>7.3160315024201239</v>
      </c>
      <c r="H40" s="8">
        <f t="shared" si="3"/>
        <v>53.524316944403658</v>
      </c>
      <c r="I40" s="5">
        <f t="shared" si="4"/>
        <v>0.23600101620710076</v>
      </c>
      <c r="J40" s="8">
        <f t="shared" si="5"/>
        <v>0.97663642889773539</v>
      </c>
      <c r="K40" s="8">
        <f t="shared" si="6"/>
        <v>38.316031502420124</v>
      </c>
    </row>
    <row r="41" spans="1:11" ht="15.75" customHeight="1">
      <c r="A41" s="4" t="str">
        <f t="shared" si="0"/>
        <v>Feb</v>
      </c>
      <c r="B41" s="4">
        <v>40</v>
      </c>
      <c r="C41" s="3">
        <v>21590</v>
      </c>
      <c r="D41" s="4">
        <v>31</v>
      </c>
      <c r="E41" s="15">
        <f t="shared" si="7"/>
        <v>39.251730775400219</v>
      </c>
      <c r="F41" s="8">
        <f t="shared" si="1"/>
        <v>-7.3346701725422108</v>
      </c>
      <c r="G41" s="8">
        <f t="shared" si="2"/>
        <v>7.3346701725422108</v>
      </c>
      <c r="H41" s="8">
        <f t="shared" si="3"/>
        <v>53.797386539980387</v>
      </c>
      <c r="I41" s="5">
        <f t="shared" si="4"/>
        <v>0.23660226363039388</v>
      </c>
      <c r="J41" s="8">
        <f t="shared" si="5"/>
        <v>0.97663642889773539</v>
      </c>
      <c r="K41" s="8">
        <f t="shared" si="6"/>
        <v>38.334670172542211</v>
      </c>
    </row>
    <row r="42" spans="1:11" ht="15.75" customHeight="1">
      <c r="A42" s="4" t="str">
        <f t="shared" si="0"/>
        <v>Feb</v>
      </c>
      <c r="B42" s="4">
        <v>41</v>
      </c>
      <c r="C42" s="3">
        <v>21591</v>
      </c>
      <c r="D42" s="4">
        <v>51</v>
      </c>
      <c r="E42" s="15">
        <f t="shared" si="7"/>
        <v>39.270815328843632</v>
      </c>
      <c r="F42" s="8">
        <f t="shared" si="1"/>
        <v>12.646691157335709</v>
      </c>
      <c r="G42" s="8">
        <f t="shared" si="2"/>
        <v>12.646691157335709</v>
      </c>
      <c r="H42" s="8">
        <f t="shared" si="3"/>
        <v>159.93879722903321</v>
      </c>
      <c r="I42" s="5">
        <f t="shared" si="4"/>
        <v>0.24797433641834724</v>
      </c>
      <c r="J42" s="8">
        <f t="shared" si="5"/>
        <v>0.97663642889773539</v>
      </c>
      <c r="K42" s="8">
        <f t="shared" si="6"/>
        <v>38.353308842664291</v>
      </c>
    </row>
    <row r="43" spans="1:11" ht="15.75" customHeight="1">
      <c r="A43" s="4" t="str">
        <f t="shared" si="0"/>
        <v>Feb</v>
      </c>
      <c r="B43" s="4">
        <v>42</v>
      </c>
      <c r="C43" s="3">
        <v>21592</v>
      </c>
      <c r="D43" s="4">
        <v>36</v>
      </c>
      <c r="E43" s="15">
        <f t="shared" si="7"/>
        <v>39.289899882287045</v>
      </c>
      <c r="F43" s="8">
        <f t="shared" si="1"/>
        <v>-2.3719475127863774</v>
      </c>
      <c r="G43" s="8">
        <f t="shared" si="2"/>
        <v>2.3719475127863774</v>
      </c>
      <c r="H43" s="8">
        <f t="shared" si="3"/>
        <v>5.6261350034134816</v>
      </c>
      <c r="I43" s="5">
        <f t="shared" si="4"/>
        <v>6.5887430910732708E-2</v>
      </c>
      <c r="J43" s="8">
        <f t="shared" si="5"/>
        <v>0.97663642889773539</v>
      </c>
      <c r="K43" s="8">
        <f t="shared" si="6"/>
        <v>38.371947512786377</v>
      </c>
    </row>
    <row r="44" spans="1:11" ht="15.75" customHeight="1">
      <c r="A44" s="4" t="str">
        <f t="shared" si="0"/>
        <v>Feb</v>
      </c>
      <c r="B44" s="4">
        <v>43</v>
      </c>
      <c r="C44" s="3">
        <v>21593</v>
      </c>
      <c r="D44" s="4">
        <v>45</v>
      </c>
      <c r="E44" s="15">
        <f t="shared" si="7"/>
        <v>39.308984435730459</v>
      </c>
      <c r="F44" s="8">
        <f t="shared" si="1"/>
        <v>6.6094138170915429</v>
      </c>
      <c r="G44" s="8">
        <f t="shared" si="2"/>
        <v>6.6094138170915429</v>
      </c>
      <c r="H44" s="8">
        <f t="shared" si="3"/>
        <v>43.6843510055606</v>
      </c>
      <c r="I44" s="5">
        <f t="shared" si="4"/>
        <v>0.14687586260203428</v>
      </c>
      <c r="J44" s="8">
        <f t="shared" si="5"/>
        <v>0.97663642889773539</v>
      </c>
      <c r="K44" s="8">
        <f t="shared" si="6"/>
        <v>38.390586182908457</v>
      </c>
    </row>
    <row r="45" spans="1:11" ht="15.75" customHeight="1">
      <c r="A45" s="4" t="str">
        <f t="shared" si="0"/>
        <v>Feb</v>
      </c>
      <c r="B45" s="4">
        <v>44</v>
      </c>
      <c r="C45" s="3">
        <v>21594</v>
      </c>
      <c r="D45" s="4">
        <v>51</v>
      </c>
      <c r="E45" s="15">
        <f t="shared" si="7"/>
        <v>39.328068989173865</v>
      </c>
      <c r="F45" s="8">
        <f t="shared" si="1"/>
        <v>12.59077514696947</v>
      </c>
      <c r="G45" s="8">
        <f t="shared" si="2"/>
        <v>12.59077514696947</v>
      </c>
      <c r="H45" s="8">
        <f t="shared" si="3"/>
        <v>158.52761880154409</v>
      </c>
      <c r="I45" s="5">
        <f t="shared" si="4"/>
        <v>0.24687794405822491</v>
      </c>
      <c r="J45" s="8">
        <f t="shared" si="5"/>
        <v>0.97663642889773539</v>
      </c>
      <c r="K45" s="8">
        <f t="shared" si="6"/>
        <v>38.40922485303053</v>
      </c>
    </row>
    <row r="46" spans="1:11" ht="15.75" customHeight="1">
      <c r="A46" s="4" t="str">
        <f t="shared" si="0"/>
        <v>Feb</v>
      </c>
      <c r="B46" s="4">
        <v>45</v>
      </c>
      <c r="C46" s="3">
        <v>21595</v>
      </c>
      <c r="D46" s="4">
        <v>34</v>
      </c>
      <c r="E46" s="15">
        <f t="shared" si="7"/>
        <v>39.347153542617278</v>
      </c>
      <c r="F46" s="8">
        <f t="shared" si="1"/>
        <v>-4.4278635231526167</v>
      </c>
      <c r="G46" s="8">
        <f t="shared" si="2"/>
        <v>4.4278635231526167</v>
      </c>
      <c r="H46" s="8">
        <f t="shared" si="3"/>
        <v>19.605975379665502</v>
      </c>
      <c r="I46" s="5">
        <f t="shared" si="4"/>
        <v>0.13023128009272403</v>
      </c>
      <c r="J46" s="8">
        <f t="shared" si="5"/>
        <v>0.97663642889773539</v>
      </c>
      <c r="K46" s="8">
        <f t="shared" si="6"/>
        <v>38.427863523152617</v>
      </c>
    </row>
    <row r="47" spans="1:11" ht="15.75" customHeight="1">
      <c r="A47" s="4" t="str">
        <f t="shared" si="0"/>
        <v>Feb</v>
      </c>
      <c r="B47" s="4">
        <v>46</v>
      </c>
      <c r="C47" s="3">
        <v>21596</v>
      </c>
      <c r="D47" s="4">
        <v>52</v>
      </c>
      <c r="E47" s="15">
        <f t="shared" si="7"/>
        <v>39.366238096060691</v>
      </c>
      <c r="F47" s="8">
        <f t="shared" si="1"/>
        <v>13.553497806725304</v>
      </c>
      <c r="G47" s="8">
        <f t="shared" si="2"/>
        <v>13.553497806725304</v>
      </c>
      <c r="H47" s="8">
        <f t="shared" si="3"/>
        <v>183.69730279690762</v>
      </c>
      <c r="I47" s="5">
        <f t="shared" si="4"/>
        <v>0.26064418859087124</v>
      </c>
      <c r="J47" s="8">
        <f t="shared" si="5"/>
        <v>0.97663642889773539</v>
      </c>
      <c r="K47" s="8">
        <f t="shared" si="6"/>
        <v>38.446502193274696</v>
      </c>
    </row>
    <row r="48" spans="1:11" ht="15.75" customHeight="1">
      <c r="A48" s="4" t="str">
        <f t="shared" si="0"/>
        <v>Feb</v>
      </c>
      <c r="B48" s="4">
        <v>47</v>
      </c>
      <c r="C48" s="3">
        <v>21597</v>
      </c>
      <c r="D48" s="4">
        <v>47</v>
      </c>
      <c r="E48" s="15">
        <f t="shared" si="7"/>
        <v>39.385322649504104</v>
      </c>
      <c r="F48" s="8">
        <f t="shared" si="1"/>
        <v>8.5348591366032167</v>
      </c>
      <c r="G48" s="8">
        <f t="shared" si="2"/>
        <v>8.5348591366032167</v>
      </c>
      <c r="H48" s="8">
        <f t="shared" si="3"/>
        <v>72.843820481659407</v>
      </c>
      <c r="I48" s="5">
        <f t="shared" si="4"/>
        <v>0.18159274758730248</v>
      </c>
      <c r="J48" s="8">
        <f t="shared" si="5"/>
        <v>0.97663642889773539</v>
      </c>
      <c r="K48" s="8">
        <f t="shared" si="6"/>
        <v>38.465140863396783</v>
      </c>
    </row>
    <row r="49" spans="1:11" ht="15.75" customHeight="1">
      <c r="A49" s="4" t="str">
        <f t="shared" si="0"/>
        <v>Feb</v>
      </c>
      <c r="B49" s="4">
        <v>48</v>
      </c>
      <c r="C49" s="3">
        <v>21598</v>
      </c>
      <c r="D49" s="4">
        <v>45</v>
      </c>
      <c r="E49" s="15">
        <f t="shared" si="7"/>
        <v>39.404407202947517</v>
      </c>
      <c r="F49" s="8">
        <f t="shared" si="1"/>
        <v>6.516220466481137</v>
      </c>
      <c r="G49" s="8">
        <f t="shared" si="2"/>
        <v>6.516220466481137</v>
      </c>
      <c r="H49" s="8">
        <f t="shared" si="3"/>
        <v>42.461129167787647</v>
      </c>
      <c r="I49" s="5">
        <f t="shared" si="4"/>
        <v>0.14480489925513637</v>
      </c>
      <c r="J49" s="8">
        <f t="shared" si="5"/>
        <v>0.97663642889773539</v>
      </c>
      <c r="K49" s="8">
        <f t="shared" si="6"/>
        <v>38.483779533518863</v>
      </c>
    </row>
    <row r="50" spans="1:11" ht="15.75" customHeight="1">
      <c r="A50" s="4" t="str">
        <f t="shared" si="0"/>
        <v>Feb</v>
      </c>
      <c r="B50" s="4">
        <v>49</v>
      </c>
      <c r="C50" s="3">
        <v>21599</v>
      </c>
      <c r="D50" s="4">
        <v>46</v>
      </c>
      <c r="E50" s="15">
        <f t="shared" si="7"/>
        <v>39.423491756390931</v>
      </c>
      <c r="F50" s="8">
        <f t="shared" si="1"/>
        <v>7.4975817963590501</v>
      </c>
      <c r="G50" s="8">
        <f t="shared" si="2"/>
        <v>7.4975817963590501</v>
      </c>
      <c r="H50" s="8">
        <f t="shared" si="3"/>
        <v>56.2137327930946</v>
      </c>
      <c r="I50" s="5">
        <f t="shared" si="4"/>
        <v>0.16299090861650109</v>
      </c>
      <c r="J50" s="8">
        <f t="shared" si="5"/>
        <v>0.97663642889773539</v>
      </c>
      <c r="K50" s="8">
        <f t="shared" si="6"/>
        <v>38.50241820364095</v>
      </c>
    </row>
    <row r="51" spans="1:11" ht="15.75" customHeight="1">
      <c r="A51" s="4" t="str">
        <f t="shared" si="0"/>
        <v>Feb</v>
      </c>
      <c r="B51" s="4">
        <v>50</v>
      </c>
      <c r="C51" s="3">
        <v>21600</v>
      </c>
      <c r="D51" s="4">
        <v>39</v>
      </c>
      <c r="E51" s="15">
        <f t="shared" si="7"/>
        <v>39.442576309834344</v>
      </c>
      <c r="F51" s="8">
        <f t="shared" si="1"/>
        <v>0.47894312623697033</v>
      </c>
      <c r="G51" s="8">
        <f t="shared" si="2"/>
        <v>0.47894312623697033</v>
      </c>
      <c r="H51" s="8">
        <f t="shared" si="3"/>
        <v>0.22938651816964251</v>
      </c>
      <c r="I51" s="5">
        <f t="shared" si="4"/>
        <v>1.2280592980435137E-2</v>
      </c>
      <c r="J51" s="8">
        <f t="shared" si="5"/>
        <v>0.97663642889773539</v>
      </c>
      <c r="K51" s="8">
        <f t="shared" si="6"/>
        <v>38.52105687376303</v>
      </c>
    </row>
    <row r="52" spans="1:11" ht="15.75" customHeight="1">
      <c r="A52" s="4" t="str">
        <f t="shared" si="0"/>
        <v>Feb</v>
      </c>
      <c r="B52" s="4">
        <v>51</v>
      </c>
      <c r="C52" s="3">
        <v>21601</v>
      </c>
      <c r="D52" s="4">
        <v>48</v>
      </c>
      <c r="E52" s="15">
        <f t="shared" si="7"/>
        <v>39.461660863277757</v>
      </c>
      <c r="F52" s="8">
        <f t="shared" si="1"/>
        <v>9.4603044561148835</v>
      </c>
      <c r="G52" s="8">
        <f t="shared" si="2"/>
        <v>9.4603044561148835</v>
      </c>
      <c r="H52" s="8">
        <f t="shared" si="3"/>
        <v>89.497360402387116</v>
      </c>
      <c r="I52" s="5">
        <f t="shared" si="4"/>
        <v>0.19708967616906006</v>
      </c>
      <c r="J52" s="8">
        <f t="shared" si="5"/>
        <v>0.97663642889773539</v>
      </c>
      <c r="K52" s="8">
        <f t="shared" si="6"/>
        <v>38.539695543885117</v>
      </c>
    </row>
    <row r="53" spans="1:11" ht="15.75" customHeight="1">
      <c r="A53" s="4" t="str">
        <f t="shared" si="0"/>
        <v>Feb</v>
      </c>
      <c r="B53" s="4">
        <v>52</v>
      </c>
      <c r="C53" s="3">
        <v>21602</v>
      </c>
      <c r="D53" s="4">
        <v>37</v>
      </c>
      <c r="E53" s="15">
        <f t="shared" si="7"/>
        <v>39.48074541672117</v>
      </c>
      <c r="F53" s="8">
        <f t="shared" si="1"/>
        <v>-1.5583342140071963</v>
      </c>
      <c r="G53" s="8">
        <f t="shared" si="2"/>
        <v>1.5583342140071963</v>
      </c>
      <c r="H53" s="8">
        <f t="shared" si="3"/>
        <v>2.4284055225454262</v>
      </c>
      <c r="I53" s="5">
        <f t="shared" si="4"/>
        <v>4.2117140919113415E-2</v>
      </c>
      <c r="J53" s="8">
        <f t="shared" si="5"/>
        <v>0.97663642889773539</v>
      </c>
      <c r="K53" s="8">
        <f t="shared" si="6"/>
        <v>38.558334214007196</v>
      </c>
    </row>
    <row r="54" spans="1:11" ht="15.75" customHeight="1">
      <c r="A54" s="4" t="str">
        <f t="shared" si="0"/>
        <v>Feb</v>
      </c>
      <c r="B54" s="4">
        <v>53</v>
      </c>
      <c r="C54" s="3">
        <v>21603</v>
      </c>
      <c r="D54" s="4">
        <v>35</v>
      </c>
      <c r="E54" s="15">
        <f t="shared" si="7"/>
        <v>39.499829970164583</v>
      </c>
      <c r="F54" s="8">
        <f t="shared" si="1"/>
        <v>-3.5769728841292832</v>
      </c>
      <c r="G54" s="8">
        <f t="shared" si="2"/>
        <v>3.5769728841292832</v>
      </c>
      <c r="H54" s="8">
        <f t="shared" si="3"/>
        <v>12.794735013796162</v>
      </c>
      <c r="I54" s="5">
        <f t="shared" si="4"/>
        <v>0.10219922526083666</v>
      </c>
      <c r="J54" s="8">
        <f t="shared" si="5"/>
        <v>0.97663642889773539</v>
      </c>
      <c r="K54" s="8">
        <f t="shared" si="6"/>
        <v>38.576972884129283</v>
      </c>
    </row>
    <row r="55" spans="1:11" ht="15.75" customHeight="1">
      <c r="A55" s="4" t="str">
        <f t="shared" si="0"/>
        <v>Feb</v>
      </c>
      <c r="B55" s="4">
        <v>54</v>
      </c>
      <c r="C55" s="3">
        <v>21604</v>
      </c>
      <c r="D55" s="4">
        <v>52</v>
      </c>
      <c r="E55" s="15">
        <f t="shared" si="7"/>
        <v>39.518914523607997</v>
      </c>
      <c r="F55" s="8">
        <f t="shared" si="1"/>
        <v>13.404388445748637</v>
      </c>
      <c r="G55" s="8">
        <f t="shared" si="2"/>
        <v>13.404388445748637</v>
      </c>
      <c r="H55" s="8">
        <f t="shared" si="3"/>
        <v>179.67762960451955</v>
      </c>
      <c r="I55" s="5">
        <f t="shared" si="4"/>
        <v>0.2577767008797815</v>
      </c>
      <c r="J55" s="8">
        <f t="shared" si="5"/>
        <v>0.97663642889773539</v>
      </c>
      <c r="K55" s="8">
        <f t="shared" si="6"/>
        <v>38.595611554251363</v>
      </c>
    </row>
    <row r="56" spans="1:11" ht="15.75" customHeight="1">
      <c r="A56" s="4" t="str">
        <f t="shared" si="0"/>
        <v>Feb</v>
      </c>
      <c r="B56" s="4">
        <v>55</v>
      </c>
      <c r="C56" s="3">
        <v>21605</v>
      </c>
      <c r="D56" s="4">
        <v>42</v>
      </c>
      <c r="E56" s="15">
        <f t="shared" si="7"/>
        <v>39.53799907705141</v>
      </c>
      <c r="F56" s="8">
        <f t="shared" si="1"/>
        <v>3.3857497756265502</v>
      </c>
      <c r="G56" s="8">
        <f t="shared" si="2"/>
        <v>3.3857497756265502</v>
      </c>
      <c r="H56" s="8">
        <f t="shared" si="3"/>
        <v>11.463301543155236</v>
      </c>
      <c r="I56" s="5">
        <f t="shared" si="4"/>
        <v>8.0613089895870238E-2</v>
      </c>
      <c r="J56" s="8">
        <f t="shared" si="5"/>
        <v>0.97663642889773539</v>
      </c>
      <c r="K56" s="8">
        <f t="shared" si="6"/>
        <v>38.61425022437345</v>
      </c>
    </row>
    <row r="57" spans="1:11" ht="15.75" customHeight="1">
      <c r="A57" s="4" t="str">
        <f t="shared" si="0"/>
        <v>Feb</v>
      </c>
      <c r="B57" s="4">
        <v>56</v>
      </c>
      <c r="C57" s="3">
        <v>21606</v>
      </c>
      <c r="D57" s="4">
        <v>45</v>
      </c>
      <c r="E57" s="15">
        <f t="shared" si="7"/>
        <v>39.557083630494816</v>
      </c>
      <c r="F57" s="8">
        <f t="shared" si="1"/>
        <v>6.3671111055044776</v>
      </c>
      <c r="G57" s="8">
        <f t="shared" si="2"/>
        <v>6.3671111055044776</v>
      </c>
      <c r="H57" s="8">
        <f t="shared" si="3"/>
        <v>40.540103829838451</v>
      </c>
      <c r="I57" s="5">
        <f t="shared" si="4"/>
        <v>0.14149135790009951</v>
      </c>
      <c r="J57" s="8">
        <f t="shared" si="5"/>
        <v>0.97663642889773539</v>
      </c>
      <c r="K57" s="8">
        <f t="shared" si="6"/>
        <v>38.632888894495522</v>
      </c>
    </row>
    <row r="58" spans="1:11" ht="15.75" customHeight="1">
      <c r="A58" s="4" t="str">
        <f t="shared" si="0"/>
        <v>Feb</v>
      </c>
      <c r="B58" s="4">
        <v>57</v>
      </c>
      <c r="C58" s="3">
        <v>21607</v>
      </c>
      <c r="D58" s="4">
        <v>39</v>
      </c>
      <c r="E58" s="15">
        <f t="shared" si="7"/>
        <v>39.576168183938229</v>
      </c>
      <c r="F58" s="8">
        <f t="shared" si="1"/>
        <v>0.3484724353823978</v>
      </c>
      <c r="G58" s="8">
        <f t="shared" si="2"/>
        <v>0.3484724353823978</v>
      </c>
      <c r="H58" s="8">
        <f t="shared" si="3"/>
        <v>0.12143303822133941</v>
      </c>
      <c r="I58" s="5">
        <f t="shared" si="4"/>
        <v>8.9351906508307131E-3</v>
      </c>
      <c r="J58" s="8">
        <f t="shared" si="5"/>
        <v>0.97663642889773539</v>
      </c>
      <c r="K58" s="8">
        <f t="shared" si="6"/>
        <v>38.651527564617602</v>
      </c>
    </row>
    <row r="59" spans="1:11" ht="15.75" customHeight="1">
      <c r="A59" s="4" t="str">
        <f t="shared" si="0"/>
        <v>Feb</v>
      </c>
      <c r="B59" s="4">
        <v>58</v>
      </c>
      <c r="C59" s="3">
        <v>21608</v>
      </c>
      <c r="D59" s="4">
        <v>37</v>
      </c>
      <c r="E59" s="15">
        <f t="shared" si="7"/>
        <v>39.595252737381642</v>
      </c>
      <c r="F59" s="8">
        <f t="shared" si="1"/>
        <v>-1.6701662347396891</v>
      </c>
      <c r="G59" s="8">
        <f t="shared" si="2"/>
        <v>1.6701662347396891</v>
      </c>
      <c r="H59" s="8">
        <f t="shared" si="3"/>
        <v>2.7894552516645503</v>
      </c>
      <c r="I59" s="5">
        <f t="shared" si="4"/>
        <v>4.513962796593754E-2</v>
      </c>
      <c r="J59" s="8">
        <f t="shared" si="5"/>
        <v>0.97663642889773539</v>
      </c>
      <c r="K59" s="8">
        <f t="shared" si="6"/>
        <v>38.670166234739689</v>
      </c>
    </row>
    <row r="60" spans="1:11" ht="15.75" customHeight="1">
      <c r="A60" s="4" t="str">
        <f t="shared" si="0"/>
        <v>Feb</v>
      </c>
      <c r="B60" s="4">
        <v>59</v>
      </c>
      <c r="C60" s="3">
        <v>21609</v>
      </c>
      <c r="D60" s="4">
        <v>30</v>
      </c>
      <c r="E60" s="15">
        <f t="shared" si="7"/>
        <v>39.614337290825056</v>
      </c>
      <c r="F60" s="8">
        <f t="shared" si="1"/>
        <v>-8.6888049048617688</v>
      </c>
      <c r="G60" s="8">
        <f t="shared" si="2"/>
        <v>8.6888049048617688</v>
      </c>
      <c r="H60" s="8">
        <f t="shared" si="3"/>
        <v>75.495330674749937</v>
      </c>
      <c r="I60" s="5">
        <f t="shared" si="4"/>
        <v>0.28962683016205898</v>
      </c>
      <c r="J60" s="8">
        <f t="shared" si="5"/>
        <v>0.97663642889773539</v>
      </c>
      <c r="K60" s="8">
        <f t="shared" si="6"/>
        <v>38.688804904861769</v>
      </c>
    </row>
    <row r="61" spans="1:11" ht="15.75" customHeight="1">
      <c r="A61" s="4" t="str">
        <f t="shared" si="0"/>
        <v>Mar</v>
      </c>
      <c r="B61" s="4">
        <v>60</v>
      </c>
      <c r="C61" s="3">
        <v>21610</v>
      </c>
      <c r="D61" s="4">
        <v>35</v>
      </c>
      <c r="E61" s="15">
        <f t="shared" si="7"/>
        <v>39.633421844268469</v>
      </c>
      <c r="F61" s="8">
        <f t="shared" si="1"/>
        <v>-2.0933644959325974</v>
      </c>
      <c r="G61" s="8">
        <f t="shared" si="2"/>
        <v>2.0933644959325974</v>
      </c>
      <c r="H61" s="8">
        <f t="shared" si="3"/>
        <v>4.3821749128311378</v>
      </c>
      <c r="I61" s="5">
        <f t="shared" si="4"/>
        <v>5.9810414169502786E-2</v>
      </c>
      <c r="J61" s="8">
        <f t="shared" si="5"/>
        <v>0.93591122769271573</v>
      </c>
      <c r="K61" s="8">
        <f t="shared" si="6"/>
        <v>37.093364495932597</v>
      </c>
    </row>
    <row r="62" spans="1:11" ht="15.75" customHeight="1">
      <c r="A62" s="4" t="str">
        <f t="shared" si="0"/>
        <v>Mar</v>
      </c>
      <c r="B62" s="4">
        <v>61</v>
      </c>
      <c r="C62" s="3">
        <v>21611</v>
      </c>
      <c r="D62" s="4">
        <v>28</v>
      </c>
      <c r="E62" s="15">
        <f t="shared" si="7"/>
        <v>39.652506397711882</v>
      </c>
      <c r="F62" s="8">
        <f t="shared" si="1"/>
        <v>-9.1112259437757928</v>
      </c>
      <c r="G62" s="8">
        <f t="shared" si="2"/>
        <v>9.1112259437757928</v>
      </c>
      <c r="H62" s="8">
        <f t="shared" si="3"/>
        <v>83.014438198533085</v>
      </c>
      <c r="I62" s="5">
        <f t="shared" si="4"/>
        <v>0.32540092656342118</v>
      </c>
      <c r="J62" s="8">
        <f t="shared" si="5"/>
        <v>0.93591122769271573</v>
      </c>
      <c r="K62" s="8">
        <f t="shared" si="6"/>
        <v>37.111225943775793</v>
      </c>
    </row>
    <row r="63" spans="1:11" ht="15.75" customHeight="1">
      <c r="A63" s="4" t="str">
        <f t="shared" si="0"/>
        <v>Mar</v>
      </c>
      <c r="B63" s="4">
        <v>62</v>
      </c>
      <c r="C63" s="3">
        <v>21612</v>
      </c>
      <c r="D63" s="4">
        <v>45</v>
      </c>
      <c r="E63" s="15">
        <f t="shared" si="7"/>
        <v>39.671590951155295</v>
      </c>
      <c r="F63" s="8">
        <f t="shared" si="1"/>
        <v>7.870912608381019</v>
      </c>
      <c r="G63" s="8">
        <f t="shared" si="2"/>
        <v>7.870912608381019</v>
      </c>
      <c r="H63" s="8">
        <f t="shared" si="3"/>
        <v>61.951265288771296</v>
      </c>
      <c r="I63" s="5">
        <f t="shared" si="4"/>
        <v>0.17490916907513376</v>
      </c>
      <c r="J63" s="8">
        <f t="shared" si="5"/>
        <v>0.93591122769271573</v>
      </c>
      <c r="K63" s="8">
        <f t="shared" si="6"/>
        <v>37.129087391618981</v>
      </c>
    </row>
    <row r="64" spans="1:11" ht="15.75" customHeight="1">
      <c r="A64" s="4" t="str">
        <f t="shared" si="0"/>
        <v>Mar</v>
      </c>
      <c r="B64" s="4">
        <v>63</v>
      </c>
      <c r="C64" s="3">
        <v>21613</v>
      </c>
      <c r="D64" s="4">
        <v>34</v>
      </c>
      <c r="E64" s="15">
        <f t="shared" si="7"/>
        <v>39.690675504598708</v>
      </c>
      <c r="F64" s="8">
        <f t="shared" si="1"/>
        <v>-3.1469488394621763</v>
      </c>
      <c r="G64" s="8">
        <f t="shared" si="2"/>
        <v>3.1469488394621763</v>
      </c>
      <c r="H64" s="8">
        <f t="shared" si="3"/>
        <v>9.903286998192339</v>
      </c>
      <c r="I64" s="5">
        <f t="shared" si="4"/>
        <v>9.2557318807711064E-2</v>
      </c>
      <c r="J64" s="8">
        <f t="shared" si="5"/>
        <v>0.93591122769271573</v>
      </c>
      <c r="K64" s="8">
        <f t="shared" si="6"/>
        <v>37.146948839462176</v>
      </c>
    </row>
    <row r="65" spans="1:11" ht="15.75" customHeight="1">
      <c r="A65" s="4" t="str">
        <f t="shared" si="0"/>
        <v>Mar</v>
      </c>
      <c r="B65" s="4">
        <v>64</v>
      </c>
      <c r="C65" s="3">
        <v>21614</v>
      </c>
      <c r="D65" s="4">
        <v>36</v>
      </c>
      <c r="E65" s="15">
        <f t="shared" si="7"/>
        <v>39.709760058042121</v>
      </c>
      <c r="F65" s="8">
        <f t="shared" si="1"/>
        <v>-1.1648102873053716</v>
      </c>
      <c r="G65" s="8">
        <f t="shared" si="2"/>
        <v>1.1648102873053716</v>
      </c>
      <c r="H65" s="8">
        <f t="shared" si="3"/>
        <v>1.3567830054124224</v>
      </c>
      <c r="I65" s="5">
        <f t="shared" si="4"/>
        <v>3.2355841314038097E-2</v>
      </c>
      <c r="J65" s="8">
        <f t="shared" si="5"/>
        <v>0.93591122769271573</v>
      </c>
      <c r="K65" s="8">
        <f t="shared" si="6"/>
        <v>37.164810287305372</v>
      </c>
    </row>
    <row r="66" spans="1:11" ht="15.75" customHeight="1">
      <c r="A66" s="4" t="str">
        <f t="shared" si="0"/>
        <v>Mar</v>
      </c>
      <c r="B66" s="4">
        <v>65</v>
      </c>
      <c r="C66" s="3">
        <v>21615</v>
      </c>
      <c r="D66" s="4">
        <v>50</v>
      </c>
      <c r="E66" s="15">
        <f t="shared" si="7"/>
        <v>39.728844611485535</v>
      </c>
      <c r="F66" s="8">
        <f t="shared" si="1"/>
        <v>12.81732826485144</v>
      </c>
      <c r="G66" s="8">
        <f t="shared" si="2"/>
        <v>12.81732826485144</v>
      </c>
      <c r="H66" s="8">
        <f t="shared" si="3"/>
        <v>164.28390384895962</v>
      </c>
      <c r="I66" s="5">
        <f t="shared" si="4"/>
        <v>0.25634656529702882</v>
      </c>
      <c r="J66" s="8">
        <f t="shared" si="5"/>
        <v>0.93591122769271573</v>
      </c>
      <c r="K66" s="8">
        <f t="shared" si="6"/>
        <v>37.18267173514856</v>
      </c>
    </row>
    <row r="67" spans="1:11" ht="15.75" customHeight="1">
      <c r="A67" s="4" t="str">
        <f t="shared" si="0"/>
        <v>Mar</v>
      </c>
      <c r="B67" s="4">
        <v>66</v>
      </c>
      <c r="C67" s="3">
        <v>21616</v>
      </c>
      <c r="D67" s="4">
        <v>44</v>
      </c>
      <c r="E67" s="15">
        <f t="shared" si="7"/>
        <v>39.747929164928948</v>
      </c>
      <c r="F67" s="8">
        <f t="shared" ref="F67:F130" si="11">D67-K67</f>
        <v>6.7994668170082448</v>
      </c>
      <c r="G67" s="8">
        <f t="shared" ref="G67:G130" si="12">ABS(F67)</f>
        <v>6.7994668170082448</v>
      </c>
      <c r="H67" s="8">
        <f t="shared" ref="H67:H130" si="13">G67^2</f>
        <v>46.232748995596232</v>
      </c>
      <c r="I67" s="5">
        <f t="shared" ref="I67:I130" si="14">G67/D67</f>
        <v>0.15453333675018738</v>
      </c>
      <c r="J67" s="8">
        <f t="shared" ref="J67:J130" si="15">VLOOKUP(A67,$V$7:$Y$19,4,FALSE)</f>
        <v>0.93591122769271573</v>
      </c>
      <c r="K67" s="8">
        <f t="shared" ref="K67:K130" si="16">E67*J67</f>
        <v>37.200533182991755</v>
      </c>
    </row>
    <row r="68" spans="1:11" ht="15.75" customHeight="1">
      <c r="A68" s="4" t="str">
        <f t="shared" si="0"/>
        <v>Mar</v>
      </c>
      <c r="B68" s="4">
        <v>67</v>
      </c>
      <c r="C68" s="3">
        <v>21617</v>
      </c>
      <c r="D68" s="4">
        <v>39</v>
      </c>
      <c r="E68" s="15">
        <f t="shared" ref="E68:E131" si="17">$O$2+($O$3*B68)</f>
        <v>39.767013718372361</v>
      </c>
      <c r="F68" s="8">
        <f t="shared" si="11"/>
        <v>1.7816053691650566</v>
      </c>
      <c r="G68" s="8">
        <f t="shared" si="12"/>
        <v>1.7816053691650566</v>
      </c>
      <c r="H68" s="8">
        <f t="shared" si="13"/>
        <v>3.1741176914377576</v>
      </c>
      <c r="I68" s="5">
        <f t="shared" si="14"/>
        <v>4.5682188952950169E-2</v>
      </c>
      <c r="J68" s="8">
        <f t="shared" si="15"/>
        <v>0.93591122769271573</v>
      </c>
      <c r="K68" s="8">
        <f t="shared" si="16"/>
        <v>37.218394630834943</v>
      </c>
    </row>
    <row r="69" spans="1:11" ht="15.75" customHeight="1">
      <c r="A69" s="4" t="str">
        <f t="shared" si="0"/>
        <v>Mar</v>
      </c>
      <c r="B69" s="4">
        <v>68</v>
      </c>
      <c r="C69" s="3">
        <v>21618</v>
      </c>
      <c r="D69" s="4">
        <v>32</v>
      </c>
      <c r="E69" s="15">
        <f t="shared" si="17"/>
        <v>39.786098271815774</v>
      </c>
      <c r="F69" s="8">
        <f t="shared" si="11"/>
        <v>-5.2362560786781387</v>
      </c>
      <c r="G69" s="8">
        <f t="shared" si="12"/>
        <v>5.2362560786781387</v>
      </c>
      <c r="H69" s="8">
        <f t="shared" si="13"/>
        <v>27.418377721493759</v>
      </c>
      <c r="I69" s="5">
        <f t="shared" si="14"/>
        <v>0.16363300245869183</v>
      </c>
      <c r="J69" s="8">
        <f t="shared" si="15"/>
        <v>0.93591122769271573</v>
      </c>
      <c r="K69" s="8">
        <f t="shared" si="16"/>
        <v>37.236256078678139</v>
      </c>
    </row>
    <row r="70" spans="1:11" ht="15.75" customHeight="1">
      <c r="A70" s="4" t="str">
        <f t="shared" si="0"/>
        <v>Mar</v>
      </c>
      <c r="B70" s="4">
        <v>69</v>
      </c>
      <c r="C70" s="3">
        <v>21619</v>
      </c>
      <c r="D70" s="4">
        <v>39</v>
      </c>
      <c r="E70" s="15">
        <f t="shared" si="17"/>
        <v>39.80518282525918</v>
      </c>
      <c r="F70" s="8">
        <f t="shared" si="11"/>
        <v>1.7458824734786802</v>
      </c>
      <c r="G70" s="8">
        <f t="shared" si="12"/>
        <v>1.7458824734786802</v>
      </c>
      <c r="H70" s="8">
        <f t="shared" si="13"/>
        <v>3.0481056112000346</v>
      </c>
      <c r="I70" s="5">
        <f t="shared" si="14"/>
        <v>4.4766217268684107E-2</v>
      </c>
      <c r="J70" s="8">
        <f t="shared" si="15"/>
        <v>0.93591122769271573</v>
      </c>
      <c r="K70" s="8">
        <f t="shared" si="16"/>
        <v>37.25411752652132</v>
      </c>
    </row>
    <row r="71" spans="1:11" ht="15.75" customHeight="1">
      <c r="A71" s="4" t="str">
        <f t="shared" si="0"/>
        <v>Mar</v>
      </c>
      <c r="B71" s="4">
        <v>70</v>
      </c>
      <c r="C71" s="3">
        <v>21620</v>
      </c>
      <c r="D71" s="4">
        <v>45</v>
      </c>
      <c r="E71" s="15">
        <f t="shared" si="17"/>
        <v>39.824267378702594</v>
      </c>
      <c r="F71" s="8">
        <f t="shared" si="11"/>
        <v>7.7280210256354849</v>
      </c>
      <c r="G71" s="8">
        <f t="shared" si="12"/>
        <v>7.7280210256354849</v>
      </c>
      <c r="H71" s="8">
        <f t="shared" si="13"/>
        <v>59.722308972664131</v>
      </c>
      <c r="I71" s="5">
        <f t="shared" si="14"/>
        <v>0.17173380056967744</v>
      </c>
      <c r="J71" s="8">
        <f t="shared" si="15"/>
        <v>0.93591122769271573</v>
      </c>
      <c r="K71" s="8">
        <f t="shared" si="16"/>
        <v>37.271978974364515</v>
      </c>
    </row>
    <row r="72" spans="1:11" ht="15.75" customHeight="1">
      <c r="A72" s="4" t="str">
        <f t="shared" si="0"/>
        <v>Mar</v>
      </c>
      <c r="B72" s="4">
        <v>71</v>
      </c>
      <c r="C72" s="3">
        <v>21621</v>
      </c>
      <c r="D72" s="4">
        <v>43</v>
      </c>
      <c r="E72" s="15">
        <f t="shared" si="17"/>
        <v>39.843351932146007</v>
      </c>
      <c r="F72" s="8">
        <f t="shared" si="11"/>
        <v>5.7101595777922967</v>
      </c>
      <c r="G72" s="8">
        <f t="shared" si="12"/>
        <v>5.7101595777922967</v>
      </c>
      <c r="H72" s="8">
        <f t="shared" si="13"/>
        <v>32.6059224038531</v>
      </c>
      <c r="I72" s="5">
        <f t="shared" si="14"/>
        <v>0.13279440878586737</v>
      </c>
      <c r="J72" s="8">
        <f t="shared" si="15"/>
        <v>0.93591122769271573</v>
      </c>
      <c r="K72" s="8">
        <f t="shared" si="16"/>
        <v>37.289840422207703</v>
      </c>
    </row>
    <row r="73" spans="1:11" ht="15.75" customHeight="1">
      <c r="A73" s="4" t="str">
        <f t="shared" si="0"/>
        <v>Mar</v>
      </c>
      <c r="B73" s="4">
        <v>72</v>
      </c>
      <c r="C73" s="3">
        <v>21622</v>
      </c>
      <c r="D73" s="4">
        <v>39</v>
      </c>
      <c r="E73" s="15">
        <f t="shared" si="17"/>
        <v>39.86243648558942</v>
      </c>
      <c r="F73" s="8">
        <f t="shared" si="11"/>
        <v>1.6922981299491013</v>
      </c>
      <c r="G73" s="8">
        <f t="shared" si="12"/>
        <v>1.6922981299491013</v>
      </c>
      <c r="H73" s="8">
        <f t="shared" si="13"/>
        <v>2.8638729606292257</v>
      </c>
      <c r="I73" s="5">
        <f t="shared" si="14"/>
        <v>4.3392259742284653E-2</v>
      </c>
      <c r="J73" s="8">
        <f t="shared" si="15"/>
        <v>0.93591122769271573</v>
      </c>
      <c r="K73" s="8">
        <f t="shared" si="16"/>
        <v>37.307701870050899</v>
      </c>
    </row>
    <row r="74" spans="1:11" ht="15.75" customHeight="1">
      <c r="A74" s="4" t="str">
        <f t="shared" si="0"/>
        <v>Mar</v>
      </c>
      <c r="B74" s="4">
        <v>73</v>
      </c>
      <c r="C74" s="3">
        <v>21623</v>
      </c>
      <c r="D74" s="4">
        <v>31</v>
      </c>
      <c r="E74" s="15">
        <f t="shared" si="17"/>
        <v>39.881521039032833</v>
      </c>
      <c r="F74" s="8">
        <f t="shared" si="11"/>
        <v>-6.325563317894094</v>
      </c>
      <c r="G74" s="8">
        <f t="shared" si="12"/>
        <v>6.325563317894094</v>
      </c>
      <c r="H74" s="8">
        <f t="shared" si="13"/>
        <v>40.01275128868734</v>
      </c>
      <c r="I74" s="5">
        <f t="shared" si="14"/>
        <v>0.20405042960948691</v>
      </c>
      <c r="J74" s="8">
        <f t="shared" si="15"/>
        <v>0.93591122769271573</v>
      </c>
      <c r="K74" s="8">
        <f t="shared" si="16"/>
        <v>37.325563317894094</v>
      </c>
    </row>
    <row r="75" spans="1:11" ht="15.75" customHeight="1">
      <c r="A75" s="4" t="str">
        <f t="shared" si="0"/>
        <v>Mar</v>
      </c>
      <c r="B75" s="4">
        <v>74</v>
      </c>
      <c r="C75" s="3">
        <v>21624</v>
      </c>
      <c r="D75" s="4">
        <v>27</v>
      </c>
      <c r="E75" s="15">
        <f t="shared" si="17"/>
        <v>39.900605592476246</v>
      </c>
      <c r="F75" s="8">
        <f t="shared" si="11"/>
        <v>-10.343424765737282</v>
      </c>
      <c r="G75" s="8">
        <f t="shared" si="12"/>
        <v>10.343424765737282</v>
      </c>
      <c r="H75" s="8">
        <f t="shared" si="13"/>
        <v>106.98643588446735</v>
      </c>
      <c r="I75" s="5">
        <f t="shared" si="14"/>
        <v>0.38308980613841787</v>
      </c>
      <c r="J75" s="8">
        <f t="shared" si="15"/>
        <v>0.93591122769271573</v>
      </c>
      <c r="K75" s="8">
        <f t="shared" si="16"/>
        <v>37.343424765737282</v>
      </c>
    </row>
    <row r="76" spans="1:11" ht="15.75" customHeight="1">
      <c r="A76" s="4" t="str">
        <f t="shared" si="0"/>
        <v>Mar</v>
      </c>
      <c r="B76" s="4">
        <v>75</v>
      </c>
      <c r="C76" s="3">
        <v>21625</v>
      </c>
      <c r="D76" s="4">
        <v>30</v>
      </c>
      <c r="E76" s="15">
        <f t="shared" si="17"/>
        <v>39.91969014591966</v>
      </c>
      <c r="F76" s="8">
        <f t="shared" si="11"/>
        <v>-7.3612862135804775</v>
      </c>
      <c r="G76" s="8">
        <f t="shared" si="12"/>
        <v>7.3612862135804775</v>
      </c>
      <c r="H76" s="8">
        <f t="shared" si="13"/>
        <v>54.188534718250004</v>
      </c>
      <c r="I76" s="5">
        <f t="shared" si="14"/>
        <v>0.24537620711934924</v>
      </c>
      <c r="J76" s="8">
        <f t="shared" si="15"/>
        <v>0.93591122769271573</v>
      </c>
      <c r="K76" s="8">
        <f t="shared" si="16"/>
        <v>37.361286213580478</v>
      </c>
    </row>
    <row r="77" spans="1:11" ht="15.75" customHeight="1">
      <c r="A77" s="4" t="str">
        <f t="shared" si="0"/>
        <v>Mar</v>
      </c>
      <c r="B77" s="4">
        <v>76</v>
      </c>
      <c r="C77" s="3">
        <v>21626</v>
      </c>
      <c r="D77" s="4">
        <v>42</v>
      </c>
      <c r="E77" s="15">
        <f t="shared" si="17"/>
        <v>39.938774699363073</v>
      </c>
      <c r="F77" s="8">
        <f t="shared" si="11"/>
        <v>4.6208523385763343</v>
      </c>
      <c r="G77" s="8">
        <f t="shared" si="12"/>
        <v>4.6208523385763343</v>
      </c>
      <c r="H77" s="8">
        <f t="shared" si="13"/>
        <v>21.352276334926376</v>
      </c>
      <c r="I77" s="5">
        <f t="shared" si="14"/>
        <v>0.11002029377562701</v>
      </c>
      <c r="J77" s="8">
        <f t="shared" si="15"/>
        <v>0.93591122769271573</v>
      </c>
      <c r="K77" s="8">
        <f t="shared" si="16"/>
        <v>37.379147661423666</v>
      </c>
    </row>
    <row r="78" spans="1:11" ht="15.75" customHeight="1">
      <c r="A78" s="4" t="str">
        <f t="shared" si="0"/>
        <v>Mar</v>
      </c>
      <c r="B78" s="4">
        <v>77</v>
      </c>
      <c r="C78" s="3">
        <v>21627</v>
      </c>
      <c r="D78" s="4">
        <v>46</v>
      </c>
      <c r="E78" s="15">
        <f t="shared" si="17"/>
        <v>39.957859252806486</v>
      </c>
      <c r="F78" s="8">
        <f t="shared" si="11"/>
        <v>8.6029908907331389</v>
      </c>
      <c r="G78" s="8">
        <f t="shared" si="12"/>
        <v>8.6029908907331389</v>
      </c>
      <c r="H78" s="8">
        <f t="shared" si="13"/>
        <v>74.011452266037367</v>
      </c>
      <c r="I78" s="5">
        <f t="shared" si="14"/>
        <v>0.18702154110289432</v>
      </c>
      <c r="J78" s="8">
        <f t="shared" si="15"/>
        <v>0.93591122769271573</v>
      </c>
      <c r="K78" s="8">
        <f t="shared" si="16"/>
        <v>37.397009109266861</v>
      </c>
    </row>
    <row r="79" spans="1:11" ht="15.75" customHeight="1">
      <c r="A79" s="4" t="str">
        <f t="shared" si="0"/>
        <v>Mar</v>
      </c>
      <c r="B79" s="4">
        <v>78</v>
      </c>
      <c r="C79" s="3">
        <v>21628</v>
      </c>
      <c r="D79" s="4">
        <v>41</v>
      </c>
      <c r="E79" s="15">
        <f t="shared" si="17"/>
        <v>39.976943806249899</v>
      </c>
      <c r="F79" s="8">
        <f t="shared" si="11"/>
        <v>3.5851294428899507</v>
      </c>
      <c r="G79" s="8">
        <f t="shared" si="12"/>
        <v>3.5851294428899507</v>
      </c>
      <c r="H79" s="8">
        <f t="shared" si="13"/>
        <v>12.853153122276408</v>
      </c>
      <c r="I79" s="5">
        <f t="shared" si="14"/>
        <v>8.7442181533901236E-2</v>
      </c>
      <c r="J79" s="8">
        <f t="shared" si="15"/>
        <v>0.93591122769271573</v>
      </c>
      <c r="K79" s="8">
        <f t="shared" si="16"/>
        <v>37.414870557110049</v>
      </c>
    </row>
    <row r="80" spans="1:11" ht="15.75" customHeight="1">
      <c r="A80" s="4" t="str">
        <f t="shared" si="0"/>
        <v>Mar</v>
      </c>
      <c r="B80" s="4">
        <v>79</v>
      </c>
      <c r="C80" s="3">
        <v>21629</v>
      </c>
      <c r="D80" s="4">
        <v>36</v>
      </c>
      <c r="E80" s="15">
        <f t="shared" si="17"/>
        <v>39.996028359693312</v>
      </c>
      <c r="F80" s="8">
        <f t="shared" si="11"/>
        <v>-1.4327320049532446</v>
      </c>
      <c r="G80" s="8">
        <f t="shared" si="12"/>
        <v>1.4327320049532446</v>
      </c>
      <c r="H80" s="8">
        <f t="shared" si="13"/>
        <v>2.0527209980173442</v>
      </c>
      <c r="I80" s="5">
        <f t="shared" si="14"/>
        <v>3.9798111248701237E-2</v>
      </c>
      <c r="J80" s="8">
        <f t="shared" si="15"/>
        <v>0.93591122769271573</v>
      </c>
      <c r="K80" s="8">
        <f t="shared" si="16"/>
        <v>37.432732004953245</v>
      </c>
    </row>
    <row r="81" spans="1:11" ht="15.75" customHeight="1">
      <c r="A81" s="4" t="str">
        <f t="shared" si="0"/>
        <v>Mar</v>
      </c>
      <c r="B81" s="4">
        <v>80</v>
      </c>
      <c r="C81" s="3">
        <v>21630</v>
      </c>
      <c r="D81" s="4">
        <v>45</v>
      </c>
      <c r="E81" s="15">
        <f t="shared" si="17"/>
        <v>40.015112913136726</v>
      </c>
      <c r="F81" s="8">
        <f t="shared" si="11"/>
        <v>7.5494065472035672</v>
      </c>
      <c r="G81" s="8">
        <f t="shared" si="12"/>
        <v>7.5494065472035672</v>
      </c>
      <c r="H81" s="8">
        <f t="shared" si="13"/>
        <v>56.993539214960087</v>
      </c>
      <c r="I81" s="5">
        <f t="shared" si="14"/>
        <v>0.16776458993785706</v>
      </c>
      <c r="J81" s="8">
        <f t="shared" si="15"/>
        <v>0.93591122769271573</v>
      </c>
      <c r="K81" s="8">
        <f t="shared" si="16"/>
        <v>37.450593452796433</v>
      </c>
    </row>
    <row r="82" spans="1:11" ht="15.75" customHeight="1">
      <c r="A82" s="4" t="str">
        <f t="shared" si="0"/>
        <v>Mar</v>
      </c>
      <c r="B82" s="4">
        <v>81</v>
      </c>
      <c r="C82" s="3">
        <v>21631</v>
      </c>
      <c r="D82" s="4">
        <v>46</v>
      </c>
      <c r="E82" s="15">
        <f t="shared" si="17"/>
        <v>40.034197466580132</v>
      </c>
      <c r="F82" s="8">
        <f t="shared" si="11"/>
        <v>8.531545099360379</v>
      </c>
      <c r="G82" s="8">
        <f t="shared" si="12"/>
        <v>8.531545099360379</v>
      </c>
      <c r="H82" s="8">
        <f t="shared" si="13"/>
        <v>72.787261782420103</v>
      </c>
      <c r="I82" s="5">
        <f t="shared" si="14"/>
        <v>0.18546837172522562</v>
      </c>
      <c r="J82" s="8">
        <f t="shared" si="15"/>
        <v>0.93591122769271573</v>
      </c>
      <c r="K82" s="8">
        <f t="shared" si="16"/>
        <v>37.468454900639621</v>
      </c>
    </row>
    <row r="83" spans="1:11" ht="15.75" customHeight="1">
      <c r="A83" s="4" t="str">
        <f t="shared" si="0"/>
        <v>Mar</v>
      </c>
      <c r="B83" s="4">
        <v>82</v>
      </c>
      <c r="C83" s="3">
        <v>21632</v>
      </c>
      <c r="D83" s="4">
        <v>43</v>
      </c>
      <c r="E83" s="15">
        <f t="shared" si="17"/>
        <v>40.053282020023545</v>
      </c>
      <c r="F83" s="8">
        <f t="shared" si="11"/>
        <v>5.5136836515171836</v>
      </c>
      <c r="G83" s="8">
        <f t="shared" si="12"/>
        <v>5.5136836515171836</v>
      </c>
      <c r="H83" s="8">
        <f t="shared" si="13"/>
        <v>30.400707409007865</v>
      </c>
      <c r="I83" s="5">
        <f t="shared" si="14"/>
        <v>0.12822520119807404</v>
      </c>
      <c r="J83" s="8">
        <f t="shared" si="15"/>
        <v>0.93591122769271573</v>
      </c>
      <c r="K83" s="8">
        <f t="shared" si="16"/>
        <v>37.486316348482816</v>
      </c>
    </row>
    <row r="84" spans="1:11" ht="15.75" customHeight="1">
      <c r="A84" s="4" t="str">
        <f t="shared" si="0"/>
        <v>Mar</v>
      </c>
      <c r="B84" s="4">
        <v>83</v>
      </c>
      <c r="C84" s="3">
        <v>21633</v>
      </c>
      <c r="D84" s="4">
        <v>38</v>
      </c>
      <c r="E84" s="15">
        <f t="shared" si="17"/>
        <v>40.072366573466958</v>
      </c>
      <c r="F84" s="8">
        <f t="shared" si="11"/>
        <v>0.49582220367399543</v>
      </c>
      <c r="G84" s="8">
        <f t="shared" si="12"/>
        <v>0.49582220367399543</v>
      </c>
      <c r="H84" s="8">
        <f t="shared" si="13"/>
        <v>0.24583965765613702</v>
      </c>
      <c r="I84" s="5">
        <f t="shared" si="14"/>
        <v>1.3047952728263038E-2</v>
      </c>
      <c r="J84" s="8">
        <f t="shared" si="15"/>
        <v>0.93591122769271573</v>
      </c>
      <c r="K84" s="8">
        <f t="shared" si="16"/>
        <v>37.504177796326005</v>
      </c>
    </row>
    <row r="85" spans="1:11" ht="15.75" customHeight="1">
      <c r="A85" s="4" t="str">
        <f t="shared" si="0"/>
        <v>Mar</v>
      </c>
      <c r="B85" s="4">
        <v>84</v>
      </c>
      <c r="C85" s="3">
        <v>21634</v>
      </c>
      <c r="D85" s="4">
        <v>34</v>
      </c>
      <c r="E85" s="15">
        <f t="shared" si="17"/>
        <v>40.091451126910371</v>
      </c>
      <c r="F85" s="8">
        <f t="shared" si="11"/>
        <v>-3.5220392441691999</v>
      </c>
      <c r="G85" s="8">
        <f t="shared" si="12"/>
        <v>3.5220392441691999</v>
      </c>
      <c r="H85" s="8">
        <f t="shared" si="13"/>
        <v>12.404760437467949</v>
      </c>
      <c r="I85" s="5">
        <f t="shared" si="14"/>
        <v>0.10358938953438823</v>
      </c>
      <c r="J85" s="8">
        <f t="shared" si="15"/>
        <v>0.93591122769271573</v>
      </c>
      <c r="K85" s="8">
        <f t="shared" si="16"/>
        <v>37.5220392441692</v>
      </c>
    </row>
    <row r="86" spans="1:11" ht="15.75" customHeight="1">
      <c r="A86" s="4" t="str">
        <f t="shared" si="0"/>
        <v>Mar</v>
      </c>
      <c r="B86" s="4">
        <v>85</v>
      </c>
      <c r="C86" s="3">
        <v>21635</v>
      </c>
      <c r="D86" s="4">
        <v>35</v>
      </c>
      <c r="E86" s="15">
        <f t="shared" si="17"/>
        <v>40.110535680353784</v>
      </c>
      <c r="F86" s="8">
        <f t="shared" si="11"/>
        <v>-2.5399006920123881</v>
      </c>
      <c r="G86" s="8">
        <f t="shared" si="12"/>
        <v>2.5399006920123881</v>
      </c>
      <c r="H86" s="8">
        <f t="shared" si="13"/>
        <v>6.451095525285008</v>
      </c>
      <c r="I86" s="5">
        <f t="shared" si="14"/>
        <v>7.2568591200353944E-2</v>
      </c>
      <c r="J86" s="8">
        <f t="shared" si="15"/>
        <v>0.93591122769271573</v>
      </c>
      <c r="K86" s="8">
        <f t="shared" si="16"/>
        <v>37.539900692012388</v>
      </c>
    </row>
    <row r="87" spans="1:11" ht="15.75" customHeight="1">
      <c r="A87" s="4" t="str">
        <f t="shared" si="0"/>
        <v>Mar</v>
      </c>
      <c r="B87" s="4">
        <v>86</v>
      </c>
      <c r="C87" s="3">
        <v>21636</v>
      </c>
      <c r="D87" s="4">
        <v>56</v>
      </c>
      <c r="E87" s="15">
        <f t="shared" si="17"/>
        <v>40.129620233797198</v>
      </c>
      <c r="F87" s="8">
        <f t="shared" si="11"/>
        <v>18.442237860144417</v>
      </c>
      <c r="G87" s="8">
        <f t="shared" si="12"/>
        <v>18.442237860144417</v>
      </c>
      <c r="H87" s="8">
        <f t="shared" si="13"/>
        <v>340.11613729014408</v>
      </c>
      <c r="I87" s="5">
        <f t="shared" si="14"/>
        <v>0.32932567607400742</v>
      </c>
      <c r="J87" s="8">
        <f t="shared" si="15"/>
        <v>0.93591122769271573</v>
      </c>
      <c r="K87" s="8">
        <f t="shared" si="16"/>
        <v>37.557762139855583</v>
      </c>
    </row>
    <row r="88" spans="1:11" ht="15.75" customHeight="1">
      <c r="A88" s="4" t="str">
        <f t="shared" si="0"/>
        <v>Mar</v>
      </c>
      <c r="B88" s="4">
        <v>87</v>
      </c>
      <c r="C88" s="3">
        <v>21637</v>
      </c>
      <c r="D88" s="4">
        <v>36</v>
      </c>
      <c r="E88" s="15">
        <f t="shared" si="17"/>
        <v>40.148704787240611</v>
      </c>
      <c r="F88" s="8">
        <f t="shared" si="11"/>
        <v>-1.5756235876987716</v>
      </c>
      <c r="G88" s="8">
        <f t="shared" si="12"/>
        <v>1.5756235876987716</v>
      </c>
      <c r="H88" s="8">
        <f t="shared" si="13"/>
        <v>2.4825896901127487</v>
      </c>
      <c r="I88" s="5">
        <f t="shared" si="14"/>
        <v>4.3767321880521431E-2</v>
      </c>
      <c r="J88" s="8">
        <f t="shared" si="15"/>
        <v>0.93591122769271573</v>
      </c>
      <c r="K88" s="8">
        <f t="shared" si="16"/>
        <v>37.575623587698772</v>
      </c>
    </row>
    <row r="89" spans="1:11" ht="15.75" customHeight="1">
      <c r="A89" s="4" t="str">
        <f t="shared" si="0"/>
        <v>Mar</v>
      </c>
      <c r="B89" s="4">
        <v>88</v>
      </c>
      <c r="C89" s="3">
        <v>21638</v>
      </c>
      <c r="D89" s="4">
        <v>32</v>
      </c>
      <c r="E89" s="15">
        <f t="shared" si="17"/>
        <v>40.167789340684024</v>
      </c>
      <c r="F89" s="8">
        <f t="shared" si="11"/>
        <v>-5.593485035541967</v>
      </c>
      <c r="G89" s="8">
        <f t="shared" si="12"/>
        <v>5.593485035541967</v>
      </c>
      <c r="H89" s="8">
        <f t="shared" si="13"/>
        <v>31.28707484283192</v>
      </c>
      <c r="I89" s="5">
        <f t="shared" si="14"/>
        <v>0.17479640736068647</v>
      </c>
      <c r="J89" s="8">
        <f t="shared" si="15"/>
        <v>0.93591122769271573</v>
      </c>
      <c r="K89" s="8">
        <f t="shared" si="16"/>
        <v>37.593485035541967</v>
      </c>
    </row>
    <row r="90" spans="1:11" ht="15.75" customHeight="1">
      <c r="A90" s="4" t="str">
        <f t="shared" si="0"/>
        <v>Mar</v>
      </c>
      <c r="B90" s="4">
        <v>89</v>
      </c>
      <c r="C90" s="3">
        <v>21639</v>
      </c>
      <c r="D90" s="4">
        <v>50</v>
      </c>
      <c r="E90" s="15">
        <f t="shared" si="17"/>
        <v>40.186873894127437</v>
      </c>
      <c r="F90" s="8">
        <f t="shared" si="11"/>
        <v>12.388653516614845</v>
      </c>
      <c r="G90" s="8">
        <f t="shared" si="12"/>
        <v>12.388653516614845</v>
      </c>
      <c r="H90" s="8">
        <f t="shared" si="13"/>
        <v>153.47873595473337</v>
      </c>
      <c r="I90" s="5">
        <f t="shared" si="14"/>
        <v>0.2477730703322969</v>
      </c>
      <c r="J90" s="8">
        <f t="shared" si="15"/>
        <v>0.93591122769271573</v>
      </c>
      <c r="K90" s="8">
        <f t="shared" si="16"/>
        <v>37.611346483385155</v>
      </c>
    </row>
    <row r="91" spans="1:11" ht="15.75" customHeight="1">
      <c r="A91" s="4" t="str">
        <f t="shared" si="0"/>
        <v>Mar</v>
      </c>
      <c r="B91" s="4">
        <v>90</v>
      </c>
      <c r="C91" s="3">
        <v>21640</v>
      </c>
      <c r="D91" s="4">
        <v>41</v>
      </c>
      <c r="E91" s="15">
        <f t="shared" si="17"/>
        <v>40.20595844757085</v>
      </c>
      <c r="F91" s="8">
        <f t="shared" si="11"/>
        <v>3.3707920687716495</v>
      </c>
      <c r="G91" s="8">
        <f t="shared" si="12"/>
        <v>3.3707920687716495</v>
      </c>
      <c r="H91" s="8">
        <f t="shared" si="13"/>
        <v>11.362239170893856</v>
      </c>
      <c r="I91" s="5">
        <f t="shared" si="14"/>
        <v>8.2214440701747549E-2</v>
      </c>
      <c r="J91" s="8">
        <f t="shared" si="15"/>
        <v>0.93591122769271573</v>
      </c>
      <c r="K91" s="8">
        <f t="shared" si="16"/>
        <v>37.629207931228351</v>
      </c>
    </row>
    <row r="92" spans="1:11" ht="15.75" customHeight="1">
      <c r="A92" s="4" t="str">
        <f t="shared" si="0"/>
        <v>Apr</v>
      </c>
      <c r="B92" s="4">
        <v>91</v>
      </c>
      <c r="C92" s="3">
        <v>21641</v>
      </c>
      <c r="D92" s="4">
        <v>39</v>
      </c>
      <c r="E92" s="15">
        <f t="shared" si="17"/>
        <v>40.225043001014264</v>
      </c>
      <c r="F92" s="8">
        <f t="shared" si="11"/>
        <v>0.83263040099328123</v>
      </c>
      <c r="G92" s="8">
        <f t="shared" si="12"/>
        <v>0.83263040099328123</v>
      </c>
      <c r="H92" s="8">
        <f t="shared" si="13"/>
        <v>0.69327338465823229</v>
      </c>
      <c r="I92" s="5">
        <f t="shared" si="14"/>
        <v>2.1349497461366187E-2</v>
      </c>
      <c r="J92" s="8">
        <f t="shared" si="15"/>
        <v>0.94884596140877553</v>
      </c>
      <c r="K92" s="8">
        <f t="shared" si="16"/>
        <v>38.167369599006719</v>
      </c>
    </row>
    <row r="93" spans="1:11" ht="15.75" customHeight="1">
      <c r="A93" s="4" t="str">
        <f t="shared" si="0"/>
        <v>Apr</v>
      </c>
      <c r="B93" s="4">
        <v>92</v>
      </c>
      <c r="C93" s="3">
        <v>21642</v>
      </c>
      <c r="D93" s="4">
        <v>41</v>
      </c>
      <c r="E93" s="15">
        <f t="shared" si="17"/>
        <v>40.244127554457677</v>
      </c>
      <c r="F93" s="8">
        <f t="shared" si="11"/>
        <v>2.8145220995332139</v>
      </c>
      <c r="G93" s="8">
        <f t="shared" si="12"/>
        <v>2.8145220995332139</v>
      </c>
      <c r="H93" s="8">
        <f t="shared" si="13"/>
        <v>7.9215346487608498</v>
      </c>
      <c r="I93" s="5">
        <f t="shared" si="14"/>
        <v>6.8646880476419855E-2</v>
      </c>
      <c r="J93" s="8">
        <f t="shared" si="15"/>
        <v>0.94884596140877553</v>
      </c>
      <c r="K93" s="8">
        <f t="shared" si="16"/>
        <v>38.185477900466786</v>
      </c>
    </row>
    <row r="94" spans="1:11" ht="15.75" customHeight="1">
      <c r="A94" s="4" t="str">
        <f t="shared" si="0"/>
        <v>Apr</v>
      </c>
      <c r="B94" s="4">
        <v>93</v>
      </c>
      <c r="C94" s="3">
        <v>21643</v>
      </c>
      <c r="D94" s="4">
        <v>47</v>
      </c>
      <c r="E94" s="15">
        <f t="shared" si="17"/>
        <v>40.263212107901083</v>
      </c>
      <c r="F94" s="8">
        <f t="shared" si="11"/>
        <v>8.7964137980731465</v>
      </c>
      <c r="G94" s="8">
        <f t="shared" si="12"/>
        <v>8.7964137980731465</v>
      </c>
      <c r="H94" s="8">
        <f t="shared" si="13"/>
        <v>77.376895706931634</v>
      </c>
      <c r="I94" s="5">
        <f t="shared" si="14"/>
        <v>0.18715774038453503</v>
      </c>
      <c r="J94" s="8">
        <f t="shared" si="15"/>
        <v>0.94884596140877553</v>
      </c>
      <c r="K94" s="8">
        <f t="shared" si="16"/>
        <v>38.203586201926854</v>
      </c>
    </row>
    <row r="95" spans="1:11" ht="15.75" customHeight="1">
      <c r="A95" s="4" t="str">
        <f t="shared" si="0"/>
        <v>Apr</v>
      </c>
      <c r="B95" s="4">
        <v>94</v>
      </c>
      <c r="C95" s="3">
        <v>21644</v>
      </c>
      <c r="D95" s="4">
        <v>34</v>
      </c>
      <c r="E95" s="15">
        <f t="shared" si="17"/>
        <v>40.282296661344496</v>
      </c>
      <c r="F95" s="8">
        <f t="shared" si="11"/>
        <v>-4.221694503386928</v>
      </c>
      <c r="G95" s="8">
        <f t="shared" si="12"/>
        <v>4.221694503386928</v>
      </c>
      <c r="H95" s="8">
        <f t="shared" si="13"/>
        <v>17.822704479927399</v>
      </c>
      <c r="I95" s="5">
        <f t="shared" si="14"/>
        <v>0.12416748539373318</v>
      </c>
      <c r="J95" s="8">
        <f t="shared" si="15"/>
        <v>0.94884596140877553</v>
      </c>
      <c r="K95" s="8">
        <f t="shared" si="16"/>
        <v>38.221694503386928</v>
      </c>
    </row>
    <row r="96" spans="1:11" ht="15.75" customHeight="1">
      <c r="A96" s="4" t="str">
        <f t="shared" si="0"/>
        <v>Apr</v>
      </c>
      <c r="B96" s="4">
        <v>95</v>
      </c>
      <c r="C96" s="3">
        <v>21645</v>
      </c>
      <c r="D96" s="4">
        <v>36</v>
      </c>
      <c r="E96" s="15">
        <f t="shared" si="17"/>
        <v>40.301381214787909</v>
      </c>
      <c r="F96" s="8">
        <f t="shared" si="11"/>
        <v>-2.2398028048470024</v>
      </c>
      <c r="G96" s="8">
        <f t="shared" si="12"/>
        <v>2.2398028048470024</v>
      </c>
      <c r="H96" s="8">
        <f t="shared" si="13"/>
        <v>5.0167166046004992</v>
      </c>
      <c r="I96" s="5">
        <f t="shared" si="14"/>
        <v>6.2216744579083404E-2</v>
      </c>
      <c r="J96" s="8">
        <f t="shared" si="15"/>
        <v>0.94884596140877553</v>
      </c>
      <c r="K96" s="8">
        <f t="shared" si="16"/>
        <v>38.239802804847002</v>
      </c>
    </row>
    <row r="97" spans="1:11" ht="15.75" customHeight="1">
      <c r="A97" s="4" t="str">
        <f t="shared" si="0"/>
        <v>Apr</v>
      </c>
      <c r="B97" s="4">
        <v>96</v>
      </c>
      <c r="C97" s="3">
        <v>21646</v>
      </c>
      <c r="D97" s="4">
        <v>33</v>
      </c>
      <c r="E97" s="15">
        <f t="shared" si="17"/>
        <v>40.320465768231323</v>
      </c>
      <c r="F97" s="8">
        <f t="shared" si="11"/>
        <v>-5.2579111063070698</v>
      </c>
      <c r="G97" s="8">
        <f t="shared" si="12"/>
        <v>5.2579111063070698</v>
      </c>
      <c r="H97" s="8">
        <f t="shared" si="13"/>
        <v>27.645629201827234</v>
      </c>
      <c r="I97" s="5">
        <f t="shared" si="14"/>
        <v>0.15933063958506272</v>
      </c>
      <c r="J97" s="8">
        <f t="shared" si="15"/>
        <v>0.94884596140877553</v>
      </c>
      <c r="K97" s="8">
        <f t="shared" si="16"/>
        <v>38.25791110630707</v>
      </c>
    </row>
    <row r="98" spans="1:11" ht="15.75" customHeight="1">
      <c r="A98" s="4" t="str">
        <f t="shared" si="0"/>
        <v>Apr</v>
      </c>
      <c r="B98" s="4">
        <v>97</v>
      </c>
      <c r="C98" s="3">
        <v>21647</v>
      </c>
      <c r="D98" s="4">
        <v>35</v>
      </c>
      <c r="E98" s="15">
        <f t="shared" si="17"/>
        <v>40.339550321674736</v>
      </c>
      <c r="F98" s="8">
        <f t="shared" si="11"/>
        <v>-3.2760194077671443</v>
      </c>
      <c r="G98" s="8">
        <f t="shared" si="12"/>
        <v>3.2760194077671443</v>
      </c>
      <c r="H98" s="8">
        <f t="shared" si="13"/>
        <v>10.732303160066991</v>
      </c>
      <c r="I98" s="5">
        <f t="shared" si="14"/>
        <v>9.3600554507632688E-2</v>
      </c>
      <c r="J98" s="8">
        <f t="shared" si="15"/>
        <v>0.94884596140877553</v>
      </c>
      <c r="K98" s="8">
        <f t="shared" si="16"/>
        <v>38.276019407767144</v>
      </c>
    </row>
    <row r="99" spans="1:11" ht="15.75" customHeight="1">
      <c r="A99" s="4" t="str">
        <f t="shared" si="0"/>
        <v>Apr</v>
      </c>
      <c r="B99" s="4">
        <v>98</v>
      </c>
      <c r="C99" s="3">
        <v>21648</v>
      </c>
      <c r="D99" s="4">
        <v>38</v>
      </c>
      <c r="E99" s="15">
        <f t="shared" si="17"/>
        <v>40.358634875118149</v>
      </c>
      <c r="F99" s="8">
        <f t="shared" si="11"/>
        <v>-0.29412770922721876</v>
      </c>
      <c r="G99" s="8">
        <f t="shared" si="12"/>
        <v>0.29412770922721876</v>
      </c>
      <c r="H99" s="8">
        <f t="shared" si="13"/>
        <v>8.6511109335251343E-2</v>
      </c>
      <c r="I99" s="5">
        <f t="shared" si="14"/>
        <v>7.7402028744004937E-3</v>
      </c>
      <c r="J99" s="8">
        <f t="shared" si="15"/>
        <v>0.94884596140877553</v>
      </c>
      <c r="K99" s="8">
        <f t="shared" si="16"/>
        <v>38.294127709227219</v>
      </c>
    </row>
    <row r="100" spans="1:11" ht="15.75" customHeight="1">
      <c r="A100" s="4" t="str">
        <f t="shared" si="0"/>
        <v>Apr</v>
      </c>
      <c r="B100" s="4">
        <v>99</v>
      </c>
      <c r="C100" s="3">
        <v>21649</v>
      </c>
      <c r="D100" s="4">
        <v>38</v>
      </c>
      <c r="E100" s="15">
        <f t="shared" si="17"/>
        <v>40.377719428561562</v>
      </c>
      <c r="F100" s="8">
        <f t="shared" si="11"/>
        <v>-0.31223601068729323</v>
      </c>
      <c r="G100" s="8">
        <f t="shared" si="12"/>
        <v>0.31223601068729323</v>
      </c>
      <c r="H100" s="8">
        <f t="shared" si="13"/>
        <v>9.749132636991549E-2</v>
      </c>
      <c r="I100" s="5">
        <f t="shared" si="14"/>
        <v>8.2167371233498217E-3</v>
      </c>
      <c r="J100" s="8">
        <f t="shared" si="15"/>
        <v>0.94884596140877553</v>
      </c>
      <c r="K100" s="8">
        <f t="shared" si="16"/>
        <v>38.312236010687293</v>
      </c>
    </row>
    <row r="101" spans="1:11" ht="15.75" customHeight="1">
      <c r="A101" s="4" t="str">
        <f t="shared" si="0"/>
        <v>Apr</v>
      </c>
      <c r="B101" s="4">
        <v>100</v>
      </c>
      <c r="C101" s="3">
        <v>21650</v>
      </c>
      <c r="D101" s="4">
        <v>34</v>
      </c>
      <c r="E101" s="15">
        <f t="shared" si="17"/>
        <v>40.396803982004975</v>
      </c>
      <c r="F101" s="8">
        <f t="shared" si="11"/>
        <v>-4.3303443121473606</v>
      </c>
      <c r="G101" s="8">
        <f t="shared" si="12"/>
        <v>4.3303443121473606</v>
      </c>
      <c r="H101" s="8">
        <f t="shared" si="13"/>
        <v>18.751881861746998</v>
      </c>
      <c r="I101" s="5">
        <f t="shared" si="14"/>
        <v>0.12736306800433414</v>
      </c>
      <c r="J101" s="8">
        <f t="shared" si="15"/>
        <v>0.94884596140877553</v>
      </c>
      <c r="K101" s="8">
        <f t="shared" si="16"/>
        <v>38.330344312147361</v>
      </c>
    </row>
    <row r="102" spans="1:11" ht="15.75" customHeight="1">
      <c r="A102" s="4" t="str">
        <f t="shared" si="0"/>
        <v>Apr</v>
      </c>
      <c r="B102" s="4">
        <v>101</v>
      </c>
      <c r="C102" s="3">
        <v>21651</v>
      </c>
      <c r="D102" s="4">
        <v>53</v>
      </c>
      <c r="E102" s="15">
        <f t="shared" si="17"/>
        <v>40.415888535448389</v>
      </c>
      <c r="F102" s="8">
        <f t="shared" si="11"/>
        <v>14.651547386392565</v>
      </c>
      <c r="G102" s="8">
        <f t="shared" si="12"/>
        <v>14.651547386392565</v>
      </c>
      <c r="H102" s="8">
        <f t="shared" si="13"/>
        <v>214.6678408157068</v>
      </c>
      <c r="I102" s="5">
        <f t="shared" si="14"/>
        <v>0.27644429030929368</v>
      </c>
      <c r="J102" s="8">
        <f t="shared" si="15"/>
        <v>0.94884596140877553</v>
      </c>
      <c r="K102" s="8">
        <f t="shared" si="16"/>
        <v>38.348452613607435</v>
      </c>
    </row>
    <row r="103" spans="1:11" ht="15.75" customHeight="1">
      <c r="A103" s="4" t="str">
        <f t="shared" si="0"/>
        <v>Apr</v>
      </c>
      <c r="B103" s="4">
        <v>102</v>
      </c>
      <c r="C103" s="3">
        <v>21652</v>
      </c>
      <c r="D103" s="4">
        <v>34</v>
      </c>
      <c r="E103" s="15">
        <f t="shared" si="17"/>
        <v>40.434973088891802</v>
      </c>
      <c r="F103" s="8">
        <f t="shared" si="11"/>
        <v>-4.3665609150675095</v>
      </c>
      <c r="G103" s="8">
        <f t="shared" si="12"/>
        <v>4.3665609150675095</v>
      </c>
      <c r="H103" s="8">
        <f t="shared" si="13"/>
        <v>19.066854224995208</v>
      </c>
      <c r="I103" s="5">
        <f t="shared" si="14"/>
        <v>0.12842826220786793</v>
      </c>
      <c r="J103" s="8">
        <f t="shared" si="15"/>
        <v>0.94884596140877553</v>
      </c>
      <c r="K103" s="8">
        <f t="shared" si="16"/>
        <v>38.36656091506751</v>
      </c>
    </row>
    <row r="104" spans="1:11" ht="15.75" customHeight="1">
      <c r="A104" s="4" t="str">
        <f t="shared" si="0"/>
        <v>Apr</v>
      </c>
      <c r="B104" s="4">
        <v>103</v>
      </c>
      <c r="C104" s="3">
        <v>21653</v>
      </c>
      <c r="D104" s="4">
        <v>34</v>
      </c>
      <c r="E104" s="15">
        <f t="shared" si="17"/>
        <v>40.454057642335215</v>
      </c>
      <c r="F104" s="8">
        <f t="shared" si="11"/>
        <v>-4.3846692165275769</v>
      </c>
      <c r="G104" s="8">
        <f t="shared" si="12"/>
        <v>4.3846692165275769</v>
      </c>
      <c r="H104" s="8">
        <f t="shared" si="13"/>
        <v>19.225324138364556</v>
      </c>
      <c r="I104" s="5">
        <f t="shared" si="14"/>
        <v>0.12896085930963461</v>
      </c>
      <c r="J104" s="8">
        <f t="shared" si="15"/>
        <v>0.94884596140877553</v>
      </c>
      <c r="K104" s="8">
        <f t="shared" si="16"/>
        <v>38.384669216527577</v>
      </c>
    </row>
    <row r="105" spans="1:11" ht="15.75" customHeight="1">
      <c r="A105" s="4" t="str">
        <f t="shared" si="0"/>
        <v>Apr</v>
      </c>
      <c r="B105" s="4">
        <v>104</v>
      </c>
      <c r="C105" s="3">
        <v>21654</v>
      </c>
      <c r="D105" s="4">
        <v>38</v>
      </c>
      <c r="E105" s="15">
        <f t="shared" si="17"/>
        <v>40.473142195778628</v>
      </c>
      <c r="F105" s="8">
        <f t="shared" si="11"/>
        <v>-0.40277751798765138</v>
      </c>
      <c r="G105" s="8">
        <f t="shared" si="12"/>
        <v>0.40277751798765138</v>
      </c>
      <c r="H105" s="8">
        <f t="shared" si="13"/>
        <v>0.16222972899629284</v>
      </c>
      <c r="I105" s="5">
        <f t="shared" si="14"/>
        <v>1.0599408368096089E-2</v>
      </c>
      <c r="J105" s="8">
        <f t="shared" si="15"/>
        <v>0.94884596140877553</v>
      </c>
      <c r="K105" s="8">
        <f t="shared" si="16"/>
        <v>38.402777517987651</v>
      </c>
    </row>
    <row r="106" spans="1:11" ht="15.75" customHeight="1">
      <c r="A106" s="4" t="str">
        <f t="shared" si="0"/>
        <v>Apr</v>
      </c>
      <c r="B106" s="4">
        <v>105</v>
      </c>
      <c r="C106" s="3">
        <v>21655</v>
      </c>
      <c r="D106" s="4">
        <v>35</v>
      </c>
      <c r="E106" s="15">
        <f t="shared" si="17"/>
        <v>40.492226749222041</v>
      </c>
      <c r="F106" s="8">
        <f t="shared" si="11"/>
        <v>-3.4208858194477259</v>
      </c>
      <c r="G106" s="8">
        <f t="shared" si="12"/>
        <v>3.4208858194477259</v>
      </c>
      <c r="H106" s="8">
        <f t="shared" si="13"/>
        <v>11.702459789698539</v>
      </c>
      <c r="I106" s="5">
        <f t="shared" si="14"/>
        <v>9.7739594841363589E-2</v>
      </c>
      <c r="J106" s="8">
        <f t="shared" si="15"/>
        <v>0.94884596140877553</v>
      </c>
      <c r="K106" s="8">
        <f t="shared" si="16"/>
        <v>38.420885819447726</v>
      </c>
    </row>
    <row r="107" spans="1:11" ht="15.75" customHeight="1">
      <c r="A107" s="4" t="str">
        <f t="shared" si="0"/>
        <v>Apr</v>
      </c>
      <c r="B107" s="4">
        <v>106</v>
      </c>
      <c r="C107" s="3">
        <v>21656</v>
      </c>
      <c r="D107" s="4">
        <v>32</v>
      </c>
      <c r="E107" s="15">
        <f t="shared" si="17"/>
        <v>40.511311302665447</v>
      </c>
      <c r="F107" s="8">
        <f t="shared" si="11"/>
        <v>-6.4389941209077932</v>
      </c>
      <c r="G107" s="8">
        <f t="shared" si="12"/>
        <v>6.4389941209077932</v>
      </c>
      <c r="H107" s="8">
        <f t="shared" si="13"/>
        <v>41.460645289085122</v>
      </c>
      <c r="I107" s="5">
        <f t="shared" si="14"/>
        <v>0.20121856627836854</v>
      </c>
      <c r="J107" s="8">
        <f t="shared" si="15"/>
        <v>0.94884596140877553</v>
      </c>
      <c r="K107" s="8">
        <f t="shared" si="16"/>
        <v>38.438994120907793</v>
      </c>
    </row>
    <row r="108" spans="1:11" ht="15.75" customHeight="1">
      <c r="A108" s="4" t="str">
        <f t="shared" si="0"/>
        <v>Apr</v>
      </c>
      <c r="B108" s="4">
        <v>107</v>
      </c>
      <c r="C108" s="3">
        <v>21657</v>
      </c>
      <c r="D108" s="4">
        <v>42</v>
      </c>
      <c r="E108" s="15">
        <f t="shared" si="17"/>
        <v>40.530395856108861</v>
      </c>
      <c r="F108" s="8">
        <f t="shared" si="11"/>
        <v>3.5428975776321394</v>
      </c>
      <c r="G108" s="8">
        <f t="shared" si="12"/>
        <v>3.5428975776321394</v>
      </c>
      <c r="H108" s="8">
        <f t="shared" si="13"/>
        <v>12.552123245591682</v>
      </c>
      <c r="I108" s="5">
        <f t="shared" si="14"/>
        <v>8.4354704229336649E-2</v>
      </c>
      <c r="J108" s="8">
        <f t="shared" si="15"/>
        <v>0.94884596140877553</v>
      </c>
      <c r="K108" s="8">
        <f t="shared" si="16"/>
        <v>38.457102422367861</v>
      </c>
    </row>
    <row r="109" spans="1:11" ht="15.75" customHeight="1">
      <c r="A109" s="4" t="str">
        <f t="shared" si="0"/>
        <v>Apr</v>
      </c>
      <c r="B109" s="4">
        <v>108</v>
      </c>
      <c r="C109" s="3">
        <v>21658</v>
      </c>
      <c r="D109" s="4">
        <v>34</v>
      </c>
      <c r="E109" s="15">
        <f t="shared" si="17"/>
        <v>40.549480409552274</v>
      </c>
      <c r="F109" s="8">
        <f t="shared" si="11"/>
        <v>-4.4752107238279351</v>
      </c>
      <c r="G109" s="8">
        <f t="shared" si="12"/>
        <v>4.4752107238279351</v>
      </c>
      <c r="H109" s="8">
        <f t="shared" si="13"/>
        <v>20.027511022664552</v>
      </c>
      <c r="I109" s="5">
        <f t="shared" si="14"/>
        <v>0.13162384481846867</v>
      </c>
      <c r="J109" s="8">
        <f t="shared" si="15"/>
        <v>0.94884596140877553</v>
      </c>
      <c r="K109" s="8">
        <f t="shared" si="16"/>
        <v>38.475210723827935</v>
      </c>
    </row>
    <row r="110" spans="1:11" ht="15.75" customHeight="1">
      <c r="A110" s="4" t="str">
        <f t="shared" si="0"/>
        <v>Apr</v>
      </c>
      <c r="B110" s="4">
        <v>109</v>
      </c>
      <c r="C110" s="3">
        <v>21659</v>
      </c>
      <c r="D110" s="4">
        <v>46</v>
      </c>
      <c r="E110" s="15">
        <f t="shared" si="17"/>
        <v>40.568564962995687</v>
      </c>
      <c r="F110" s="8">
        <f t="shared" si="11"/>
        <v>7.5066809747119905</v>
      </c>
      <c r="G110" s="8">
        <f t="shared" si="12"/>
        <v>7.5066809747119905</v>
      </c>
      <c r="H110" s="8">
        <f t="shared" si="13"/>
        <v>56.350259256102959</v>
      </c>
      <c r="I110" s="5">
        <f t="shared" si="14"/>
        <v>0.16318871684156502</v>
      </c>
      <c r="J110" s="8">
        <f t="shared" si="15"/>
        <v>0.94884596140877553</v>
      </c>
      <c r="K110" s="8">
        <f t="shared" si="16"/>
        <v>38.49331902528801</v>
      </c>
    </row>
    <row r="111" spans="1:11" ht="15.75" customHeight="1">
      <c r="A111" s="4" t="str">
        <f t="shared" si="0"/>
        <v>Apr</v>
      </c>
      <c r="B111" s="4">
        <v>110</v>
      </c>
      <c r="C111" s="3">
        <v>21660</v>
      </c>
      <c r="D111" s="4">
        <v>30</v>
      </c>
      <c r="E111" s="15">
        <f t="shared" si="17"/>
        <v>40.5876495164391</v>
      </c>
      <c r="F111" s="8">
        <f t="shared" si="11"/>
        <v>-8.511427326748084</v>
      </c>
      <c r="G111" s="8">
        <f t="shared" si="12"/>
        <v>8.511427326748084</v>
      </c>
      <c r="H111" s="8">
        <f t="shared" si="13"/>
        <v>72.444395138514039</v>
      </c>
      <c r="I111" s="5">
        <f t="shared" si="14"/>
        <v>0.28371424422493613</v>
      </c>
      <c r="J111" s="8">
        <f t="shared" si="15"/>
        <v>0.94884596140877553</v>
      </c>
      <c r="K111" s="8">
        <f t="shared" si="16"/>
        <v>38.511427326748084</v>
      </c>
    </row>
    <row r="112" spans="1:11" ht="15.75" customHeight="1">
      <c r="A112" s="4" t="str">
        <f t="shared" si="0"/>
        <v>Apr</v>
      </c>
      <c r="B112" s="4">
        <v>111</v>
      </c>
      <c r="C112" s="3">
        <v>21661</v>
      </c>
      <c r="D112" s="4">
        <v>46</v>
      </c>
      <c r="E112" s="15">
        <f t="shared" si="17"/>
        <v>40.606734069882513</v>
      </c>
      <c r="F112" s="8">
        <f t="shared" si="11"/>
        <v>7.4704643717918486</v>
      </c>
      <c r="G112" s="8">
        <f t="shared" si="12"/>
        <v>7.4704643717918486</v>
      </c>
      <c r="H112" s="8">
        <f t="shared" si="13"/>
        <v>55.807837930211377</v>
      </c>
      <c r="I112" s="5">
        <f t="shared" si="14"/>
        <v>0.1624013993867793</v>
      </c>
      <c r="J112" s="8">
        <f t="shared" si="15"/>
        <v>0.94884596140877553</v>
      </c>
      <c r="K112" s="8">
        <f t="shared" si="16"/>
        <v>38.529535628208151</v>
      </c>
    </row>
    <row r="113" spans="1:11" ht="15.75" customHeight="1">
      <c r="A113" s="4" t="str">
        <f t="shared" si="0"/>
        <v>Apr</v>
      </c>
      <c r="B113" s="4">
        <v>112</v>
      </c>
      <c r="C113" s="3">
        <v>21662</v>
      </c>
      <c r="D113" s="4">
        <v>45</v>
      </c>
      <c r="E113" s="15">
        <f t="shared" si="17"/>
        <v>40.625818623325927</v>
      </c>
      <c r="F113" s="8">
        <f t="shared" si="11"/>
        <v>6.4523560703317742</v>
      </c>
      <c r="G113" s="8">
        <f t="shared" si="12"/>
        <v>6.4523560703317742</v>
      </c>
      <c r="H113" s="8">
        <f t="shared" si="13"/>
        <v>41.632898858347296</v>
      </c>
      <c r="I113" s="5">
        <f t="shared" si="14"/>
        <v>0.1433856904518172</v>
      </c>
      <c r="J113" s="8">
        <f t="shared" si="15"/>
        <v>0.94884596140877553</v>
      </c>
      <c r="K113" s="8">
        <f t="shared" si="16"/>
        <v>38.547643929668226</v>
      </c>
    </row>
    <row r="114" spans="1:11" ht="15.75" customHeight="1">
      <c r="A114" s="4" t="str">
        <f t="shared" si="0"/>
        <v>Apr</v>
      </c>
      <c r="B114" s="4">
        <v>113</v>
      </c>
      <c r="C114" s="3">
        <v>21663</v>
      </c>
      <c r="D114" s="4">
        <v>54</v>
      </c>
      <c r="E114" s="15">
        <f t="shared" si="17"/>
        <v>40.64490317676934</v>
      </c>
      <c r="F114" s="8">
        <f t="shared" si="11"/>
        <v>15.4342477688717</v>
      </c>
      <c r="G114" s="8">
        <f t="shared" si="12"/>
        <v>15.4342477688717</v>
      </c>
      <c r="H114" s="8">
        <f t="shared" si="13"/>
        <v>238.21600419092104</v>
      </c>
      <c r="I114" s="5">
        <f t="shared" si="14"/>
        <v>0.28581940312725368</v>
      </c>
      <c r="J114" s="8">
        <f t="shared" si="15"/>
        <v>0.94884596140877553</v>
      </c>
      <c r="K114" s="8">
        <f t="shared" si="16"/>
        <v>38.5657522311283</v>
      </c>
    </row>
    <row r="115" spans="1:11" ht="15.75" customHeight="1">
      <c r="A115" s="4" t="str">
        <f t="shared" si="0"/>
        <v>Apr</v>
      </c>
      <c r="B115" s="4">
        <v>114</v>
      </c>
      <c r="C115" s="3">
        <v>21664</v>
      </c>
      <c r="D115" s="4">
        <v>34</v>
      </c>
      <c r="E115" s="15">
        <f t="shared" si="17"/>
        <v>40.663987730212753</v>
      </c>
      <c r="F115" s="8">
        <f t="shared" si="11"/>
        <v>-4.5838605325883748</v>
      </c>
      <c r="G115" s="8">
        <f t="shared" si="12"/>
        <v>4.5838605325883748</v>
      </c>
      <c r="H115" s="8">
        <f t="shared" si="13"/>
        <v>21.011777382221378</v>
      </c>
      <c r="I115" s="5">
        <f t="shared" si="14"/>
        <v>0.13481942742906985</v>
      </c>
      <c r="J115" s="8">
        <f t="shared" si="15"/>
        <v>0.94884596140877553</v>
      </c>
      <c r="K115" s="8">
        <f t="shared" si="16"/>
        <v>38.583860532588375</v>
      </c>
    </row>
    <row r="116" spans="1:11" ht="15.75" customHeight="1">
      <c r="A116" s="4" t="str">
        <f t="shared" si="0"/>
        <v>Apr</v>
      </c>
      <c r="B116" s="4">
        <v>115</v>
      </c>
      <c r="C116" s="3">
        <v>21665</v>
      </c>
      <c r="D116" s="4">
        <v>37</v>
      </c>
      <c r="E116" s="15">
        <f t="shared" si="17"/>
        <v>40.683072283656166</v>
      </c>
      <c r="F116" s="8">
        <f t="shared" si="11"/>
        <v>-1.6019688340484421</v>
      </c>
      <c r="G116" s="8">
        <f t="shared" si="12"/>
        <v>1.6019688340484421</v>
      </c>
      <c r="H116" s="8">
        <f t="shared" si="13"/>
        <v>2.5663041452625253</v>
      </c>
      <c r="I116" s="5">
        <f t="shared" si="14"/>
        <v>4.3296454974282222E-2</v>
      </c>
      <c r="J116" s="8">
        <f t="shared" si="15"/>
        <v>0.94884596140877553</v>
      </c>
      <c r="K116" s="8">
        <f t="shared" si="16"/>
        <v>38.601968834048442</v>
      </c>
    </row>
    <row r="117" spans="1:11" ht="15.75" customHeight="1">
      <c r="A117" s="4" t="str">
        <f t="shared" si="0"/>
        <v>Apr</v>
      </c>
      <c r="B117" s="4">
        <v>116</v>
      </c>
      <c r="C117" s="3">
        <v>21666</v>
      </c>
      <c r="D117" s="4">
        <v>35</v>
      </c>
      <c r="E117" s="15">
        <f t="shared" si="17"/>
        <v>40.702156837099579</v>
      </c>
      <c r="F117" s="8">
        <f t="shared" si="11"/>
        <v>-3.6200771355085166</v>
      </c>
      <c r="G117" s="8">
        <f t="shared" si="12"/>
        <v>3.6200771355085166</v>
      </c>
      <c r="H117" s="8">
        <f t="shared" si="13"/>
        <v>13.104958467031548</v>
      </c>
      <c r="I117" s="5">
        <f t="shared" si="14"/>
        <v>0.10343077530024333</v>
      </c>
      <c r="J117" s="8">
        <f t="shared" si="15"/>
        <v>0.94884596140877553</v>
      </c>
      <c r="K117" s="8">
        <f t="shared" si="16"/>
        <v>38.620077135508517</v>
      </c>
    </row>
    <row r="118" spans="1:11" ht="15.75" customHeight="1">
      <c r="A118" s="4" t="str">
        <f t="shared" si="0"/>
        <v>Apr</v>
      </c>
      <c r="B118" s="4">
        <v>117</v>
      </c>
      <c r="C118" s="3">
        <v>21667</v>
      </c>
      <c r="D118" s="4">
        <v>40</v>
      </c>
      <c r="E118" s="15">
        <f t="shared" si="17"/>
        <v>40.721241390542993</v>
      </c>
      <c r="F118" s="8">
        <f t="shared" si="11"/>
        <v>1.3618145630314089</v>
      </c>
      <c r="G118" s="8">
        <f t="shared" si="12"/>
        <v>1.3618145630314089</v>
      </c>
      <c r="H118" s="8">
        <f t="shared" si="13"/>
        <v>1.8545389040844271</v>
      </c>
      <c r="I118" s="5">
        <f t="shared" si="14"/>
        <v>3.404536407578522E-2</v>
      </c>
      <c r="J118" s="8">
        <f t="shared" si="15"/>
        <v>0.94884596140877553</v>
      </c>
      <c r="K118" s="8">
        <f t="shared" si="16"/>
        <v>38.638185436968591</v>
      </c>
    </row>
    <row r="119" spans="1:11" ht="15.75" customHeight="1">
      <c r="A119" s="4" t="str">
        <f t="shared" si="0"/>
        <v>Apr</v>
      </c>
      <c r="B119" s="4">
        <v>118</v>
      </c>
      <c r="C119" s="3">
        <v>21668</v>
      </c>
      <c r="D119" s="4">
        <v>42</v>
      </c>
      <c r="E119" s="15">
        <f t="shared" si="17"/>
        <v>40.740325943986406</v>
      </c>
      <c r="F119" s="8">
        <f t="shared" si="11"/>
        <v>3.3437062615713415</v>
      </c>
      <c r="G119" s="8">
        <f t="shared" si="12"/>
        <v>3.3437062615713415</v>
      </c>
      <c r="H119" s="8">
        <f t="shared" si="13"/>
        <v>11.180371563671397</v>
      </c>
      <c r="I119" s="5">
        <f t="shared" si="14"/>
        <v>7.9612053846936703E-2</v>
      </c>
      <c r="J119" s="8">
        <f t="shared" si="15"/>
        <v>0.94884596140877553</v>
      </c>
      <c r="K119" s="8">
        <f t="shared" si="16"/>
        <v>38.656293738428658</v>
      </c>
    </row>
    <row r="120" spans="1:11" ht="15.75" customHeight="1">
      <c r="A120" s="4" t="str">
        <f t="shared" si="0"/>
        <v>Apr</v>
      </c>
      <c r="B120" s="4">
        <v>119</v>
      </c>
      <c r="C120" s="3">
        <v>21669</v>
      </c>
      <c r="D120" s="4">
        <v>58</v>
      </c>
      <c r="E120" s="15">
        <f t="shared" si="17"/>
        <v>40.759410497429812</v>
      </c>
      <c r="F120" s="8">
        <f t="shared" si="11"/>
        <v>19.325597960111274</v>
      </c>
      <c r="G120" s="8">
        <f t="shared" si="12"/>
        <v>19.325597960111274</v>
      </c>
      <c r="H120" s="8">
        <f t="shared" si="13"/>
        <v>373.47873651585707</v>
      </c>
      <c r="I120" s="5">
        <f t="shared" si="14"/>
        <v>0.3331999648295047</v>
      </c>
      <c r="J120" s="8">
        <f t="shared" si="15"/>
        <v>0.94884596140877553</v>
      </c>
      <c r="K120" s="8">
        <f t="shared" si="16"/>
        <v>38.674402039888726</v>
      </c>
    </row>
    <row r="121" spans="1:11" ht="15.75" customHeight="1">
      <c r="A121" s="4" t="str">
        <f t="shared" si="0"/>
        <v>Apr</v>
      </c>
      <c r="B121" s="4">
        <v>120</v>
      </c>
      <c r="C121" s="3">
        <v>21670</v>
      </c>
      <c r="D121" s="4">
        <v>51</v>
      </c>
      <c r="E121" s="15">
        <f t="shared" si="17"/>
        <v>40.778495050873225</v>
      </c>
      <c r="F121" s="8">
        <f t="shared" si="11"/>
        <v>12.3074896586512</v>
      </c>
      <c r="G121" s="8">
        <f t="shared" si="12"/>
        <v>12.3074896586512</v>
      </c>
      <c r="H121" s="8">
        <f t="shared" si="13"/>
        <v>151.47430169780623</v>
      </c>
      <c r="I121" s="5">
        <f t="shared" si="14"/>
        <v>0.2413233266402196</v>
      </c>
      <c r="J121" s="8">
        <f t="shared" si="15"/>
        <v>0.94884596140877553</v>
      </c>
      <c r="K121" s="8">
        <f t="shared" si="16"/>
        <v>38.6925103413488</v>
      </c>
    </row>
    <row r="122" spans="1:11" ht="15.75" customHeight="1">
      <c r="A122" s="4" t="str">
        <f t="shared" si="0"/>
        <v>May</v>
      </c>
      <c r="B122" s="4">
        <v>121</v>
      </c>
      <c r="C122" s="3">
        <v>21671</v>
      </c>
      <c r="D122" s="4">
        <v>32</v>
      </c>
      <c r="E122" s="15">
        <f t="shared" si="17"/>
        <v>40.797579604316638</v>
      </c>
      <c r="F122" s="8">
        <f t="shared" si="11"/>
        <v>-5.8694242034118886</v>
      </c>
      <c r="G122" s="8">
        <f t="shared" si="12"/>
        <v>5.8694242034118886</v>
      </c>
      <c r="H122" s="8">
        <f t="shared" si="13"/>
        <v>34.45014047959728</v>
      </c>
      <c r="I122" s="5">
        <f t="shared" si="14"/>
        <v>0.18341950635662152</v>
      </c>
      <c r="J122" s="8">
        <f t="shared" si="15"/>
        <v>0.92822722746535358</v>
      </c>
      <c r="K122" s="8">
        <f t="shared" si="16"/>
        <v>37.869424203411889</v>
      </c>
    </row>
    <row r="123" spans="1:11" ht="15.75" customHeight="1">
      <c r="A123" s="4" t="str">
        <f t="shared" si="0"/>
        <v>May</v>
      </c>
      <c r="B123" s="4">
        <v>122</v>
      </c>
      <c r="C123" s="3">
        <v>21672</v>
      </c>
      <c r="D123" s="4">
        <v>35</v>
      </c>
      <c r="E123" s="15">
        <f t="shared" si="17"/>
        <v>40.816664157760052</v>
      </c>
      <c r="F123" s="8">
        <f t="shared" si="11"/>
        <v>-2.8871390055420818</v>
      </c>
      <c r="G123" s="8">
        <f t="shared" si="12"/>
        <v>2.8871390055420818</v>
      </c>
      <c r="H123" s="8">
        <f t="shared" si="13"/>
        <v>8.3355716373225217</v>
      </c>
      <c r="I123" s="5">
        <f t="shared" si="14"/>
        <v>8.2489685872630905E-2</v>
      </c>
      <c r="J123" s="8">
        <f t="shared" si="15"/>
        <v>0.92822722746535358</v>
      </c>
      <c r="K123" s="8">
        <f t="shared" si="16"/>
        <v>37.887139005542082</v>
      </c>
    </row>
    <row r="124" spans="1:11" ht="15.75" customHeight="1">
      <c r="A124" s="4" t="str">
        <f t="shared" si="0"/>
        <v>May</v>
      </c>
      <c r="B124" s="4">
        <v>123</v>
      </c>
      <c r="C124" s="3">
        <v>21673</v>
      </c>
      <c r="D124" s="4">
        <v>38</v>
      </c>
      <c r="E124" s="15">
        <f t="shared" si="17"/>
        <v>40.835748711203465</v>
      </c>
      <c r="F124" s="8">
        <f t="shared" si="11"/>
        <v>9.5146192327725032E-2</v>
      </c>
      <c r="G124" s="8">
        <f t="shared" si="12"/>
        <v>9.5146192327725032E-2</v>
      </c>
      <c r="H124" s="8">
        <f t="shared" si="13"/>
        <v>9.0527979144644413E-3</v>
      </c>
      <c r="I124" s="5">
        <f t="shared" si="14"/>
        <v>2.5038471665190798E-3</v>
      </c>
      <c r="J124" s="8">
        <f t="shared" si="15"/>
        <v>0.92822722746535358</v>
      </c>
      <c r="K124" s="8">
        <f t="shared" si="16"/>
        <v>37.904853807672275</v>
      </c>
    </row>
    <row r="125" spans="1:11" ht="15.75" customHeight="1">
      <c r="A125" s="4" t="str">
        <f t="shared" si="0"/>
        <v>May</v>
      </c>
      <c r="B125" s="4">
        <v>124</v>
      </c>
      <c r="C125" s="3">
        <v>21674</v>
      </c>
      <c r="D125" s="4">
        <v>33</v>
      </c>
      <c r="E125" s="15">
        <f t="shared" si="17"/>
        <v>40.854833264646878</v>
      </c>
      <c r="F125" s="8">
        <f t="shared" si="11"/>
        <v>-4.9225686098024681</v>
      </c>
      <c r="G125" s="8">
        <f t="shared" si="12"/>
        <v>4.9225686098024681</v>
      </c>
      <c r="H125" s="8">
        <f t="shared" si="13"/>
        <v>24.231681718212602</v>
      </c>
      <c r="I125" s="5">
        <f t="shared" si="14"/>
        <v>0.14916874575158995</v>
      </c>
      <c r="J125" s="8">
        <f t="shared" si="15"/>
        <v>0.92822722746535358</v>
      </c>
      <c r="K125" s="8">
        <f t="shared" si="16"/>
        <v>37.922568609802468</v>
      </c>
    </row>
    <row r="126" spans="1:11" ht="15.75" customHeight="1">
      <c r="A126" s="4" t="str">
        <f t="shared" si="0"/>
        <v>May</v>
      </c>
      <c r="B126" s="4">
        <v>125</v>
      </c>
      <c r="C126" s="3">
        <v>21675</v>
      </c>
      <c r="D126" s="4">
        <v>39</v>
      </c>
      <c r="E126" s="15">
        <f t="shared" si="17"/>
        <v>40.873917818090291</v>
      </c>
      <c r="F126" s="8">
        <f t="shared" si="11"/>
        <v>1.0597165880673316</v>
      </c>
      <c r="G126" s="8">
        <f t="shared" si="12"/>
        <v>1.0597165880673316</v>
      </c>
      <c r="H126" s="8">
        <f t="shared" si="13"/>
        <v>1.1229992470250665</v>
      </c>
      <c r="I126" s="5">
        <f t="shared" si="14"/>
        <v>2.7172220206854655E-2</v>
      </c>
      <c r="J126" s="8">
        <f t="shared" si="15"/>
        <v>0.92822722746535358</v>
      </c>
      <c r="K126" s="8">
        <f t="shared" si="16"/>
        <v>37.940283411932668</v>
      </c>
    </row>
    <row r="127" spans="1:11" ht="15.75" customHeight="1">
      <c r="A127" s="4" t="str">
        <f t="shared" si="0"/>
        <v>May</v>
      </c>
      <c r="B127" s="4">
        <v>126</v>
      </c>
      <c r="C127" s="3">
        <v>21676</v>
      </c>
      <c r="D127" s="4">
        <v>47</v>
      </c>
      <c r="E127" s="15">
        <f t="shared" si="17"/>
        <v>40.893002371533704</v>
      </c>
      <c r="F127" s="8">
        <f t="shared" si="11"/>
        <v>9.0420017859371384</v>
      </c>
      <c r="G127" s="8">
        <f t="shared" si="12"/>
        <v>9.0420017859371384</v>
      </c>
      <c r="H127" s="8">
        <f t="shared" si="13"/>
        <v>81.757796296890405</v>
      </c>
      <c r="I127" s="5">
        <f t="shared" si="14"/>
        <v>0.19238301672206679</v>
      </c>
      <c r="J127" s="8">
        <f t="shared" si="15"/>
        <v>0.92822722746535358</v>
      </c>
      <c r="K127" s="8">
        <f t="shared" si="16"/>
        <v>37.957998214062862</v>
      </c>
    </row>
    <row r="128" spans="1:11" ht="15.75" customHeight="1">
      <c r="A128" s="4" t="str">
        <f t="shared" si="0"/>
        <v>May</v>
      </c>
      <c r="B128" s="4">
        <v>127</v>
      </c>
      <c r="C128" s="3">
        <v>21677</v>
      </c>
      <c r="D128" s="4">
        <v>38</v>
      </c>
      <c r="E128" s="15">
        <f t="shared" si="17"/>
        <v>40.912086924977118</v>
      </c>
      <c r="F128" s="8">
        <f t="shared" si="11"/>
        <v>2.4286983806945273E-2</v>
      </c>
      <c r="G128" s="8">
        <f t="shared" si="12"/>
        <v>2.4286983806945273E-2</v>
      </c>
      <c r="H128" s="8">
        <f t="shared" si="13"/>
        <v>5.8985758243882184E-4</v>
      </c>
      <c r="I128" s="5">
        <f t="shared" si="14"/>
        <v>6.3913115281434931E-4</v>
      </c>
      <c r="J128" s="8">
        <f t="shared" si="15"/>
        <v>0.92822722746535358</v>
      </c>
      <c r="K128" s="8">
        <f t="shared" si="16"/>
        <v>37.975713016193055</v>
      </c>
    </row>
    <row r="129" spans="1:11" ht="15.75" customHeight="1">
      <c r="A129" s="4" t="str">
        <f t="shared" si="0"/>
        <v>May</v>
      </c>
      <c r="B129" s="4">
        <v>128</v>
      </c>
      <c r="C129" s="3">
        <v>21678</v>
      </c>
      <c r="D129" s="4">
        <v>52</v>
      </c>
      <c r="E129" s="15">
        <f t="shared" si="17"/>
        <v>40.931171478420531</v>
      </c>
      <c r="F129" s="8">
        <f t="shared" si="11"/>
        <v>14.006572181676752</v>
      </c>
      <c r="G129" s="8">
        <f t="shared" si="12"/>
        <v>14.006572181676752</v>
      </c>
      <c r="H129" s="8">
        <f t="shared" si="13"/>
        <v>196.18406428052106</v>
      </c>
      <c r="I129" s="5">
        <f t="shared" si="14"/>
        <v>0.26935715733993754</v>
      </c>
      <c r="J129" s="8">
        <f t="shared" si="15"/>
        <v>0.92822722746535358</v>
      </c>
      <c r="K129" s="8">
        <f t="shared" si="16"/>
        <v>37.993427818323248</v>
      </c>
    </row>
    <row r="130" spans="1:11" ht="15.75" customHeight="1">
      <c r="A130" s="4" t="str">
        <f t="shared" si="0"/>
        <v>May</v>
      </c>
      <c r="B130" s="4">
        <v>129</v>
      </c>
      <c r="C130" s="3">
        <v>21679</v>
      </c>
      <c r="D130" s="4">
        <v>30</v>
      </c>
      <c r="E130" s="15">
        <f t="shared" si="17"/>
        <v>40.950256031863944</v>
      </c>
      <c r="F130" s="8">
        <f t="shared" si="11"/>
        <v>-8.0111426204534411</v>
      </c>
      <c r="G130" s="8">
        <f t="shared" si="12"/>
        <v>8.0111426204534411</v>
      </c>
      <c r="H130" s="8">
        <f t="shared" si="13"/>
        <v>64.178406085245626</v>
      </c>
      <c r="I130" s="5">
        <f t="shared" si="14"/>
        <v>0.26703808734844803</v>
      </c>
      <c r="J130" s="8">
        <f t="shared" si="15"/>
        <v>0.92822722746535358</v>
      </c>
      <c r="K130" s="8">
        <f t="shared" si="16"/>
        <v>38.011142620453441</v>
      </c>
    </row>
    <row r="131" spans="1:11" ht="15.75" customHeight="1">
      <c r="A131" s="4" t="str">
        <f t="shared" si="0"/>
        <v>May</v>
      </c>
      <c r="B131" s="4">
        <v>130</v>
      </c>
      <c r="C131" s="3">
        <v>21680</v>
      </c>
      <c r="D131" s="4">
        <v>34</v>
      </c>
      <c r="E131" s="15">
        <f t="shared" si="17"/>
        <v>40.96934058530735</v>
      </c>
      <c r="F131" s="8">
        <f t="shared" ref="F131:F194" si="18">D131-K131</f>
        <v>-4.0288574225836271</v>
      </c>
      <c r="G131" s="8">
        <f t="shared" ref="G131:G194" si="19">ABS(F131)</f>
        <v>4.0288574225836271</v>
      </c>
      <c r="H131" s="8">
        <f t="shared" ref="H131:H194" si="20">G131^2</f>
        <v>16.231692131507188</v>
      </c>
      <c r="I131" s="5">
        <f t="shared" ref="I131:I194" si="21">G131/D131</f>
        <v>0.11849580654657726</v>
      </c>
      <c r="J131" s="8">
        <f t="shared" ref="J131:J194" si="22">VLOOKUP(A131,$V$7:$Y$19,4,FALSE)</f>
        <v>0.92822722746535358</v>
      </c>
      <c r="K131" s="8">
        <f t="shared" ref="K131:K194" si="23">E131*J131</f>
        <v>38.028857422583627</v>
      </c>
    </row>
    <row r="132" spans="1:11" ht="15.75" customHeight="1">
      <c r="A132" s="4" t="str">
        <f t="shared" si="0"/>
        <v>May</v>
      </c>
      <c r="B132" s="4">
        <v>131</v>
      </c>
      <c r="C132" s="3">
        <v>21681</v>
      </c>
      <c r="D132" s="4">
        <v>40</v>
      </c>
      <c r="E132" s="15">
        <f t="shared" ref="E132:E195" si="24">$O$2+($O$3*B132)</f>
        <v>40.988425138750763</v>
      </c>
      <c r="F132" s="8">
        <f t="shared" si="18"/>
        <v>1.9534277752861797</v>
      </c>
      <c r="G132" s="8">
        <f t="shared" si="19"/>
        <v>1.9534277752861797</v>
      </c>
      <c r="H132" s="8">
        <f t="shared" si="20"/>
        <v>3.8158800732595135</v>
      </c>
      <c r="I132" s="5">
        <f t="shared" si="21"/>
        <v>4.8835694382154494E-2</v>
      </c>
      <c r="J132" s="8">
        <f t="shared" si="22"/>
        <v>0.92822722746535358</v>
      </c>
      <c r="K132" s="8">
        <f t="shared" si="23"/>
        <v>38.04657222471382</v>
      </c>
    </row>
    <row r="133" spans="1:11" ht="15.75" customHeight="1">
      <c r="A133" s="4" t="str">
        <f t="shared" si="0"/>
        <v>May</v>
      </c>
      <c r="B133" s="4">
        <v>132</v>
      </c>
      <c r="C133" s="3">
        <v>21682</v>
      </c>
      <c r="D133" s="4">
        <v>35</v>
      </c>
      <c r="E133" s="15">
        <f t="shared" si="24"/>
        <v>41.007509692194176</v>
      </c>
      <c r="F133" s="8">
        <f t="shared" si="18"/>
        <v>-3.0642870268440134</v>
      </c>
      <c r="G133" s="8">
        <f t="shared" si="19"/>
        <v>3.0642870268440134</v>
      </c>
      <c r="H133" s="8">
        <f t="shared" si="20"/>
        <v>9.3898549828845237</v>
      </c>
      <c r="I133" s="5">
        <f t="shared" si="21"/>
        <v>8.755105790982895E-2</v>
      </c>
      <c r="J133" s="8">
        <f t="shared" si="22"/>
        <v>0.92822722746535358</v>
      </c>
      <c r="K133" s="8">
        <f t="shared" si="23"/>
        <v>38.064287026844013</v>
      </c>
    </row>
    <row r="134" spans="1:11" ht="15.75" customHeight="1">
      <c r="A134" s="4" t="str">
        <f t="shared" si="0"/>
        <v>May</v>
      </c>
      <c r="B134" s="4">
        <v>133</v>
      </c>
      <c r="C134" s="3">
        <v>21683</v>
      </c>
      <c r="D134" s="4">
        <v>42</v>
      </c>
      <c r="E134" s="15">
        <f t="shared" si="24"/>
        <v>41.02659424563759</v>
      </c>
      <c r="F134" s="8">
        <f t="shared" si="18"/>
        <v>3.9179981710257934</v>
      </c>
      <c r="G134" s="8">
        <f t="shared" si="19"/>
        <v>3.9179981710257934</v>
      </c>
      <c r="H134" s="8">
        <f t="shared" si="20"/>
        <v>15.350709668161462</v>
      </c>
      <c r="I134" s="5">
        <f t="shared" si="21"/>
        <v>9.3285670738709373E-2</v>
      </c>
      <c r="J134" s="8">
        <f t="shared" si="22"/>
        <v>0.92822722746535358</v>
      </c>
      <c r="K134" s="8">
        <f t="shared" si="23"/>
        <v>38.082001828974207</v>
      </c>
    </row>
    <row r="135" spans="1:11" ht="15.75" customHeight="1">
      <c r="A135" s="4" t="str">
        <f t="shared" si="0"/>
        <v>May</v>
      </c>
      <c r="B135" s="4">
        <v>134</v>
      </c>
      <c r="C135" s="3">
        <v>21684</v>
      </c>
      <c r="D135" s="4">
        <v>41</v>
      </c>
      <c r="E135" s="15">
        <f t="shared" si="24"/>
        <v>41.045678799081003</v>
      </c>
      <c r="F135" s="8">
        <f t="shared" si="18"/>
        <v>2.9002833688956002</v>
      </c>
      <c r="G135" s="8">
        <f t="shared" si="19"/>
        <v>2.9002833688956002</v>
      </c>
      <c r="H135" s="8">
        <f t="shared" si="20"/>
        <v>8.4116436198924127</v>
      </c>
      <c r="I135" s="5">
        <f t="shared" si="21"/>
        <v>7.0738618753551225E-2</v>
      </c>
      <c r="J135" s="8">
        <f t="shared" si="22"/>
        <v>0.92822722746535358</v>
      </c>
      <c r="K135" s="8">
        <f t="shared" si="23"/>
        <v>38.0997166311044</v>
      </c>
    </row>
    <row r="136" spans="1:11" ht="15.75" customHeight="1">
      <c r="A136" s="4" t="str">
        <f t="shared" si="0"/>
        <v>May</v>
      </c>
      <c r="B136" s="4">
        <v>135</v>
      </c>
      <c r="C136" s="3">
        <v>21685</v>
      </c>
      <c r="D136" s="4">
        <v>42</v>
      </c>
      <c r="E136" s="15">
        <f t="shared" si="24"/>
        <v>41.064763352524416</v>
      </c>
      <c r="F136" s="8">
        <f t="shared" si="18"/>
        <v>3.8825685667654</v>
      </c>
      <c r="G136" s="8">
        <f t="shared" si="19"/>
        <v>3.8825685667654</v>
      </c>
      <c r="H136" s="8">
        <f t="shared" si="20"/>
        <v>15.074338675634731</v>
      </c>
      <c r="I136" s="5">
        <f t="shared" si="21"/>
        <v>9.244210873250952E-2</v>
      </c>
      <c r="J136" s="8">
        <f t="shared" si="22"/>
        <v>0.92822722746535358</v>
      </c>
      <c r="K136" s="8">
        <f t="shared" si="23"/>
        <v>38.1174314332346</v>
      </c>
    </row>
    <row r="137" spans="1:11" ht="15.75" customHeight="1">
      <c r="A137" s="4" t="str">
        <f t="shared" si="0"/>
        <v>May</v>
      </c>
      <c r="B137" s="4">
        <v>136</v>
      </c>
      <c r="C137" s="3">
        <v>21686</v>
      </c>
      <c r="D137" s="4">
        <v>38</v>
      </c>
      <c r="E137" s="15">
        <f t="shared" si="24"/>
        <v>41.083847905967829</v>
      </c>
      <c r="F137" s="8">
        <f t="shared" si="18"/>
        <v>-0.1351462353647932</v>
      </c>
      <c r="G137" s="8">
        <f t="shared" si="19"/>
        <v>0.1351462353647932</v>
      </c>
      <c r="H137" s="8">
        <f t="shared" si="20"/>
        <v>1.8264504933276079E-2</v>
      </c>
      <c r="I137" s="5">
        <f t="shared" si="21"/>
        <v>3.5564798780208739E-3</v>
      </c>
      <c r="J137" s="8">
        <f t="shared" si="22"/>
        <v>0.92822722746535358</v>
      </c>
      <c r="K137" s="8">
        <f t="shared" si="23"/>
        <v>38.135146235364793</v>
      </c>
    </row>
    <row r="138" spans="1:11" ht="15.75" customHeight="1">
      <c r="A138" s="4" t="str">
        <f t="shared" si="0"/>
        <v>May</v>
      </c>
      <c r="B138" s="4">
        <v>137</v>
      </c>
      <c r="C138" s="3">
        <v>21687</v>
      </c>
      <c r="D138" s="4">
        <v>24</v>
      </c>
      <c r="E138" s="15">
        <f t="shared" si="24"/>
        <v>41.102932459411242</v>
      </c>
      <c r="F138" s="8">
        <f t="shared" si="18"/>
        <v>-14.152861037494986</v>
      </c>
      <c r="G138" s="8">
        <f t="shared" si="19"/>
        <v>14.152861037494986</v>
      </c>
      <c r="H138" s="8">
        <f t="shared" si="20"/>
        <v>200.30347554664365</v>
      </c>
      <c r="I138" s="5">
        <f t="shared" si="21"/>
        <v>0.58970254322895777</v>
      </c>
      <c r="J138" s="8">
        <f t="shared" si="22"/>
        <v>0.92822722746535358</v>
      </c>
      <c r="K138" s="8">
        <f t="shared" si="23"/>
        <v>38.152861037494986</v>
      </c>
    </row>
    <row r="139" spans="1:11" ht="15.75" customHeight="1">
      <c r="A139" s="4" t="str">
        <f t="shared" si="0"/>
        <v>May</v>
      </c>
      <c r="B139" s="4">
        <v>138</v>
      </c>
      <c r="C139" s="3">
        <v>21688</v>
      </c>
      <c r="D139" s="4">
        <v>34</v>
      </c>
      <c r="E139" s="15">
        <f t="shared" si="24"/>
        <v>41.122017012854656</v>
      </c>
      <c r="F139" s="8">
        <f t="shared" si="18"/>
        <v>-4.1705758396251795</v>
      </c>
      <c r="G139" s="8">
        <f t="shared" si="19"/>
        <v>4.1705758396251795</v>
      </c>
      <c r="H139" s="8">
        <f t="shared" si="20"/>
        <v>17.39370283406527</v>
      </c>
      <c r="I139" s="5">
        <f t="shared" si="21"/>
        <v>0.12266399528309352</v>
      </c>
      <c r="J139" s="8">
        <f t="shared" si="22"/>
        <v>0.92822722746535358</v>
      </c>
      <c r="K139" s="8">
        <f t="shared" si="23"/>
        <v>38.17057583962518</v>
      </c>
    </row>
    <row r="140" spans="1:11" ht="15.75" customHeight="1">
      <c r="A140" s="4" t="str">
        <f t="shared" si="0"/>
        <v>May</v>
      </c>
      <c r="B140" s="4">
        <v>139</v>
      </c>
      <c r="C140" s="3">
        <v>21689</v>
      </c>
      <c r="D140" s="4">
        <v>43</v>
      </c>
      <c r="E140" s="15">
        <f t="shared" si="24"/>
        <v>41.141101566298069</v>
      </c>
      <c r="F140" s="8">
        <f t="shared" si="18"/>
        <v>4.8117093582446273</v>
      </c>
      <c r="G140" s="8">
        <f t="shared" si="19"/>
        <v>4.8117093582446273</v>
      </c>
      <c r="H140" s="8">
        <f t="shared" si="20"/>
        <v>23.152546948218923</v>
      </c>
      <c r="I140" s="5">
        <f t="shared" si="21"/>
        <v>0.11190021763359598</v>
      </c>
      <c r="J140" s="8">
        <f t="shared" si="22"/>
        <v>0.92822722746535358</v>
      </c>
      <c r="K140" s="8">
        <f t="shared" si="23"/>
        <v>38.188290641755373</v>
      </c>
    </row>
    <row r="141" spans="1:11" ht="15.75" customHeight="1">
      <c r="A141" s="4" t="str">
        <f t="shared" si="0"/>
        <v>May</v>
      </c>
      <c r="B141" s="4">
        <v>140</v>
      </c>
      <c r="C141" s="3">
        <v>21690</v>
      </c>
      <c r="D141" s="4">
        <v>36</v>
      </c>
      <c r="E141" s="15">
        <f t="shared" si="24"/>
        <v>41.160186119741482</v>
      </c>
      <c r="F141" s="8">
        <f t="shared" si="18"/>
        <v>-2.2060054438855659</v>
      </c>
      <c r="G141" s="8">
        <f t="shared" si="19"/>
        <v>2.2060054438855659</v>
      </c>
      <c r="H141" s="8">
        <f t="shared" si="20"/>
        <v>4.8664600184527522</v>
      </c>
      <c r="I141" s="5">
        <f t="shared" si="21"/>
        <v>6.1277928996821274E-2</v>
      </c>
      <c r="J141" s="8">
        <f t="shared" si="22"/>
        <v>0.92822722746535358</v>
      </c>
      <c r="K141" s="8">
        <f t="shared" si="23"/>
        <v>38.206005443885566</v>
      </c>
    </row>
    <row r="142" spans="1:11" ht="15.75" customHeight="1">
      <c r="A142" s="4" t="str">
        <f t="shared" si="0"/>
        <v>May</v>
      </c>
      <c r="B142" s="4">
        <v>141</v>
      </c>
      <c r="C142" s="3">
        <v>21691</v>
      </c>
      <c r="D142" s="4">
        <v>55</v>
      </c>
      <c r="E142" s="15">
        <f t="shared" si="24"/>
        <v>41.179270673184895</v>
      </c>
      <c r="F142" s="8">
        <f t="shared" si="18"/>
        <v>16.776279753984241</v>
      </c>
      <c r="G142" s="8">
        <f t="shared" si="19"/>
        <v>16.776279753984241</v>
      </c>
      <c r="H142" s="8">
        <f t="shared" si="20"/>
        <v>281.44356238394153</v>
      </c>
      <c r="I142" s="5">
        <f t="shared" si="21"/>
        <v>0.30502326825425891</v>
      </c>
      <c r="J142" s="8">
        <f t="shared" si="22"/>
        <v>0.92822722746535358</v>
      </c>
      <c r="K142" s="8">
        <f t="shared" si="23"/>
        <v>38.223720246015759</v>
      </c>
    </row>
    <row r="143" spans="1:11" ht="15.75" customHeight="1">
      <c r="A143" s="4" t="str">
        <f t="shared" si="0"/>
        <v>May</v>
      </c>
      <c r="B143" s="4">
        <v>142</v>
      </c>
      <c r="C143" s="3">
        <v>21692</v>
      </c>
      <c r="D143" s="4">
        <v>41</v>
      </c>
      <c r="E143" s="15">
        <f t="shared" si="24"/>
        <v>41.198355226628308</v>
      </c>
      <c r="F143" s="8">
        <f t="shared" si="18"/>
        <v>2.7585649518540478</v>
      </c>
      <c r="G143" s="8">
        <f t="shared" si="19"/>
        <v>2.7585649518540478</v>
      </c>
      <c r="H143" s="8">
        <f t="shared" si="20"/>
        <v>7.6096805935975249</v>
      </c>
      <c r="I143" s="5">
        <f t="shared" si="21"/>
        <v>6.7282071996440193E-2</v>
      </c>
      <c r="J143" s="8">
        <f t="shared" si="22"/>
        <v>0.92822722746535358</v>
      </c>
      <c r="K143" s="8">
        <f t="shared" si="23"/>
        <v>38.241435048145952</v>
      </c>
    </row>
    <row r="144" spans="1:11" ht="15.75" customHeight="1">
      <c r="A144" s="4" t="str">
        <f t="shared" si="0"/>
        <v>May</v>
      </c>
      <c r="B144" s="4">
        <v>143</v>
      </c>
      <c r="C144" s="3">
        <v>21693</v>
      </c>
      <c r="D144" s="4">
        <v>45</v>
      </c>
      <c r="E144" s="15">
        <f t="shared" si="24"/>
        <v>41.217439780071714</v>
      </c>
      <c r="F144" s="8">
        <f t="shared" si="18"/>
        <v>6.7408501497238618</v>
      </c>
      <c r="G144" s="8">
        <f t="shared" si="19"/>
        <v>6.7408501497238618</v>
      </c>
      <c r="H144" s="8">
        <f t="shared" si="20"/>
        <v>45.439060741032208</v>
      </c>
      <c r="I144" s="5">
        <f t="shared" si="21"/>
        <v>0.1497966699938636</v>
      </c>
      <c r="J144" s="8">
        <f t="shared" si="22"/>
        <v>0.92822722746535358</v>
      </c>
      <c r="K144" s="8">
        <f t="shared" si="23"/>
        <v>38.259149850276138</v>
      </c>
    </row>
    <row r="145" spans="1:11" ht="15.75" customHeight="1">
      <c r="A145" s="4" t="str">
        <f t="shared" si="0"/>
        <v>May</v>
      </c>
      <c r="B145" s="4">
        <v>144</v>
      </c>
      <c r="C145" s="3">
        <v>21694</v>
      </c>
      <c r="D145" s="4">
        <v>41</v>
      </c>
      <c r="E145" s="15">
        <f t="shared" si="24"/>
        <v>41.236524333515128</v>
      </c>
      <c r="F145" s="8">
        <f t="shared" si="18"/>
        <v>2.7231353475936686</v>
      </c>
      <c r="G145" s="8">
        <f t="shared" si="19"/>
        <v>2.7231353475936686</v>
      </c>
      <c r="H145" s="8">
        <f t="shared" si="20"/>
        <v>7.4154661213140907</v>
      </c>
      <c r="I145" s="5">
        <f t="shared" si="21"/>
        <v>6.6417935307162654E-2</v>
      </c>
      <c r="J145" s="8">
        <f t="shared" si="22"/>
        <v>0.92822722746535358</v>
      </c>
      <c r="K145" s="8">
        <f t="shared" si="23"/>
        <v>38.276864652406331</v>
      </c>
    </row>
    <row r="146" spans="1:11" ht="15.75" customHeight="1">
      <c r="A146" s="4" t="str">
        <f t="shared" si="0"/>
        <v>May</v>
      </c>
      <c r="B146" s="4">
        <v>145</v>
      </c>
      <c r="C146" s="3">
        <v>21695</v>
      </c>
      <c r="D146" s="4">
        <v>37</v>
      </c>
      <c r="E146" s="15">
        <f t="shared" si="24"/>
        <v>41.255608886958541</v>
      </c>
      <c r="F146" s="8">
        <f t="shared" si="18"/>
        <v>-1.2945794545365246</v>
      </c>
      <c r="G146" s="8">
        <f t="shared" si="19"/>
        <v>1.2945794545365246</v>
      </c>
      <c r="H146" s="8">
        <f t="shared" si="20"/>
        <v>1.6759359641080855</v>
      </c>
      <c r="I146" s="5">
        <f t="shared" si="21"/>
        <v>3.4988633906392556E-2</v>
      </c>
      <c r="J146" s="8">
        <f t="shared" si="22"/>
        <v>0.92822722746535358</v>
      </c>
      <c r="K146" s="8">
        <f t="shared" si="23"/>
        <v>38.294579454536525</v>
      </c>
    </row>
    <row r="147" spans="1:11" ht="15.75" customHeight="1">
      <c r="A147" s="4" t="str">
        <f t="shared" si="0"/>
        <v>May</v>
      </c>
      <c r="B147" s="4">
        <v>146</v>
      </c>
      <c r="C147" s="3">
        <v>21696</v>
      </c>
      <c r="D147" s="4">
        <v>43</v>
      </c>
      <c r="E147" s="15">
        <f t="shared" si="24"/>
        <v>41.274693440401954</v>
      </c>
      <c r="F147" s="8">
        <f t="shared" si="18"/>
        <v>4.6877057433332752</v>
      </c>
      <c r="G147" s="8">
        <f t="shared" si="19"/>
        <v>4.6877057433332752</v>
      </c>
      <c r="H147" s="8">
        <f t="shared" si="20"/>
        <v>21.974585136079774</v>
      </c>
      <c r="I147" s="5">
        <f t="shared" si="21"/>
        <v>0.10901641263565756</v>
      </c>
      <c r="J147" s="8">
        <f t="shared" si="22"/>
        <v>0.92822722746535358</v>
      </c>
      <c r="K147" s="8">
        <f t="shared" si="23"/>
        <v>38.312294256666725</v>
      </c>
    </row>
    <row r="148" spans="1:11" ht="15.75" customHeight="1">
      <c r="A148" s="4" t="str">
        <f t="shared" si="0"/>
        <v>May</v>
      </c>
      <c r="B148" s="4">
        <v>147</v>
      </c>
      <c r="C148" s="3">
        <v>21697</v>
      </c>
      <c r="D148" s="4">
        <v>39</v>
      </c>
      <c r="E148" s="15">
        <f t="shared" si="24"/>
        <v>41.293777993845367</v>
      </c>
      <c r="F148" s="8">
        <f t="shared" si="18"/>
        <v>0.669990941203082</v>
      </c>
      <c r="G148" s="8">
        <f t="shared" si="19"/>
        <v>0.669990941203082</v>
      </c>
      <c r="H148" s="8">
        <f t="shared" si="20"/>
        <v>0.44888786129419167</v>
      </c>
      <c r="I148" s="5">
        <f t="shared" si="21"/>
        <v>1.7179254902643128E-2</v>
      </c>
      <c r="J148" s="8">
        <f t="shared" si="22"/>
        <v>0.92822722746535358</v>
      </c>
      <c r="K148" s="8">
        <f t="shared" si="23"/>
        <v>38.330009058796918</v>
      </c>
    </row>
    <row r="149" spans="1:11" ht="15.75" customHeight="1">
      <c r="A149" s="4" t="str">
        <f t="shared" si="0"/>
        <v>May</v>
      </c>
      <c r="B149" s="4">
        <v>148</v>
      </c>
      <c r="C149" s="3">
        <v>21698</v>
      </c>
      <c r="D149" s="4">
        <v>33</v>
      </c>
      <c r="E149" s="15">
        <f t="shared" si="24"/>
        <v>41.31286254728878</v>
      </c>
      <c r="F149" s="8">
        <f t="shared" si="18"/>
        <v>-5.3477238609271112</v>
      </c>
      <c r="G149" s="8">
        <f t="shared" si="19"/>
        <v>5.3477238609271112</v>
      </c>
      <c r="H149" s="8">
        <f t="shared" si="20"/>
        <v>28.598150492729168</v>
      </c>
      <c r="I149" s="5">
        <f t="shared" si="21"/>
        <v>0.16205223820991246</v>
      </c>
      <c r="J149" s="8">
        <f t="shared" si="22"/>
        <v>0.92822722746535358</v>
      </c>
      <c r="K149" s="8">
        <f t="shared" si="23"/>
        <v>38.347723860927111</v>
      </c>
    </row>
    <row r="150" spans="1:11" ht="15.75" customHeight="1">
      <c r="A150" s="4" t="str">
        <f t="shared" si="0"/>
        <v>May</v>
      </c>
      <c r="B150" s="4">
        <v>149</v>
      </c>
      <c r="C150" s="3">
        <v>21699</v>
      </c>
      <c r="D150" s="4">
        <v>43</v>
      </c>
      <c r="E150" s="15">
        <f t="shared" si="24"/>
        <v>41.331947100732194</v>
      </c>
      <c r="F150" s="8">
        <f t="shared" si="18"/>
        <v>4.6345613369426957</v>
      </c>
      <c r="G150" s="8">
        <f t="shared" si="19"/>
        <v>4.6345613369426957</v>
      </c>
      <c r="H150" s="8">
        <f t="shared" si="20"/>
        <v>21.479158785884067</v>
      </c>
      <c r="I150" s="5">
        <f t="shared" si="21"/>
        <v>0.10778049620796967</v>
      </c>
      <c r="J150" s="8">
        <f t="shared" si="22"/>
        <v>0.92822722746535358</v>
      </c>
      <c r="K150" s="8">
        <f t="shared" si="23"/>
        <v>38.365438663057304</v>
      </c>
    </row>
    <row r="151" spans="1:11" ht="15.75" customHeight="1">
      <c r="A151" s="4" t="str">
        <f t="shared" si="0"/>
        <v>May</v>
      </c>
      <c r="B151" s="4">
        <v>150</v>
      </c>
      <c r="C151" s="3">
        <v>21700</v>
      </c>
      <c r="D151" s="4">
        <v>40</v>
      </c>
      <c r="E151" s="15">
        <f t="shared" si="24"/>
        <v>41.351031654175607</v>
      </c>
      <c r="F151" s="8">
        <f t="shared" si="18"/>
        <v>1.6168465348125025</v>
      </c>
      <c r="G151" s="8">
        <f t="shared" si="19"/>
        <v>1.6168465348125025</v>
      </c>
      <c r="H151" s="8">
        <f t="shared" si="20"/>
        <v>2.6141927171351971</v>
      </c>
      <c r="I151" s="5">
        <f t="shared" si="21"/>
        <v>4.0421163370312561E-2</v>
      </c>
      <c r="J151" s="8">
        <f t="shared" si="22"/>
        <v>0.92822722746535358</v>
      </c>
      <c r="K151" s="8">
        <f t="shared" si="23"/>
        <v>38.383153465187497</v>
      </c>
    </row>
    <row r="152" spans="1:11" ht="15.75" customHeight="1">
      <c r="A152" s="4" t="str">
        <f t="shared" si="0"/>
        <v>May</v>
      </c>
      <c r="B152" s="4">
        <v>151</v>
      </c>
      <c r="C152" s="3">
        <v>21701</v>
      </c>
      <c r="D152" s="4">
        <v>38</v>
      </c>
      <c r="E152" s="15">
        <f t="shared" si="24"/>
        <v>41.37011620761902</v>
      </c>
      <c r="F152" s="8">
        <f t="shared" si="18"/>
        <v>-0.40086826731769065</v>
      </c>
      <c r="G152" s="8">
        <f t="shared" si="19"/>
        <v>0.40086826731769065</v>
      </c>
      <c r="H152" s="8">
        <f t="shared" si="20"/>
        <v>0.16069536774228749</v>
      </c>
      <c r="I152" s="5">
        <f t="shared" si="21"/>
        <v>1.0549164929412913E-2</v>
      </c>
      <c r="J152" s="8">
        <f t="shared" si="22"/>
        <v>0.92822722746535358</v>
      </c>
      <c r="K152" s="8">
        <f t="shared" si="23"/>
        <v>38.400868267317691</v>
      </c>
    </row>
    <row r="153" spans="1:11" ht="15.75" customHeight="1">
      <c r="A153" s="4" t="str">
        <f t="shared" si="0"/>
        <v>Jun</v>
      </c>
      <c r="B153" s="4">
        <v>152</v>
      </c>
      <c r="C153" s="3">
        <v>21702</v>
      </c>
      <c r="D153" s="4">
        <v>45</v>
      </c>
      <c r="E153" s="15">
        <f t="shared" si="24"/>
        <v>41.389200761062433</v>
      </c>
      <c r="F153" s="8">
        <f t="shared" si="18"/>
        <v>5.1693431819730691</v>
      </c>
      <c r="G153" s="8">
        <f t="shared" si="19"/>
        <v>5.1693431819730691</v>
      </c>
      <c r="H153" s="8">
        <f t="shared" si="20"/>
        <v>26.722108933011455</v>
      </c>
      <c r="I153" s="5">
        <f t="shared" si="21"/>
        <v>0.11487429293273486</v>
      </c>
      <c r="J153" s="8">
        <f t="shared" si="22"/>
        <v>0.96234418847484171</v>
      </c>
      <c r="K153" s="8">
        <f t="shared" si="23"/>
        <v>39.830656818026931</v>
      </c>
    </row>
    <row r="154" spans="1:11" ht="15.75" customHeight="1">
      <c r="A154" s="4" t="str">
        <f t="shared" si="0"/>
        <v>Jun</v>
      </c>
      <c r="B154" s="4">
        <v>153</v>
      </c>
      <c r="C154" s="3">
        <v>21703</v>
      </c>
      <c r="D154" s="4">
        <v>46</v>
      </c>
      <c r="E154" s="15">
        <f t="shared" si="24"/>
        <v>41.408285314505846</v>
      </c>
      <c r="F154" s="8">
        <f t="shared" si="18"/>
        <v>6.1509772728771637</v>
      </c>
      <c r="G154" s="8">
        <f t="shared" si="19"/>
        <v>6.1509772728771637</v>
      </c>
      <c r="H154" s="8">
        <f t="shared" si="20"/>
        <v>37.834521411451391</v>
      </c>
      <c r="I154" s="5">
        <f t="shared" si="21"/>
        <v>0.13371689723646007</v>
      </c>
      <c r="J154" s="8">
        <f t="shared" si="22"/>
        <v>0.96234418847484171</v>
      </c>
      <c r="K154" s="8">
        <f t="shared" si="23"/>
        <v>39.849022727122836</v>
      </c>
    </row>
    <row r="155" spans="1:11" ht="15.75" customHeight="1">
      <c r="A155" s="4" t="str">
        <f t="shared" si="0"/>
        <v>Jun</v>
      </c>
      <c r="B155" s="4">
        <v>154</v>
      </c>
      <c r="C155" s="3">
        <v>21704</v>
      </c>
      <c r="D155" s="4">
        <v>34</v>
      </c>
      <c r="E155" s="15">
        <f t="shared" si="24"/>
        <v>41.42736986794926</v>
      </c>
      <c r="F155" s="8">
        <f t="shared" si="18"/>
        <v>-5.8673886362187417</v>
      </c>
      <c r="G155" s="8">
        <f t="shared" si="19"/>
        <v>5.8673886362187417</v>
      </c>
      <c r="H155" s="8">
        <f t="shared" si="20"/>
        <v>34.426249408428824</v>
      </c>
      <c r="I155" s="5">
        <f t="shared" si="21"/>
        <v>0.17257025400643358</v>
      </c>
      <c r="J155" s="8">
        <f t="shared" si="22"/>
        <v>0.96234418847484171</v>
      </c>
      <c r="K155" s="8">
        <f t="shared" si="23"/>
        <v>39.867388636218742</v>
      </c>
    </row>
    <row r="156" spans="1:11" ht="15.75" customHeight="1">
      <c r="A156" s="4" t="str">
        <f t="shared" si="0"/>
        <v>Jun</v>
      </c>
      <c r="B156" s="4">
        <v>155</v>
      </c>
      <c r="C156" s="3">
        <v>21705</v>
      </c>
      <c r="D156" s="4">
        <v>35</v>
      </c>
      <c r="E156" s="15">
        <f t="shared" si="24"/>
        <v>41.446454421392673</v>
      </c>
      <c r="F156" s="8">
        <f t="shared" si="18"/>
        <v>-4.8857545453146471</v>
      </c>
      <c r="G156" s="8">
        <f t="shared" si="19"/>
        <v>4.8857545453146471</v>
      </c>
      <c r="H156" s="8">
        <f t="shared" si="20"/>
        <v>23.870597477062734</v>
      </c>
      <c r="I156" s="5">
        <f t="shared" si="21"/>
        <v>0.13959298700898992</v>
      </c>
      <c r="J156" s="8">
        <f t="shared" si="22"/>
        <v>0.96234418847484171</v>
      </c>
      <c r="K156" s="8">
        <f t="shared" si="23"/>
        <v>39.885754545314647</v>
      </c>
    </row>
    <row r="157" spans="1:11" ht="15.75" customHeight="1">
      <c r="A157" s="4" t="str">
        <f t="shared" si="0"/>
        <v>Jun</v>
      </c>
      <c r="B157" s="4">
        <v>156</v>
      </c>
      <c r="C157" s="3">
        <v>21706</v>
      </c>
      <c r="D157" s="4">
        <v>48</v>
      </c>
      <c r="E157" s="15">
        <f t="shared" si="24"/>
        <v>41.465538974836079</v>
      </c>
      <c r="F157" s="8">
        <f t="shared" si="18"/>
        <v>8.0958795455894546</v>
      </c>
      <c r="G157" s="8">
        <f t="shared" si="19"/>
        <v>8.0958795455894546</v>
      </c>
      <c r="H157" s="8">
        <f t="shared" si="20"/>
        <v>65.543265616693716</v>
      </c>
      <c r="I157" s="5">
        <f t="shared" si="21"/>
        <v>0.16866415719978031</v>
      </c>
      <c r="J157" s="8">
        <f t="shared" si="22"/>
        <v>0.96234418847484171</v>
      </c>
      <c r="K157" s="8">
        <f t="shared" si="23"/>
        <v>39.904120454410545</v>
      </c>
    </row>
    <row r="158" spans="1:11" ht="15.75" customHeight="1">
      <c r="A158" s="4" t="str">
        <f t="shared" si="0"/>
        <v>Jun</v>
      </c>
      <c r="B158" s="4">
        <v>157</v>
      </c>
      <c r="C158" s="3">
        <v>21707</v>
      </c>
      <c r="D158" s="4">
        <v>51</v>
      </c>
      <c r="E158" s="15">
        <f t="shared" si="24"/>
        <v>41.484623528279492</v>
      </c>
      <c r="F158" s="8">
        <f t="shared" si="18"/>
        <v>11.077513636493549</v>
      </c>
      <c r="G158" s="8">
        <f t="shared" si="19"/>
        <v>11.077513636493549</v>
      </c>
      <c r="H158" s="8">
        <f t="shared" si="20"/>
        <v>122.71130836670054</v>
      </c>
      <c r="I158" s="5">
        <f t="shared" si="21"/>
        <v>0.21720614973516764</v>
      </c>
      <c r="J158" s="8">
        <f t="shared" si="22"/>
        <v>0.96234418847484171</v>
      </c>
      <c r="K158" s="8">
        <f t="shared" si="23"/>
        <v>39.922486363506451</v>
      </c>
    </row>
    <row r="159" spans="1:11" ht="15.75" customHeight="1">
      <c r="A159" s="4" t="str">
        <f t="shared" si="0"/>
        <v>Jun</v>
      </c>
      <c r="B159" s="4">
        <v>158</v>
      </c>
      <c r="C159" s="3">
        <v>21708</v>
      </c>
      <c r="D159" s="4">
        <v>36</v>
      </c>
      <c r="E159" s="15">
        <f t="shared" si="24"/>
        <v>41.503708081722905</v>
      </c>
      <c r="F159" s="8">
        <f t="shared" si="18"/>
        <v>-3.9408522726023563</v>
      </c>
      <c r="G159" s="8">
        <f t="shared" si="19"/>
        <v>3.9408522726023563</v>
      </c>
      <c r="H159" s="8">
        <f t="shared" si="20"/>
        <v>15.530316634475156</v>
      </c>
      <c r="I159" s="5">
        <f t="shared" si="21"/>
        <v>0.10946811868339879</v>
      </c>
      <c r="J159" s="8">
        <f t="shared" si="22"/>
        <v>0.96234418847484171</v>
      </c>
      <c r="K159" s="8">
        <f t="shared" si="23"/>
        <v>39.940852272602356</v>
      </c>
    </row>
    <row r="160" spans="1:11" ht="15.75" customHeight="1">
      <c r="A160" s="4" t="str">
        <f t="shared" si="0"/>
        <v>Jun</v>
      </c>
      <c r="B160" s="4">
        <v>159</v>
      </c>
      <c r="C160" s="3">
        <v>21709</v>
      </c>
      <c r="D160" s="4">
        <v>33</v>
      </c>
      <c r="E160" s="15">
        <f t="shared" si="24"/>
        <v>41.522792635166319</v>
      </c>
      <c r="F160" s="8">
        <f t="shared" si="18"/>
        <v>-6.9592181816982617</v>
      </c>
      <c r="G160" s="8">
        <f t="shared" si="19"/>
        <v>6.9592181816982617</v>
      </c>
      <c r="H160" s="8">
        <f t="shared" si="20"/>
        <v>48.430717700479661</v>
      </c>
      <c r="I160" s="5">
        <f t="shared" si="21"/>
        <v>0.21088539944540186</v>
      </c>
      <c r="J160" s="8">
        <f t="shared" si="22"/>
        <v>0.96234418847484171</v>
      </c>
      <c r="K160" s="8">
        <f t="shared" si="23"/>
        <v>39.959218181698262</v>
      </c>
    </row>
    <row r="161" spans="1:11" ht="15.75" customHeight="1">
      <c r="A161" s="4" t="str">
        <f t="shared" si="0"/>
        <v>Jun</v>
      </c>
      <c r="B161" s="4">
        <v>160</v>
      </c>
      <c r="C161" s="3">
        <v>21710</v>
      </c>
      <c r="D161" s="4">
        <v>46</v>
      </c>
      <c r="E161" s="15">
        <f t="shared" si="24"/>
        <v>41.541877188609732</v>
      </c>
      <c r="F161" s="8">
        <f t="shared" si="18"/>
        <v>6.0224159092058258</v>
      </c>
      <c r="G161" s="8">
        <f t="shared" si="19"/>
        <v>6.0224159092058258</v>
      </c>
      <c r="H161" s="8">
        <f t="shared" si="20"/>
        <v>36.269493383455433</v>
      </c>
      <c r="I161" s="5">
        <f t="shared" si="21"/>
        <v>0.13092208498273533</v>
      </c>
      <c r="J161" s="8">
        <f t="shared" si="22"/>
        <v>0.96234418847484171</v>
      </c>
      <c r="K161" s="8">
        <f t="shared" si="23"/>
        <v>39.977584090794174</v>
      </c>
    </row>
    <row r="162" spans="1:11" ht="15.75" customHeight="1">
      <c r="A162" s="4" t="str">
        <f t="shared" si="0"/>
        <v>Jun</v>
      </c>
      <c r="B162" s="4">
        <v>161</v>
      </c>
      <c r="C162" s="3">
        <v>21711</v>
      </c>
      <c r="D162" s="4">
        <v>42</v>
      </c>
      <c r="E162" s="15">
        <f t="shared" si="24"/>
        <v>41.560961742053145</v>
      </c>
      <c r="F162" s="8">
        <f t="shared" si="18"/>
        <v>2.0040500001099204</v>
      </c>
      <c r="G162" s="8">
        <f t="shared" si="19"/>
        <v>2.0040500001099204</v>
      </c>
      <c r="H162" s="8">
        <f t="shared" si="20"/>
        <v>4.0162164029405716</v>
      </c>
      <c r="I162" s="5">
        <f t="shared" si="21"/>
        <v>4.771547619309334E-2</v>
      </c>
      <c r="J162" s="8">
        <f t="shared" si="22"/>
        <v>0.96234418847484171</v>
      </c>
      <c r="K162" s="8">
        <f t="shared" si="23"/>
        <v>39.99594999989008</v>
      </c>
    </row>
    <row r="163" spans="1:11" ht="15.75" customHeight="1">
      <c r="A163" s="4" t="str">
        <f t="shared" si="0"/>
        <v>Jun</v>
      </c>
      <c r="B163" s="4">
        <v>162</v>
      </c>
      <c r="C163" s="3">
        <v>21712</v>
      </c>
      <c r="D163" s="4">
        <v>48</v>
      </c>
      <c r="E163" s="15">
        <f t="shared" si="24"/>
        <v>41.580046295496558</v>
      </c>
      <c r="F163" s="8">
        <f t="shared" si="18"/>
        <v>7.985684091014015</v>
      </c>
      <c r="G163" s="8">
        <f t="shared" si="19"/>
        <v>7.985684091014015</v>
      </c>
      <c r="H163" s="8">
        <f t="shared" si="20"/>
        <v>63.771150401474337</v>
      </c>
      <c r="I163" s="5">
        <f t="shared" si="21"/>
        <v>0.16636841856279197</v>
      </c>
      <c r="J163" s="8">
        <f t="shared" si="22"/>
        <v>0.96234418847484171</v>
      </c>
      <c r="K163" s="8">
        <f t="shared" si="23"/>
        <v>40.014315908985985</v>
      </c>
    </row>
    <row r="164" spans="1:11" ht="15.75" customHeight="1">
      <c r="A164" s="4" t="str">
        <f t="shared" si="0"/>
        <v>Jun</v>
      </c>
      <c r="B164" s="4">
        <v>163</v>
      </c>
      <c r="C164" s="3">
        <v>21713</v>
      </c>
      <c r="D164" s="4">
        <v>34</v>
      </c>
      <c r="E164" s="15">
        <f t="shared" si="24"/>
        <v>41.599130848939971</v>
      </c>
      <c r="F164" s="8">
        <f t="shared" si="18"/>
        <v>-6.0326818180818904</v>
      </c>
      <c r="G164" s="8">
        <f t="shared" si="19"/>
        <v>6.0326818180818904</v>
      </c>
      <c r="H164" s="8">
        <f t="shared" si="20"/>
        <v>36.393249918215822</v>
      </c>
      <c r="I164" s="5">
        <f t="shared" si="21"/>
        <v>0.17743181817887912</v>
      </c>
      <c r="J164" s="8">
        <f t="shared" si="22"/>
        <v>0.96234418847484171</v>
      </c>
      <c r="K164" s="8">
        <f t="shared" si="23"/>
        <v>40.03268181808189</v>
      </c>
    </row>
    <row r="165" spans="1:11" ht="15.75" customHeight="1">
      <c r="A165" s="4" t="str">
        <f t="shared" si="0"/>
        <v>Jun</v>
      </c>
      <c r="B165" s="4">
        <v>164</v>
      </c>
      <c r="C165" s="3">
        <v>21714</v>
      </c>
      <c r="D165" s="4">
        <v>41</v>
      </c>
      <c r="E165" s="15">
        <f t="shared" si="24"/>
        <v>41.618215402383385</v>
      </c>
      <c r="F165" s="8">
        <f t="shared" si="18"/>
        <v>0.94895227282220418</v>
      </c>
      <c r="G165" s="8">
        <f t="shared" si="19"/>
        <v>0.94895227282220418</v>
      </c>
      <c r="H165" s="8">
        <f t="shared" si="20"/>
        <v>0.90051041609442706</v>
      </c>
      <c r="I165" s="5">
        <f t="shared" si="21"/>
        <v>2.314517738590742E-2</v>
      </c>
      <c r="J165" s="8">
        <f t="shared" si="22"/>
        <v>0.96234418847484171</v>
      </c>
      <c r="K165" s="8">
        <f t="shared" si="23"/>
        <v>40.051047727177796</v>
      </c>
    </row>
    <row r="166" spans="1:11" ht="15.75" customHeight="1">
      <c r="A166" s="4" t="str">
        <f t="shared" si="0"/>
        <v>Jun</v>
      </c>
      <c r="B166" s="4">
        <v>165</v>
      </c>
      <c r="C166" s="3">
        <v>21715</v>
      </c>
      <c r="D166" s="4">
        <v>35</v>
      </c>
      <c r="E166" s="15">
        <f t="shared" si="24"/>
        <v>41.637299955826798</v>
      </c>
      <c r="F166" s="8">
        <f t="shared" si="18"/>
        <v>-5.0694136362737012</v>
      </c>
      <c r="G166" s="8">
        <f t="shared" si="19"/>
        <v>5.0694136362737012</v>
      </c>
      <c r="H166" s="8">
        <f t="shared" si="20"/>
        <v>25.698954615637749</v>
      </c>
      <c r="I166" s="5">
        <f t="shared" si="21"/>
        <v>0.14484038960782003</v>
      </c>
      <c r="J166" s="8">
        <f t="shared" si="22"/>
        <v>0.96234418847484171</v>
      </c>
      <c r="K166" s="8">
        <f t="shared" si="23"/>
        <v>40.069413636273701</v>
      </c>
    </row>
    <row r="167" spans="1:11" ht="15.75" customHeight="1">
      <c r="A167" s="4" t="str">
        <f t="shared" si="0"/>
        <v>Jun</v>
      </c>
      <c r="B167" s="4">
        <v>166</v>
      </c>
      <c r="C167" s="3">
        <v>21716</v>
      </c>
      <c r="D167" s="4">
        <v>40</v>
      </c>
      <c r="E167" s="15">
        <f t="shared" si="24"/>
        <v>41.656384509270211</v>
      </c>
      <c r="F167" s="8">
        <f t="shared" si="18"/>
        <v>-8.7779545369606637E-2</v>
      </c>
      <c r="G167" s="8">
        <f t="shared" si="19"/>
        <v>8.7779545369606637E-2</v>
      </c>
      <c r="H167" s="8">
        <f t="shared" si="20"/>
        <v>7.7052485852948304E-3</v>
      </c>
      <c r="I167" s="5">
        <f t="shared" si="21"/>
        <v>2.1944886342401661E-3</v>
      </c>
      <c r="J167" s="8">
        <f t="shared" si="22"/>
        <v>0.96234418847484171</v>
      </c>
      <c r="K167" s="8">
        <f t="shared" si="23"/>
        <v>40.087779545369607</v>
      </c>
    </row>
    <row r="168" spans="1:11" ht="15.75" customHeight="1">
      <c r="A168" s="4" t="str">
        <f t="shared" si="0"/>
        <v>Jun</v>
      </c>
      <c r="B168" s="4">
        <v>167</v>
      </c>
      <c r="C168" s="3">
        <v>21717</v>
      </c>
      <c r="D168" s="4">
        <v>34</v>
      </c>
      <c r="E168" s="15">
        <f t="shared" si="24"/>
        <v>41.675469062713624</v>
      </c>
      <c r="F168" s="8">
        <f t="shared" si="18"/>
        <v>-6.106145454465512</v>
      </c>
      <c r="G168" s="8">
        <f t="shared" si="19"/>
        <v>6.106145454465512</v>
      </c>
      <c r="H168" s="8">
        <f t="shared" si="20"/>
        <v>37.285012311089837</v>
      </c>
      <c r="I168" s="5">
        <f t="shared" si="21"/>
        <v>0.17959251336663271</v>
      </c>
      <c r="J168" s="8">
        <f t="shared" si="22"/>
        <v>0.96234418847484171</v>
      </c>
      <c r="K168" s="8">
        <f t="shared" si="23"/>
        <v>40.106145454465512</v>
      </c>
    </row>
    <row r="169" spans="1:11" ht="15.75" customHeight="1">
      <c r="A169" s="4" t="str">
        <f t="shared" si="0"/>
        <v>Jun</v>
      </c>
      <c r="B169" s="4">
        <v>168</v>
      </c>
      <c r="C169" s="3">
        <v>21718</v>
      </c>
      <c r="D169" s="4">
        <v>30</v>
      </c>
      <c r="E169" s="15">
        <f t="shared" si="24"/>
        <v>41.69455361615703</v>
      </c>
      <c r="F169" s="8">
        <f t="shared" si="18"/>
        <v>-10.124511363561417</v>
      </c>
      <c r="G169" s="8">
        <f t="shared" si="19"/>
        <v>10.124511363561417</v>
      </c>
      <c r="H169" s="8">
        <f t="shared" si="20"/>
        <v>102.50573035088428</v>
      </c>
      <c r="I169" s="5">
        <f t="shared" si="21"/>
        <v>0.33748371211871392</v>
      </c>
      <c r="J169" s="8">
        <f t="shared" si="22"/>
        <v>0.96234418847484171</v>
      </c>
      <c r="K169" s="8">
        <f t="shared" si="23"/>
        <v>40.124511363561417</v>
      </c>
    </row>
    <row r="170" spans="1:11" ht="15.75" customHeight="1">
      <c r="A170" s="4" t="str">
        <f t="shared" si="0"/>
        <v>Jun</v>
      </c>
      <c r="B170" s="4">
        <v>169</v>
      </c>
      <c r="C170" s="3">
        <v>21719</v>
      </c>
      <c r="D170" s="4">
        <v>36</v>
      </c>
      <c r="E170" s="15">
        <f t="shared" si="24"/>
        <v>41.713638169600443</v>
      </c>
      <c r="F170" s="8">
        <f t="shared" si="18"/>
        <v>-4.1428772726573229</v>
      </c>
      <c r="G170" s="8">
        <f t="shared" si="19"/>
        <v>4.1428772726573229</v>
      </c>
      <c r="H170" s="8">
        <f t="shared" si="20"/>
        <v>17.163432096300578</v>
      </c>
      <c r="I170" s="5">
        <f t="shared" si="21"/>
        <v>0.11507992424048119</v>
      </c>
      <c r="J170" s="8">
        <f t="shared" si="22"/>
        <v>0.96234418847484171</v>
      </c>
      <c r="K170" s="8">
        <f t="shared" si="23"/>
        <v>40.142877272657323</v>
      </c>
    </row>
    <row r="171" spans="1:11" ht="15.75" customHeight="1">
      <c r="A171" s="4" t="str">
        <f t="shared" si="0"/>
        <v>Jun</v>
      </c>
      <c r="B171" s="4">
        <v>170</v>
      </c>
      <c r="C171" s="3">
        <v>21720</v>
      </c>
      <c r="D171" s="4">
        <v>40</v>
      </c>
      <c r="E171" s="15">
        <f t="shared" si="24"/>
        <v>41.732722723043857</v>
      </c>
      <c r="F171" s="8">
        <f t="shared" si="18"/>
        <v>-0.16124318175322827</v>
      </c>
      <c r="G171" s="8">
        <f t="shared" si="19"/>
        <v>0.16124318175322827</v>
      </c>
      <c r="H171" s="8">
        <f t="shared" si="20"/>
        <v>2.5999363661904605E-2</v>
      </c>
      <c r="I171" s="5">
        <f t="shared" si="21"/>
        <v>4.0310795438307069E-3</v>
      </c>
      <c r="J171" s="8">
        <f t="shared" si="22"/>
        <v>0.96234418847484171</v>
      </c>
      <c r="K171" s="8">
        <f t="shared" si="23"/>
        <v>40.161243181753228</v>
      </c>
    </row>
    <row r="172" spans="1:11" ht="15.75" customHeight="1">
      <c r="A172" s="4" t="str">
        <f t="shared" si="0"/>
        <v>Jun</v>
      </c>
      <c r="B172" s="4">
        <v>171</v>
      </c>
      <c r="C172" s="3">
        <v>21721</v>
      </c>
      <c r="D172" s="4">
        <v>39</v>
      </c>
      <c r="E172" s="15">
        <f t="shared" si="24"/>
        <v>41.75180727648727</v>
      </c>
      <c r="F172" s="8">
        <f t="shared" si="18"/>
        <v>-1.1796090908491337</v>
      </c>
      <c r="G172" s="8">
        <f t="shared" si="19"/>
        <v>1.1796090908491337</v>
      </c>
      <c r="H172" s="8">
        <f t="shared" si="20"/>
        <v>1.3914776072139197</v>
      </c>
      <c r="I172" s="5">
        <f t="shared" si="21"/>
        <v>3.0246386944849581E-2</v>
      </c>
      <c r="J172" s="8">
        <f t="shared" si="22"/>
        <v>0.96234418847484171</v>
      </c>
      <c r="K172" s="8">
        <f t="shared" si="23"/>
        <v>40.179609090849134</v>
      </c>
    </row>
    <row r="173" spans="1:11" ht="15.75" customHeight="1">
      <c r="A173" s="4" t="str">
        <f t="shared" si="0"/>
        <v>Jun</v>
      </c>
      <c r="B173" s="4">
        <v>172</v>
      </c>
      <c r="C173" s="3">
        <v>21722</v>
      </c>
      <c r="D173" s="4">
        <v>45</v>
      </c>
      <c r="E173" s="15">
        <f t="shared" si="24"/>
        <v>41.770891829930683</v>
      </c>
      <c r="F173" s="8">
        <f t="shared" si="18"/>
        <v>4.8020250000549609</v>
      </c>
      <c r="G173" s="8">
        <f t="shared" si="19"/>
        <v>4.8020250000549609</v>
      </c>
      <c r="H173" s="8">
        <f t="shared" si="20"/>
        <v>23.059444101152849</v>
      </c>
      <c r="I173" s="5">
        <f t="shared" si="21"/>
        <v>0.10671166666788802</v>
      </c>
      <c r="J173" s="8">
        <f t="shared" si="22"/>
        <v>0.96234418847484171</v>
      </c>
      <c r="K173" s="8">
        <f t="shared" si="23"/>
        <v>40.197974999945039</v>
      </c>
    </row>
    <row r="174" spans="1:11" ht="15.75" customHeight="1">
      <c r="A174" s="4" t="str">
        <f t="shared" si="0"/>
        <v>Jun</v>
      </c>
      <c r="B174" s="4">
        <v>173</v>
      </c>
      <c r="C174" s="3">
        <v>21723</v>
      </c>
      <c r="D174" s="4">
        <v>38</v>
      </c>
      <c r="E174" s="15">
        <f t="shared" si="24"/>
        <v>41.789976383374096</v>
      </c>
      <c r="F174" s="8">
        <f t="shared" si="18"/>
        <v>-2.2163409090409445</v>
      </c>
      <c r="G174" s="8">
        <f t="shared" si="19"/>
        <v>2.2163409090409445</v>
      </c>
      <c r="H174" s="8">
        <f t="shared" si="20"/>
        <v>4.9121670250884399</v>
      </c>
      <c r="I174" s="5">
        <f t="shared" si="21"/>
        <v>5.832476076423538E-2</v>
      </c>
      <c r="J174" s="8">
        <f t="shared" si="22"/>
        <v>0.96234418847484171</v>
      </c>
      <c r="K174" s="8">
        <f t="shared" si="23"/>
        <v>40.216340909040944</v>
      </c>
    </row>
    <row r="175" spans="1:11" ht="15.75" customHeight="1">
      <c r="A175" s="4" t="str">
        <f t="shared" si="0"/>
        <v>Jun</v>
      </c>
      <c r="B175" s="4">
        <v>174</v>
      </c>
      <c r="C175" s="3">
        <v>21724</v>
      </c>
      <c r="D175" s="4">
        <v>47</v>
      </c>
      <c r="E175" s="15">
        <f t="shared" si="24"/>
        <v>41.809060936817509</v>
      </c>
      <c r="F175" s="8">
        <f t="shared" si="18"/>
        <v>6.7652931818631501</v>
      </c>
      <c r="G175" s="8">
        <f t="shared" si="19"/>
        <v>6.7652931818631501</v>
      </c>
      <c r="H175" s="8">
        <f t="shared" si="20"/>
        <v>45.769191836564026</v>
      </c>
      <c r="I175" s="5">
        <f t="shared" si="21"/>
        <v>0.14394240812474787</v>
      </c>
      <c r="J175" s="8">
        <f t="shared" si="22"/>
        <v>0.96234418847484171</v>
      </c>
      <c r="K175" s="8">
        <f t="shared" si="23"/>
        <v>40.23470681813685</v>
      </c>
    </row>
    <row r="176" spans="1:11" ht="15.75" customHeight="1">
      <c r="A176" s="4" t="str">
        <f t="shared" si="0"/>
        <v>Jun</v>
      </c>
      <c r="B176" s="4">
        <v>175</v>
      </c>
      <c r="C176" s="3">
        <v>21725</v>
      </c>
      <c r="D176" s="4">
        <v>33</v>
      </c>
      <c r="E176" s="15">
        <f t="shared" si="24"/>
        <v>41.828145490260923</v>
      </c>
      <c r="F176" s="8">
        <f t="shared" si="18"/>
        <v>-7.2530727272327553</v>
      </c>
      <c r="G176" s="8">
        <f t="shared" si="19"/>
        <v>7.2530727272327553</v>
      </c>
      <c r="H176" s="8">
        <f t="shared" si="20"/>
        <v>52.607063986527599</v>
      </c>
      <c r="I176" s="5">
        <f t="shared" si="21"/>
        <v>0.21979008264341682</v>
      </c>
      <c r="J176" s="8">
        <f t="shared" si="22"/>
        <v>0.96234418847484171</v>
      </c>
      <c r="K176" s="8">
        <f t="shared" si="23"/>
        <v>40.253072727232755</v>
      </c>
    </row>
    <row r="177" spans="1:11" ht="15.75" customHeight="1">
      <c r="A177" s="4" t="str">
        <f t="shared" si="0"/>
        <v>Jun</v>
      </c>
      <c r="B177" s="4">
        <v>176</v>
      </c>
      <c r="C177" s="3">
        <v>21726</v>
      </c>
      <c r="D177" s="4">
        <v>30</v>
      </c>
      <c r="E177" s="15">
        <f t="shared" si="24"/>
        <v>41.847230043704336</v>
      </c>
      <c r="F177" s="8">
        <f t="shared" si="18"/>
        <v>-10.271438636328661</v>
      </c>
      <c r="G177" s="8">
        <f t="shared" si="19"/>
        <v>10.271438636328661</v>
      </c>
      <c r="H177" s="8">
        <f t="shared" si="20"/>
        <v>105.50245165986517</v>
      </c>
      <c r="I177" s="5">
        <f t="shared" si="21"/>
        <v>0.34238128787762201</v>
      </c>
      <c r="J177" s="8">
        <f t="shared" si="22"/>
        <v>0.96234418847484171</v>
      </c>
      <c r="K177" s="8">
        <f t="shared" si="23"/>
        <v>40.271438636328661</v>
      </c>
    </row>
    <row r="178" spans="1:11" ht="15.75" customHeight="1">
      <c r="A178" s="4" t="str">
        <f t="shared" si="0"/>
        <v>Jun</v>
      </c>
      <c r="B178" s="4">
        <v>177</v>
      </c>
      <c r="C178" s="3">
        <v>21727</v>
      </c>
      <c r="D178" s="4">
        <v>42</v>
      </c>
      <c r="E178" s="15">
        <f t="shared" si="24"/>
        <v>41.866314597147749</v>
      </c>
      <c r="F178" s="8">
        <f t="shared" si="18"/>
        <v>1.7101954545754268</v>
      </c>
      <c r="G178" s="8">
        <f t="shared" si="19"/>
        <v>1.7101954545754268</v>
      </c>
      <c r="H178" s="8">
        <f t="shared" si="20"/>
        <v>2.9247684928504505</v>
      </c>
      <c r="I178" s="5">
        <f t="shared" si="21"/>
        <v>4.0718939394653021E-2</v>
      </c>
      <c r="J178" s="8">
        <f t="shared" si="22"/>
        <v>0.96234418847484171</v>
      </c>
      <c r="K178" s="8">
        <f t="shared" si="23"/>
        <v>40.289804545424573</v>
      </c>
    </row>
    <row r="179" spans="1:11" ht="15.75" customHeight="1">
      <c r="A179" s="4" t="str">
        <f t="shared" si="0"/>
        <v>Jun</v>
      </c>
      <c r="B179" s="4">
        <v>178</v>
      </c>
      <c r="C179" s="3">
        <v>21728</v>
      </c>
      <c r="D179" s="4">
        <v>43</v>
      </c>
      <c r="E179" s="15">
        <f t="shared" si="24"/>
        <v>41.885399150591162</v>
      </c>
      <c r="F179" s="8">
        <f t="shared" si="18"/>
        <v>2.6918295454795214</v>
      </c>
      <c r="G179" s="8">
        <f t="shared" si="19"/>
        <v>2.6918295454795214</v>
      </c>
      <c r="H179" s="8">
        <f t="shared" si="20"/>
        <v>7.2459463019164865</v>
      </c>
      <c r="I179" s="5">
        <f t="shared" si="21"/>
        <v>6.2600687104174921E-2</v>
      </c>
      <c r="J179" s="8">
        <f t="shared" si="22"/>
        <v>0.96234418847484171</v>
      </c>
      <c r="K179" s="8">
        <f t="shared" si="23"/>
        <v>40.308170454520479</v>
      </c>
    </row>
    <row r="180" spans="1:11" ht="15.75" customHeight="1">
      <c r="A180" s="4" t="str">
        <f t="shared" si="0"/>
        <v>Jun</v>
      </c>
      <c r="B180" s="4">
        <v>179</v>
      </c>
      <c r="C180" s="3">
        <v>21729</v>
      </c>
      <c r="D180" s="4">
        <v>41</v>
      </c>
      <c r="E180" s="15">
        <f t="shared" si="24"/>
        <v>41.904483704034575</v>
      </c>
      <c r="F180" s="8">
        <f t="shared" si="18"/>
        <v>0.67346363638361595</v>
      </c>
      <c r="G180" s="8">
        <f t="shared" si="19"/>
        <v>0.67346363638361595</v>
      </c>
      <c r="H180" s="8">
        <f t="shared" si="20"/>
        <v>0.4535532695310433</v>
      </c>
      <c r="I180" s="5">
        <f t="shared" si="21"/>
        <v>1.64259423508199E-2</v>
      </c>
      <c r="J180" s="8">
        <f t="shared" si="22"/>
        <v>0.96234418847484171</v>
      </c>
      <c r="K180" s="8">
        <f t="shared" si="23"/>
        <v>40.326536363616384</v>
      </c>
    </row>
    <row r="181" spans="1:11" ht="15.75" customHeight="1">
      <c r="A181" s="4" t="str">
        <f t="shared" si="0"/>
        <v>Jun</v>
      </c>
      <c r="B181" s="4">
        <v>180</v>
      </c>
      <c r="C181" s="3">
        <v>21730</v>
      </c>
      <c r="D181" s="4">
        <v>41</v>
      </c>
      <c r="E181" s="15">
        <f t="shared" si="24"/>
        <v>41.923568257477982</v>
      </c>
      <c r="F181" s="8">
        <f t="shared" si="18"/>
        <v>0.65509772728771765</v>
      </c>
      <c r="G181" s="8">
        <f t="shared" si="19"/>
        <v>0.65509772728771765</v>
      </c>
      <c r="H181" s="8">
        <f t="shared" si="20"/>
        <v>0.42915303229753288</v>
      </c>
      <c r="I181" s="5">
        <f t="shared" si="21"/>
        <v>1.5977993348480917E-2</v>
      </c>
      <c r="J181" s="8">
        <f t="shared" si="22"/>
        <v>0.96234418847484171</v>
      </c>
      <c r="K181" s="8">
        <f t="shared" si="23"/>
        <v>40.344902272712282</v>
      </c>
    </row>
    <row r="182" spans="1:11" ht="15.75" customHeight="1">
      <c r="A182" s="4" t="str">
        <f t="shared" si="0"/>
        <v>Jun</v>
      </c>
      <c r="B182" s="4">
        <v>181</v>
      </c>
      <c r="C182" s="3">
        <v>21731</v>
      </c>
      <c r="D182" s="4">
        <v>59</v>
      </c>
      <c r="E182" s="15">
        <f t="shared" si="24"/>
        <v>41.942652810921395</v>
      </c>
      <c r="F182" s="8">
        <f t="shared" si="18"/>
        <v>18.636731818191812</v>
      </c>
      <c r="G182" s="8">
        <f t="shared" si="19"/>
        <v>18.636731818191812</v>
      </c>
      <c r="H182" s="8">
        <f t="shared" si="20"/>
        <v>347.32777286320311</v>
      </c>
      <c r="I182" s="5">
        <f t="shared" si="21"/>
        <v>0.31587681047782734</v>
      </c>
      <c r="J182" s="8">
        <f t="shared" si="22"/>
        <v>0.96234418847484171</v>
      </c>
      <c r="K182" s="8">
        <f t="shared" si="23"/>
        <v>40.363268181808188</v>
      </c>
    </row>
    <row r="183" spans="1:11" ht="15.75" customHeight="1">
      <c r="A183" s="4" t="str">
        <f t="shared" si="0"/>
        <v>Jul</v>
      </c>
      <c r="B183" s="4">
        <v>182</v>
      </c>
      <c r="C183" s="3">
        <v>21732</v>
      </c>
      <c r="D183" s="4">
        <v>43</v>
      </c>
      <c r="E183" s="15">
        <f t="shared" si="24"/>
        <v>41.961737364364808</v>
      </c>
      <c r="F183" s="8">
        <f t="shared" si="18"/>
        <v>1.0835800717220323</v>
      </c>
      <c r="G183" s="8">
        <f t="shared" si="19"/>
        <v>1.0835800717220323</v>
      </c>
      <c r="H183" s="8">
        <f t="shared" si="20"/>
        <v>1.1741457718331247</v>
      </c>
      <c r="I183" s="5">
        <f t="shared" si="21"/>
        <v>2.5199536551675169E-2</v>
      </c>
      <c r="J183" s="8">
        <f t="shared" si="22"/>
        <v>0.99892002955708581</v>
      </c>
      <c r="K183" s="8">
        <f t="shared" si="23"/>
        <v>41.916419928277968</v>
      </c>
    </row>
    <row r="184" spans="1:11" ht="15.75" customHeight="1">
      <c r="A184" s="4" t="str">
        <f t="shared" si="0"/>
        <v>Jul</v>
      </c>
      <c r="B184" s="4">
        <v>183</v>
      </c>
      <c r="C184" s="3">
        <v>21733</v>
      </c>
      <c r="D184" s="4">
        <v>45</v>
      </c>
      <c r="E184" s="15">
        <f t="shared" si="24"/>
        <v>41.980821917808221</v>
      </c>
      <c r="F184" s="8">
        <f t="shared" si="18"/>
        <v>3.0645161290322562</v>
      </c>
      <c r="G184" s="8">
        <f t="shared" si="19"/>
        <v>3.0645161290322562</v>
      </c>
      <c r="H184" s="8">
        <f t="shared" si="20"/>
        <v>9.391259105098845</v>
      </c>
      <c r="I184" s="5">
        <f t="shared" si="21"/>
        <v>6.8100358422939031E-2</v>
      </c>
      <c r="J184" s="8">
        <f t="shared" si="22"/>
        <v>0.99892002955708581</v>
      </c>
      <c r="K184" s="8">
        <f t="shared" si="23"/>
        <v>41.935483870967744</v>
      </c>
    </row>
    <row r="185" spans="1:11" ht="15.75" customHeight="1">
      <c r="A185" s="4" t="str">
        <f t="shared" si="0"/>
        <v>Jul</v>
      </c>
      <c r="B185" s="4">
        <v>184</v>
      </c>
      <c r="C185" s="3">
        <v>21734</v>
      </c>
      <c r="D185" s="4">
        <v>38</v>
      </c>
      <c r="E185" s="15">
        <f t="shared" si="24"/>
        <v>41.999906471251634</v>
      </c>
      <c r="F185" s="8">
        <f t="shared" si="18"/>
        <v>-3.9545478136575198</v>
      </c>
      <c r="G185" s="8">
        <f t="shared" si="19"/>
        <v>3.9545478136575198</v>
      </c>
      <c r="H185" s="8">
        <f t="shared" si="20"/>
        <v>15.63844841050347</v>
      </c>
      <c r="I185" s="5">
        <f t="shared" si="21"/>
        <v>0.10406704772782947</v>
      </c>
      <c r="J185" s="8">
        <f t="shared" si="22"/>
        <v>0.99892002955708581</v>
      </c>
      <c r="K185" s="8">
        <f t="shared" si="23"/>
        <v>41.95454781365752</v>
      </c>
    </row>
    <row r="186" spans="1:11" ht="15.75" customHeight="1">
      <c r="A186" s="4" t="str">
        <f t="shared" si="0"/>
        <v>Jul</v>
      </c>
      <c r="B186" s="4">
        <v>185</v>
      </c>
      <c r="C186" s="3">
        <v>21735</v>
      </c>
      <c r="D186" s="4">
        <v>37</v>
      </c>
      <c r="E186" s="15">
        <f t="shared" si="24"/>
        <v>42.018991024695048</v>
      </c>
      <c r="F186" s="8">
        <f t="shared" si="18"/>
        <v>-4.973611756347303</v>
      </c>
      <c r="G186" s="8">
        <f t="shared" si="19"/>
        <v>4.973611756347303</v>
      </c>
      <c r="H186" s="8">
        <f t="shared" si="20"/>
        <v>24.736813902876104</v>
      </c>
      <c r="I186" s="5">
        <f t="shared" si="21"/>
        <v>0.13442193936073793</v>
      </c>
      <c r="J186" s="8">
        <f t="shared" si="22"/>
        <v>0.99892002955708581</v>
      </c>
      <c r="K186" s="8">
        <f t="shared" si="23"/>
        <v>41.973611756347303</v>
      </c>
    </row>
    <row r="187" spans="1:11" ht="15.75" customHeight="1">
      <c r="A187" s="4" t="str">
        <f t="shared" si="0"/>
        <v>Jul</v>
      </c>
      <c r="B187" s="4">
        <v>186</v>
      </c>
      <c r="C187" s="3">
        <v>21736</v>
      </c>
      <c r="D187" s="4">
        <v>45</v>
      </c>
      <c r="E187" s="15">
        <f t="shared" si="24"/>
        <v>42.038075578138461</v>
      </c>
      <c r="F187" s="8">
        <f t="shared" si="18"/>
        <v>3.0073243009629209</v>
      </c>
      <c r="G187" s="8">
        <f t="shared" si="19"/>
        <v>3.0073243009629209</v>
      </c>
      <c r="H187" s="8">
        <f t="shared" si="20"/>
        <v>9.0439994511621205</v>
      </c>
      <c r="I187" s="5">
        <f t="shared" si="21"/>
        <v>6.6829428910287134E-2</v>
      </c>
      <c r="J187" s="8">
        <f t="shared" si="22"/>
        <v>0.99892002955708581</v>
      </c>
      <c r="K187" s="8">
        <f t="shared" si="23"/>
        <v>41.992675699037079</v>
      </c>
    </row>
    <row r="188" spans="1:11" ht="15.75" customHeight="1">
      <c r="A188" s="4" t="str">
        <f t="shared" si="0"/>
        <v>Jul</v>
      </c>
      <c r="B188" s="4">
        <v>187</v>
      </c>
      <c r="C188" s="3">
        <v>21737</v>
      </c>
      <c r="D188" s="4">
        <v>42</v>
      </c>
      <c r="E188" s="15">
        <f t="shared" si="24"/>
        <v>42.057160131581874</v>
      </c>
      <c r="F188" s="8">
        <f t="shared" si="18"/>
        <v>-1.1739641726855155E-2</v>
      </c>
      <c r="G188" s="8">
        <f t="shared" si="19"/>
        <v>1.1739641726855155E-2</v>
      </c>
      <c r="H188" s="8">
        <f t="shared" si="20"/>
        <v>1.3781918787491868E-4</v>
      </c>
      <c r="I188" s="5">
        <f t="shared" si="21"/>
        <v>2.79515279210837E-4</v>
      </c>
      <c r="J188" s="8">
        <f t="shared" si="22"/>
        <v>0.99892002955708581</v>
      </c>
      <c r="K188" s="8">
        <f t="shared" si="23"/>
        <v>42.011739641726855</v>
      </c>
    </row>
    <row r="189" spans="1:11" ht="15.75" customHeight="1">
      <c r="A189" s="4" t="str">
        <f t="shared" si="0"/>
        <v>Jul</v>
      </c>
      <c r="B189" s="4">
        <v>188</v>
      </c>
      <c r="C189" s="3">
        <v>21738</v>
      </c>
      <c r="D189" s="4">
        <v>57</v>
      </c>
      <c r="E189" s="15">
        <f t="shared" si="24"/>
        <v>42.076244685025287</v>
      </c>
      <c r="F189" s="8">
        <f t="shared" si="18"/>
        <v>14.969196415583369</v>
      </c>
      <c r="G189" s="8">
        <f t="shared" si="19"/>
        <v>14.969196415583369</v>
      </c>
      <c r="H189" s="8">
        <f t="shared" si="20"/>
        <v>224.07684132831398</v>
      </c>
      <c r="I189" s="5">
        <f t="shared" si="21"/>
        <v>0.26261748097514681</v>
      </c>
      <c r="J189" s="8">
        <f t="shared" si="22"/>
        <v>0.99892002955708581</v>
      </c>
      <c r="K189" s="8">
        <f t="shared" si="23"/>
        <v>42.030803584416631</v>
      </c>
    </row>
    <row r="190" spans="1:11" ht="15.75" customHeight="1">
      <c r="A190" s="4" t="str">
        <f t="shared" si="0"/>
        <v>Jul</v>
      </c>
      <c r="B190" s="4">
        <v>189</v>
      </c>
      <c r="C190" s="3">
        <v>21739</v>
      </c>
      <c r="D190" s="4">
        <v>46</v>
      </c>
      <c r="E190" s="15">
        <f t="shared" si="24"/>
        <v>42.0953292384687</v>
      </c>
      <c r="F190" s="8">
        <f t="shared" si="18"/>
        <v>3.9501324728935856</v>
      </c>
      <c r="G190" s="8">
        <f t="shared" si="19"/>
        <v>3.9501324728935856</v>
      </c>
      <c r="H190" s="8">
        <f t="shared" si="20"/>
        <v>15.603546553408394</v>
      </c>
      <c r="I190" s="5">
        <f t="shared" si="21"/>
        <v>8.5872445062904035E-2</v>
      </c>
      <c r="J190" s="8">
        <f t="shared" si="22"/>
        <v>0.99892002955708581</v>
      </c>
      <c r="K190" s="8">
        <f t="shared" si="23"/>
        <v>42.049867527106414</v>
      </c>
    </row>
    <row r="191" spans="1:11" ht="15.75" customHeight="1">
      <c r="A191" s="4" t="str">
        <f t="shared" si="0"/>
        <v>Jul</v>
      </c>
      <c r="B191" s="4">
        <v>190</v>
      </c>
      <c r="C191" s="3">
        <v>21740</v>
      </c>
      <c r="D191" s="4">
        <v>51</v>
      </c>
      <c r="E191" s="15">
        <f t="shared" si="24"/>
        <v>42.114413791912114</v>
      </c>
      <c r="F191" s="8">
        <f t="shared" si="18"/>
        <v>8.9310685302038095</v>
      </c>
      <c r="G191" s="8">
        <f t="shared" si="19"/>
        <v>8.9310685302038095</v>
      </c>
      <c r="H191" s="8">
        <f t="shared" si="20"/>
        <v>79.76398509119683</v>
      </c>
      <c r="I191" s="5">
        <f t="shared" si="21"/>
        <v>0.17511899078831</v>
      </c>
      <c r="J191" s="8">
        <f t="shared" si="22"/>
        <v>0.99892002955708581</v>
      </c>
      <c r="K191" s="8">
        <f t="shared" si="23"/>
        <v>42.06893146979619</v>
      </c>
    </row>
    <row r="192" spans="1:11" ht="15.75" customHeight="1">
      <c r="A192" s="4" t="str">
        <f t="shared" si="0"/>
        <v>Jul</v>
      </c>
      <c r="B192" s="4">
        <v>191</v>
      </c>
      <c r="C192" s="3">
        <v>21741</v>
      </c>
      <c r="D192" s="4">
        <v>41</v>
      </c>
      <c r="E192" s="15">
        <f t="shared" si="24"/>
        <v>42.133498345355527</v>
      </c>
      <c r="F192" s="8">
        <f t="shared" si="18"/>
        <v>-1.0879954124859665</v>
      </c>
      <c r="G192" s="8">
        <f t="shared" si="19"/>
        <v>1.0879954124859665</v>
      </c>
      <c r="H192" s="8">
        <f t="shared" si="20"/>
        <v>1.1837340175905084</v>
      </c>
      <c r="I192" s="5">
        <f t="shared" si="21"/>
        <v>2.6536473475267476E-2</v>
      </c>
      <c r="J192" s="8">
        <f t="shared" si="22"/>
        <v>0.99892002955708581</v>
      </c>
      <c r="K192" s="8">
        <f t="shared" si="23"/>
        <v>42.087995412485967</v>
      </c>
    </row>
    <row r="193" spans="1:11" ht="15.75" customHeight="1">
      <c r="A193" s="4" t="str">
        <f t="shared" si="0"/>
        <v>Jul</v>
      </c>
      <c r="B193" s="4">
        <v>192</v>
      </c>
      <c r="C193" s="3">
        <v>21742</v>
      </c>
      <c r="D193" s="4">
        <v>47</v>
      </c>
      <c r="E193" s="15">
        <f t="shared" si="24"/>
        <v>42.15258289879894</v>
      </c>
      <c r="F193" s="8">
        <f t="shared" si="18"/>
        <v>4.8929406448242503</v>
      </c>
      <c r="G193" s="8">
        <f t="shared" si="19"/>
        <v>4.8929406448242503</v>
      </c>
      <c r="H193" s="8">
        <f t="shared" si="20"/>
        <v>23.940868153773149</v>
      </c>
      <c r="I193" s="5">
        <f t="shared" si="21"/>
        <v>0.10410512010264363</v>
      </c>
      <c r="J193" s="8">
        <f t="shared" si="22"/>
        <v>0.99892002955708581</v>
      </c>
      <c r="K193" s="8">
        <f t="shared" si="23"/>
        <v>42.10705935517575</v>
      </c>
    </row>
    <row r="194" spans="1:11" ht="15.75" customHeight="1">
      <c r="A194" s="4" t="str">
        <f t="shared" si="0"/>
        <v>Jul</v>
      </c>
      <c r="B194" s="4">
        <v>193</v>
      </c>
      <c r="C194" s="3">
        <v>21743</v>
      </c>
      <c r="D194" s="4">
        <v>26</v>
      </c>
      <c r="E194" s="15">
        <f t="shared" si="24"/>
        <v>42.171667452242346</v>
      </c>
      <c r="F194" s="8">
        <f t="shared" si="18"/>
        <v>-16.126123297865519</v>
      </c>
      <c r="G194" s="8">
        <f t="shared" si="19"/>
        <v>16.126123297865519</v>
      </c>
      <c r="H194" s="8">
        <f t="shared" si="20"/>
        <v>260.05185261796106</v>
      </c>
      <c r="I194" s="5">
        <f t="shared" si="21"/>
        <v>0.62023551145636613</v>
      </c>
      <c r="J194" s="8">
        <f t="shared" si="22"/>
        <v>0.99892002955708581</v>
      </c>
      <c r="K194" s="8">
        <f t="shared" si="23"/>
        <v>42.126123297865519</v>
      </c>
    </row>
    <row r="195" spans="1:11" ht="15.75" customHeight="1">
      <c r="A195" s="4" t="str">
        <f t="shared" si="0"/>
        <v>Jul</v>
      </c>
      <c r="B195" s="4">
        <v>194</v>
      </c>
      <c r="C195" s="3">
        <v>21744</v>
      </c>
      <c r="D195" s="4">
        <v>35</v>
      </c>
      <c r="E195" s="15">
        <f t="shared" si="24"/>
        <v>42.190752005685759</v>
      </c>
      <c r="F195" s="8">
        <f t="shared" ref="F195:F258" si="25">D195-K195</f>
        <v>-7.1451872405552947</v>
      </c>
      <c r="G195" s="8">
        <f t="shared" ref="G195:G258" si="26">ABS(F195)</f>
        <v>7.1451872405552947</v>
      </c>
      <c r="H195" s="8">
        <f t="shared" ref="H195:H258" si="27">G195^2</f>
        <v>51.053700702594185</v>
      </c>
      <c r="I195" s="5">
        <f t="shared" ref="I195:I258" si="28">G195/D195</f>
        <v>0.20414820687300841</v>
      </c>
      <c r="J195" s="8">
        <f t="shared" ref="J195:J258" si="29">VLOOKUP(A195,$V$7:$Y$19,4,FALSE)</f>
        <v>0.99892002955708581</v>
      </c>
      <c r="K195" s="8">
        <f t="shared" ref="K195:K258" si="30">E195*J195</f>
        <v>42.145187240555295</v>
      </c>
    </row>
    <row r="196" spans="1:11" ht="15.75" customHeight="1">
      <c r="A196" s="4" t="str">
        <f t="shared" si="0"/>
        <v>Jul</v>
      </c>
      <c r="B196" s="4">
        <v>195</v>
      </c>
      <c r="C196" s="3">
        <v>21745</v>
      </c>
      <c r="D196" s="4">
        <v>44</v>
      </c>
      <c r="E196" s="15">
        <f t="shared" ref="E196:E259" si="31">$O$2+($O$3*B196)</f>
        <v>42.209836559129172</v>
      </c>
      <c r="F196" s="8">
        <f t="shared" si="25"/>
        <v>1.8357488167549292</v>
      </c>
      <c r="G196" s="8">
        <f t="shared" si="26"/>
        <v>1.8357488167549292</v>
      </c>
      <c r="H196" s="8">
        <f t="shared" si="27"/>
        <v>3.3699737182171225</v>
      </c>
      <c r="I196" s="5">
        <f t="shared" si="28"/>
        <v>4.1721564017157479E-2</v>
      </c>
      <c r="J196" s="8">
        <f t="shared" si="29"/>
        <v>0.99892002955708581</v>
      </c>
      <c r="K196" s="8">
        <f t="shared" si="30"/>
        <v>42.164251183245071</v>
      </c>
    </row>
    <row r="197" spans="1:11" ht="15.75" customHeight="1">
      <c r="A197" s="4" t="str">
        <f t="shared" si="0"/>
        <v>Jul</v>
      </c>
      <c r="B197" s="4">
        <v>196</v>
      </c>
      <c r="C197" s="3">
        <v>21746</v>
      </c>
      <c r="D197" s="4">
        <v>41</v>
      </c>
      <c r="E197" s="15">
        <f t="shared" si="31"/>
        <v>42.228921112572586</v>
      </c>
      <c r="F197" s="8">
        <f t="shared" si="25"/>
        <v>-1.183315125934854</v>
      </c>
      <c r="G197" s="8">
        <f t="shared" si="26"/>
        <v>1.183315125934854</v>
      </c>
      <c r="H197" s="8">
        <f t="shared" si="27"/>
        <v>1.4002346872662195</v>
      </c>
      <c r="I197" s="5">
        <f t="shared" si="28"/>
        <v>2.886134453499644E-2</v>
      </c>
      <c r="J197" s="8">
        <f t="shared" si="29"/>
        <v>0.99892002955708581</v>
      </c>
      <c r="K197" s="8">
        <f t="shared" si="30"/>
        <v>42.183315125934854</v>
      </c>
    </row>
    <row r="198" spans="1:11" ht="15.75" customHeight="1">
      <c r="A198" s="4" t="str">
        <f t="shared" si="0"/>
        <v>Jul</v>
      </c>
      <c r="B198" s="4">
        <v>197</v>
      </c>
      <c r="C198" s="3">
        <v>21747</v>
      </c>
      <c r="D198" s="4">
        <v>42</v>
      </c>
      <c r="E198" s="15">
        <f t="shared" si="31"/>
        <v>42.248005666015999</v>
      </c>
      <c r="F198" s="8">
        <f t="shared" si="25"/>
        <v>-0.20237906862463007</v>
      </c>
      <c r="G198" s="8">
        <f t="shared" si="26"/>
        <v>0.20237906862463007</v>
      </c>
      <c r="H198" s="8">
        <f t="shared" si="27"/>
        <v>4.0957287417372729E-2</v>
      </c>
      <c r="I198" s="5">
        <f t="shared" si="28"/>
        <v>4.8185492529673824E-3</v>
      </c>
      <c r="J198" s="8">
        <f t="shared" si="29"/>
        <v>0.99892002955708581</v>
      </c>
      <c r="K198" s="8">
        <f t="shared" si="30"/>
        <v>42.20237906862463</v>
      </c>
    </row>
    <row r="199" spans="1:11" ht="15.75" customHeight="1">
      <c r="A199" s="4" t="str">
        <f t="shared" si="0"/>
        <v>Jul</v>
      </c>
      <c r="B199" s="4">
        <v>198</v>
      </c>
      <c r="C199" s="3">
        <v>21748</v>
      </c>
      <c r="D199" s="4">
        <v>36</v>
      </c>
      <c r="E199" s="15">
        <f t="shared" si="31"/>
        <v>42.267090219459412</v>
      </c>
      <c r="F199" s="8">
        <f t="shared" si="25"/>
        <v>-6.2214430113144061</v>
      </c>
      <c r="G199" s="8">
        <f t="shared" si="26"/>
        <v>6.2214430113144061</v>
      </c>
      <c r="H199" s="8">
        <f t="shared" si="27"/>
        <v>38.706353143032864</v>
      </c>
      <c r="I199" s="5">
        <f t="shared" si="28"/>
        <v>0.17281786142540018</v>
      </c>
      <c r="J199" s="8">
        <f t="shared" si="29"/>
        <v>0.99892002955708581</v>
      </c>
      <c r="K199" s="8">
        <f t="shared" si="30"/>
        <v>42.221443011314406</v>
      </c>
    </row>
    <row r="200" spans="1:11" ht="15.75" customHeight="1">
      <c r="A200" s="4" t="str">
        <f t="shared" si="0"/>
        <v>Jul</v>
      </c>
      <c r="B200" s="4">
        <v>199</v>
      </c>
      <c r="C200" s="3">
        <v>21749</v>
      </c>
      <c r="D200" s="4">
        <v>45</v>
      </c>
      <c r="E200" s="15">
        <f t="shared" si="31"/>
        <v>42.286174772902825</v>
      </c>
      <c r="F200" s="8">
        <f t="shared" si="25"/>
        <v>2.7594930459958107</v>
      </c>
      <c r="G200" s="8">
        <f t="shared" si="26"/>
        <v>2.7594930459958107</v>
      </c>
      <c r="H200" s="8">
        <f t="shared" si="27"/>
        <v>7.6148018708992371</v>
      </c>
      <c r="I200" s="5">
        <f t="shared" si="28"/>
        <v>6.1322067688795792E-2</v>
      </c>
      <c r="J200" s="8">
        <f t="shared" si="29"/>
        <v>0.99892002955708581</v>
      </c>
      <c r="K200" s="8">
        <f t="shared" si="30"/>
        <v>42.240506954004189</v>
      </c>
    </row>
    <row r="201" spans="1:11" ht="15.75" customHeight="1">
      <c r="A201" s="4" t="str">
        <f t="shared" si="0"/>
        <v>Jul</v>
      </c>
      <c r="B201" s="4">
        <v>200</v>
      </c>
      <c r="C201" s="3">
        <v>21750</v>
      </c>
      <c r="D201" s="4">
        <v>45</v>
      </c>
      <c r="E201" s="15">
        <f t="shared" si="31"/>
        <v>42.305259326346238</v>
      </c>
      <c r="F201" s="8">
        <f t="shared" si="25"/>
        <v>2.7404291033060346</v>
      </c>
      <c r="G201" s="8">
        <f t="shared" si="26"/>
        <v>2.7404291033060346</v>
      </c>
      <c r="H201" s="8">
        <f t="shared" si="27"/>
        <v>7.5099516702467168</v>
      </c>
      <c r="I201" s="5">
        <f t="shared" si="28"/>
        <v>6.089842451791188E-2</v>
      </c>
      <c r="J201" s="8">
        <f t="shared" si="29"/>
        <v>0.99892002955708581</v>
      </c>
      <c r="K201" s="8">
        <f t="shared" si="30"/>
        <v>42.259570896693965</v>
      </c>
    </row>
    <row r="202" spans="1:11" ht="15.75" customHeight="1">
      <c r="A202" s="4" t="str">
        <f t="shared" si="0"/>
        <v>Jul</v>
      </c>
      <c r="B202" s="4">
        <v>201</v>
      </c>
      <c r="C202" s="3">
        <v>21751</v>
      </c>
      <c r="D202" s="4">
        <v>45</v>
      </c>
      <c r="E202" s="15">
        <f t="shared" si="31"/>
        <v>42.324343879789652</v>
      </c>
      <c r="F202" s="8">
        <f t="shared" si="25"/>
        <v>2.7213651606162585</v>
      </c>
      <c r="G202" s="8">
        <f t="shared" si="26"/>
        <v>2.7213651606162585</v>
      </c>
      <c r="H202" s="8">
        <f t="shared" si="27"/>
        <v>7.4058283374159544</v>
      </c>
      <c r="I202" s="5">
        <f t="shared" si="28"/>
        <v>6.0474781347027967E-2</v>
      </c>
      <c r="J202" s="8">
        <f t="shared" si="29"/>
        <v>0.99892002955708581</v>
      </c>
      <c r="K202" s="8">
        <f t="shared" si="30"/>
        <v>42.278634839383741</v>
      </c>
    </row>
    <row r="203" spans="1:11" ht="15.75" customHeight="1">
      <c r="A203" s="4" t="str">
        <f t="shared" si="0"/>
        <v>Jul</v>
      </c>
      <c r="B203" s="4">
        <v>202</v>
      </c>
      <c r="C203" s="3">
        <v>21752</v>
      </c>
      <c r="D203" s="4">
        <v>47</v>
      </c>
      <c r="E203" s="15">
        <f t="shared" si="31"/>
        <v>42.343428433233065</v>
      </c>
      <c r="F203" s="8">
        <f t="shared" si="25"/>
        <v>4.7023012179264825</v>
      </c>
      <c r="G203" s="8">
        <f t="shared" si="26"/>
        <v>4.7023012179264825</v>
      </c>
      <c r="H203" s="8">
        <f t="shared" si="27"/>
        <v>22.111636744112879</v>
      </c>
      <c r="I203" s="5">
        <f t="shared" si="28"/>
        <v>0.10004896208354218</v>
      </c>
      <c r="J203" s="8">
        <f t="shared" si="29"/>
        <v>0.99892002955708581</v>
      </c>
      <c r="K203" s="8">
        <f t="shared" si="30"/>
        <v>42.297698782073518</v>
      </c>
    </row>
    <row r="204" spans="1:11" ht="15.75" customHeight="1">
      <c r="A204" s="4" t="str">
        <f t="shared" si="0"/>
        <v>Jul</v>
      </c>
      <c r="B204" s="4">
        <v>203</v>
      </c>
      <c r="C204" s="3">
        <v>21753</v>
      </c>
      <c r="D204" s="4">
        <v>38</v>
      </c>
      <c r="E204" s="15">
        <f t="shared" si="31"/>
        <v>42.362512986676478</v>
      </c>
      <c r="F204" s="8">
        <f t="shared" si="25"/>
        <v>-4.3167627247633007</v>
      </c>
      <c r="G204" s="8">
        <f t="shared" si="26"/>
        <v>4.3167627247633007</v>
      </c>
      <c r="H204" s="8">
        <f t="shared" si="27"/>
        <v>18.634440421905875</v>
      </c>
      <c r="I204" s="5">
        <f t="shared" si="28"/>
        <v>0.11359901907271844</v>
      </c>
      <c r="J204" s="8">
        <f t="shared" si="29"/>
        <v>0.99892002955708581</v>
      </c>
      <c r="K204" s="8">
        <f t="shared" si="30"/>
        <v>42.316762724763301</v>
      </c>
    </row>
    <row r="205" spans="1:11" ht="15.75" customHeight="1">
      <c r="A205" s="4" t="str">
        <f t="shared" si="0"/>
        <v>Jul</v>
      </c>
      <c r="B205" s="4">
        <v>204</v>
      </c>
      <c r="C205" s="3">
        <v>21754</v>
      </c>
      <c r="D205" s="4">
        <v>42</v>
      </c>
      <c r="E205" s="15">
        <f t="shared" si="31"/>
        <v>42.381597540119891</v>
      </c>
      <c r="F205" s="8">
        <f t="shared" si="25"/>
        <v>-0.33582666745307677</v>
      </c>
      <c r="G205" s="8">
        <f t="shared" si="26"/>
        <v>0.33582666745307677</v>
      </c>
      <c r="H205" s="8">
        <f t="shared" si="27"/>
        <v>0.11277955057263941</v>
      </c>
      <c r="I205" s="5">
        <f t="shared" si="28"/>
        <v>7.9958730345970654E-3</v>
      </c>
      <c r="J205" s="8">
        <f t="shared" si="29"/>
        <v>0.99892002955708581</v>
      </c>
      <c r="K205" s="8">
        <f t="shared" si="30"/>
        <v>42.335826667453077</v>
      </c>
    </row>
    <row r="206" spans="1:11" ht="15.75" customHeight="1">
      <c r="A206" s="4" t="str">
        <f t="shared" si="0"/>
        <v>Jul</v>
      </c>
      <c r="B206" s="4">
        <v>205</v>
      </c>
      <c r="C206" s="3">
        <v>21755</v>
      </c>
      <c r="D206" s="4">
        <v>35</v>
      </c>
      <c r="E206" s="15">
        <f t="shared" si="31"/>
        <v>42.400682093563304</v>
      </c>
      <c r="F206" s="8">
        <f t="shared" si="25"/>
        <v>-7.3548906101428528</v>
      </c>
      <c r="G206" s="8">
        <f t="shared" si="26"/>
        <v>7.3548906101428528</v>
      </c>
      <c r="H206" s="8">
        <f t="shared" si="27"/>
        <v>54.094415887167507</v>
      </c>
      <c r="I206" s="5">
        <f t="shared" si="28"/>
        <v>0.21013973171836722</v>
      </c>
      <c r="J206" s="8">
        <f t="shared" si="29"/>
        <v>0.99892002955708581</v>
      </c>
      <c r="K206" s="8">
        <f t="shared" si="30"/>
        <v>42.354890610142853</v>
      </c>
    </row>
    <row r="207" spans="1:11" ht="15.75" customHeight="1">
      <c r="A207" s="4" t="str">
        <f t="shared" si="0"/>
        <v>Jul</v>
      </c>
      <c r="B207" s="4">
        <v>206</v>
      </c>
      <c r="C207" s="3">
        <v>21756</v>
      </c>
      <c r="D207" s="4">
        <v>36</v>
      </c>
      <c r="E207" s="15">
        <f t="shared" si="31"/>
        <v>42.419766647006711</v>
      </c>
      <c r="F207" s="8">
        <f t="shared" si="25"/>
        <v>-6.3739545528326289</v>
      </c>
      <c r="G207" s="8">
        <f t="shared" si="26"/>
        <v>6.3739545528326289</v>
      </c>
      <c r="H207" s="8">
        <f t="shared" si="27"/>
        <v>40.627296641575796</v>
      </c>
      <c r="I207" s="5">
        <f t="shared" si="28"/>
        <v>0.1770542931342397</v>
      </c>
      <c r="J207" s="8">
        <f t="shared" si="29"/>
        <v>0.99892002955708581</v>
      </c>
      <c r="K207" s="8">
        <f t="shared" si="30"/>
        <v>42.373954552832629</v>
      </c>
    </row>
    <row r="208" spans="1:11" ht="15.75" customHeight="1">
      <c r="A208" s="4" t="str">
        <f t="shared" si="0"/>
        <v>Jul</v>
      </c>
      <c r="B208" s="4">
        <v>207</v>
      </c>
      <c r="C208" s="3">
        <v>21757</v>
      </c>
      <c r="D208" s="4">
        <v>39</v>
      </c>
      <c r="E208" s="15">
        <f t="shared" si="31"/>
        <v>42.438851200450124</v>
      </c>
      <c r="F208" s="8">
        <f t="shared" si="25"/>
        <v>-3.393018495522405</v>
      </c>
      <c r="G208" s="8">
        <f t="shared" si="26"/>
        <v>3.393018495522405</v>
      </c>
      <c r="H208" s="8">
        <f t="shared" si="27"/>
        <v>11.512574510957124</v>
      </c>
      <c r="I208" s="5">
        <f t="shared" si="28"/>
        <v>8.7000474244164225E-2</v>
      </c>
      <c r="J208" s="8">
        <f t="shared" si="29"/>
        <v>0.99892002955708581</v>
      </c>
      <c r="K208" s="8">
        <f t="shared" si="30"/>
        <v>42.393018495522405</v>
      </c>
    </row>
    <row r="209" spans="1:11" ht="15.75" customHeight="1">
      <c r="A209" s="4" t="str">
        <f t="shared" si="0"/>
        <v>Jul</v>
      </c>
      <c r="B209" s="4">
        <v>208</v>
      </c>
      <c r="C209" s="3">
        <v>21758</v>
      </c>
      <c r="D209" s="4">
        <v>45</v>
      </c>
      <c r="E209" s="15">
        <f t="shared" si="31"/>
        <v>42.457935753893537</v>
      </c>
      <c r="F209" s="8">
        <f t="shared" si="25"/>
        <v>2.587917561787819</v>
      </c>
      <c r="G209" s="8">
        <f t="shared" si="26"/>
        <v>2.587917561787819</v>
      </c>
      <c r="H209" s="8">
        <f t="shared" si="27"/>
        <v>6.6973173066098095</v>
      </c>
      <c r="I209" s="5">
        <f t="shared" si="28"/>
        <v>5.750927915084042E-2</v>
      </c>
      <c r="J209" s="8">
        <f t="shared" si="29"/>
        <v>0.99892002955708581</v>
      </c>
      <c r="K209" s="8">
        <f t="shared" si="30"/>
        <v>42.412082438212181</v>
      </c>
    </row>
    <row r="210" spans="1:11" ht="15.75" customHeight="1">
      <c r="A210" s="4" t="str">
        <f t="shared" si="0"/>
        <v>Jul</v>
      </c>
      <c r="B210" s="4">
        <v>209</v>
      </c>
      <c r="C210" s="3">
        <v>21759</v>
      </c>
      <c r="D210" s="4">
        <v>43</v>
      </c>
      <c r="E210" s="15">
        <f t="shared" si="31"/>
        <v>42.47702030733695</v>
      </c>
      <c r="F210" s="8">
        <f t="shared" si="25"/>
        <v>0.56885361909804288</v>
      </c>
      <c r="G210" s="8">
        <f t="shared" si="26"/>
        <v>0.56885361909804288</v>
      </c>
      <c r="H210" s="8">
        <f t="shared" si="27"/>
        <v>0.32359443996094128</v>
      </c>
      <c r="I210" s="5">
        <f t="shared" si="28"/>
        <v>1.3229153932512625E-2</v>
      </c>
      <c r="J210" s="8">
        <f t="shared" si="29"/>
        <v>0.99892002955708581</v>
      </c>
      <c r="K210" s="8">
        <f t="shared" si="30"/>
        <v>42.431146380901957</v>
      </c>
    </row>
    <row r="211" spans="1:11" ht="15.75" customHeight="1">
      <c r="A211" s="4" t="str">
        <f t="shared" si="0"/>
        <v>Jul</v>
      </c>
      <c r="B211" s="4">
        <v>210</v>
      </c>
      <c r="C211" s="3">
        <v>21760</v>
      </c>
      <c r="D211" s="4">
        <v>47</v>
      </c>
      <c r="E211" s="15">
        <f t="shared" si="31"/>
        <v>42.496104860780363</v>
      </c>
      <c r="F211" s="8">
        <f t="shared" si="25"/>
        <v>4.5497896764082597</v>
      </c>
      <c r="G211" s="8">
        <f t="shared" si="26"/>
        <v>4.5497896764082597</v>
      </c>
      <c r="H211" s="8">
        <f t="shared" si="27"/>
        <v>20.700586099551177</v>
      </c>
      <c r="I211" s="5">
        <f t="shared" si="28"/>
        <v>9.6804035668260846E-2</v>
      </c>
      <c r="J211" s="8">
        <f t="shared" si="29"/>
        <v>0.99892002955708581</v>
      </c>
      <c r="K211" s="8">
        <f t="shared" si="30"/>
        <v>42.45021032359174</v>
      </c>
    </row>
    <row r="212" spans="1:11" ht="15.75" customHeight="1">
      <c r="A212" s="4" t="str">
        <f t="shared" si="0"/>
        <v>Jul</v>
      </c>
      <c r="B212" s="4">
        <v>211</v>
      </c>
      <c r="C212" s="3">
        <v>21761</v>
      </c>
      <c r="D212" s="4">
        <v>36</v>
      </c>
      <c r="E212" s="15">
        <f t="shared" si="31"/>
        <v>42.515189414223777</v>
      </c>
      <c r="F212" s="8">
        <f t="shared" si="25"/>
        <v>-6.4692742662815164</v>
      </c>
      <c r="G212" s="8">
        <f t="shared" si="26"/>
        <v>6.4692742662815164</v>
      </c>
      <c r="H212" s="8">
        <f t="shared" si="27"/>
        <v>41.851509532372255</v>
      </c>
      <c r="I212" s="5">
        <f t="shared" si="28"/>
        <v>0.17970206295226435</v>
      </c>
      <c r="J212" s="8">
        <f t="shared" si="29"/>
        <v>0.99892002955708581</v>
      </c>
      <c r="K212" s="8">
        <f t="shared" si="30"/>
        <v>42.469274266281516</v>
      </c>
    </row>
    <row r="213" spans="1:11" ht="15.75" customHeight="1">
      <c r="A213" s="4" t="str">
        <f t="shared" si="0"/>
        <v>Jul</v>
      </c>
      <c r="B213" s="4">
        <v>212</v>
      </c>
      <c r="C213" s="3">
        <v>21762</v>
      </c>
      <c r="D213" s="4">
        <v>41</v>
      </c>
      <c r="E213" s="15">
        <f t="shared" si="31"/>
        <v>42.53427396766719</v>
      </c>
      <c r="F213" s="8">
        <f t="shared" si="25"/>
        <v>-1.4883382089712924</v>
      </c>
      <c r="G213" s="8">
        <f t="shared" si="26"/>
        <v>1.4883382089712924</v>
      </c>
      <c r="H213" s="8">
        <f t="shared" si="27"/>
        <v>2.2151506242838743</v>
      </c>
      <c r="I213" s="5">
        <f t="shared" si="28"/>
        <v>3.6300931926129085E-2</v>
      </c>
      <c r="J213" s="8">
        <f t="shared" si="29"/>
        <v>0.99892002955708581</v>
      </c>
      <c r="K213" s="8">
        <f t="shared" si="30"/>
        <v>42.488338208971292</v>
      </c>
    </row>
    <row r="214" spans="1:11" ht="15.75" customHeight="1">
      <c r="A214" s="4" t="str">
        <f t="shared" si="0"/>
        <v>Aug</v>
      </c>
      <c r="B214" s="4">
        <v>213</v>
      </c>
      <c r="C214" s="3">
        <v>21763</v>
      </c>
      <c r="D214" s="4">
        <v>50</v>
      </c>
      <c r="E214" s="15">
        <f t="shared" si="31"/>
        <v>42.553358521110603</v>
      </c>
      <c r="F214" s="8">
        <f t="shared" si="25"/>
        <v>5.8249997639276145</v>
      </c>
      <c r="G214" s="8">
        <f t="shared" si="26"/>
        <v>5.8249997639276145</v>
      </c>
      <c r="H214" s="8">
        <f t="shared" si="27"/>
        <v>33.930622249756766</v>
      </c>
      <c r="I214" s="5">
        <f t="shared" si="28"/>
        <v>0.11649999527855229</v>
      </c>
      <c r="J214" s="8">
        <f t="shared" si="29"/>
        <v>1.0381084307166328</v>
      </c>
      <c r="K214" s="8">
        <f t="shared" si="30"/>
        <v>44.175000236072385</v>
      </c>
    </row>
    <row r="215" spans="1:11" ht="15.75" customHeight="1">
      <c r="A215" s="4" t="str">
        <f t="shared" si="0"/>
        <v>Aug</v>
      </c>
      <c r="B215" s="4">
        <v>214</v>
      </c>
      <c r="C215" s="3">
        <v>21764</v>
      </c>
      <c r="D215" s="4">
        <v>39</v>
      </c>
      <c r="E215" s="15">
        <f t="shared" si="31"/>
        <v>42.572443074554016</v>
      </c>
      <c r="F215" s="8">
        <f t="shared" si="25"/>
        <v>-5.1948120718984541</v>
      </c>
      <c r="G215" s="8">
        <f t="shared" si="26"/>
        <v>5.1948120718984541</v>
      </c>
      <c r="H215" s="8">
        <f t="shared" si="27"/>
        <v>26.986072462341909</v>
      </c>
      <c r="I215" s="5">
        <f t="shared" si="28"/>
        <v>0.13320030953585779</v>
      </c>
      <c r="J215" s="8">
        <f t="shared" si="29"/>
        <v>1.0381084307166328</v>
      </c>
      <c r="K215" s="8">
        <f t="shared" si="30"/>
        <v>44.194812071898454</v>
      </c>
    </row>
    <row r="216" spans="1:11" ht="15.75" customHeight="1">
      <c r="A216" s="4" t="str">
        <f t="shared" si="0"/>
        <v>Aug</v>
      </c>
      <c r="B216" s="4">
        <v>215</v>
      </c>
      <c r="C216" s="3">
        <v>21765</v>
      </c>
      <c r="D216" s="4">
        <v>41</v>
      </c>
      <c r="E216" s="15">
        <f t="shared" si="31"/>
        <v>42.591527627997429</v>
      </c>
      <c r="F216" s="8">
        <f t="shared" si="25"/>
        <v>-3.2146239077245227</v>
      </c>
      <c r="G216" s="8">
        <f t="shared" si="26"/>
        <v>3.2146239077245227</v>
      </c>
      <c r="H216" s="8">
        <f t="shared" si="27"/>
        <v>10.333806868114081</v>
      </c>
      <c r="I216" s="5">
        <f t="shared" si="28"/>
        <v>7.8405461164012744E-2</v>
      </c>
      <c r="J216" s="8">
        <f t="shared" si="29"/>
        <v>1.0381084307166328</v>
      </c>
      <c r="K216" s="8">
        <f t="shared" si="30"/>
        <v>44.214623907724523</v>
      </c>
    </row>
    <row r="217" spans="1:11" ht="15.75" customHeight="1">
      <c r="A217" s="4" t="str">
        <f t="shared" si="0"/>
        <v>Aug</v>
      </c>
      <c r="B217" s="4">
        <v>216</v>
      </c>
      <c r="C217" s="3">
        <v>21766</v>
      </c>
      <c r="D217" s="4">
        <v>46</v>
      </c>
      <c r="E217" s="15">
        <f t="shared" si="31"/>
        <v>42.610612181440843</v>
      </c>
      <c r="F217" s="8">
        <f t="shared" si="25"/>
        <v>1.7655642564494087</v>
      </c>
      <c r="G217" s="8">
        <f t="shared" si="26"/>
        <v>1.7655642564494087</v>
      </c>
      <c r="H217" s="8">
        <f t="shared" si="27"/>
        <v>3.1172171436517537</v>
      </c>
      <c r="I217" s="5">
        <f t="shared" si="28"/>
        <v>3.8381831661943665E-2</v>
      </c>
      <c r="J217" s="8">
        <f t="shared" si="29"/>
        <v>1.0381084307166328</v>
      </c>
      <c r="K217" s="8">
        <f t="shared" si="30"/>
        <v>44.234435743550591</v>
      </c>
    </row>
    <row r="218" spans="1:11" ht="15.75" customHeight="1">
      <c r="A218" s="4" t="str">
        <f t="shared" si="0"/>
        <v>Aug</v>
      </c>
      <c r="B218" s="4">
        <v>217</v>
      </c>
      <c r="C218" s="3">
        <v>21767</v>
      </c>
      <c r="D218" s="4">
        <v>64</v>
      </c>
      <c r="E218" s="15">
        <f t="shared" si="31"/>
        <v>42.629696734884249</v>
      </c>
      <c r="F218" s="8">
        <f t="shared" si="25"/>
        <v>19.745752420623347</v>
      </c>
      <c r="G218" s="8">
        <f t="shared" si="26"/>
        <v>19.745752420623347</v>
      </c>
      <c r="H218" s="8">
        <f t="shared" si="27"/>
        <v>389.89473865655276</v>
      </c>
      <c r="I218" s="5">
        <f t="shared" si="28"/>
        <v>0.3085273815722398</v>
      </c>
      <c r="J218" s="8">
        <f t="shared" si="29"/>
        <v>1.0381084307166328</v>
      </c>
      <c r="K218" s="8">
        <f t="shared" si="30"/>
        <v>44.254247579376653</v>
      </c>
    </row>
    <row r="219" spans="1:11" ht="15.75" customHeight="1">
      <c r="A219" s="4" t="str">
        <f t="shared" si="0"/>
        <v>Aug</v>
      </c>
      <c r="B219" s="4">
        <v>218</v>
      </c>
      <c r="C219" s="3">
        <v>21768</v>
      </c>
      <c r="D219" s="4">
        <v>45</v>
      </c>
      <c r="E219" s="15">
        <f t="shared" si="31"/>
        <v>42.648781288327662</v>
      </c>
      <c r="F219" s="8">
        <f t="shared" si="25"/>
        <v>0.72594058479727863</v>
      </c>
      <c r="G219" s="8">
        <f t="shared" si="26"/>
        <v>0.72594058479727863</v>
      </c>
      <c r="H219" s="8">
        <f t="shared" si="27"/>
        <v>0.52698973265581484</v>
      </c>
      <c r="I219" s="5">
        <f t="shared" si="28"/>
        <v>1.613201299549508E-2</v>
      </c>
      <c r="J219" s="8">
        <f t="shared" si="29"/>
        <v>1.0381084307166328</v>
      </c>
      <c r="K219" s="8">
        <f t="shared" si="30"/>
        <v>44.274059415202721</v>
      </c>
    </row>
    <row r="220" spans="1:11" ht="15.75" customHeight="1">
      <c r="A220" s="4" t="str">
        <f t="shared" si="0"/>
        <v>Aug</v>
      </c>
      <c r="B220" s="4">
        <v>219</v>
      </c>
      <c r="C220" s="3">
        <v>21769</v>
      </c>
      <c r="D220" s="4">
        <v>34</v>
      </c>
      <c r="E220" s="15">
        <f t="shared" si="31"/>
        <v>42.667865841771075</v>
      </c>
      <c r="F220" s="8">
        <f t="shared" si="25"/>
        <v>-10.29387125102879</v>
      </c>
      <c r="G220" s="8">
        <f t="shared" si="26"/>
        <v>10.29387125102879</v>
      </c>
      <c r="H220" s="8">
        <f t="shared" si="27"/>
        <v>105.96378533275703</v>
      </c>
      <c r="I220" s="5">
        <f t="shared" si="28"/>
        <v>0.30276091914790559</v>
      </c>
      <c r="J220" s="8">
        <f t="shared" si="29"/>
        <v>1.0381084307166328</v>
      </c>
      <c r="K220" s="8">
        <f t="shared" si="30"/>
        <v>44.29387125102879</v>
      </c>
    </row>
    <row r="221" spans="1:11" ht="15.75" customHeight="1">
      <c r="A221" s="4" t="str">
        <f t="shared" si="0"/>
        <v>Aug</v>
      </c>
      <c r="B221" s="4">
        <v>220</v>
      </c>
      <c r="C221" s="3">
        <v>21770</v>
      </c>
      <c r="D221" s="4">
        <v>38</v>
      </c>
      <c r="E221" s="15">
        <f t="shared" si="31"/>
        <v>42.686950395214488</v>
      </c>
      <c r="F221" s="8">
        <f t="shared" si="25"/>
        <v>-6.3136830868548657</v>
      </c>
      <c r="G221" s="8">
        <f t="shared" si="26"/>
        <v>6.3136830868548657</v>
      </c>
      <c r="H221" s="8">
        <f t="shared" si="27"/>
        <v>39.862594121237187</v>
      </c>
      <c r="I221" s="5">
        <f t="shared" si="28"/>
        <v>0.16614955491723329</v>
      </c>
      <c r="J221" s="8">
        <f t="shared" si="29"/>
        <v>1.0381084307166328</v>
      </c>
      <c r="K221" s="8">
        <f t="shared" si="30"/>
        <v>44.313683086854866</v>
      </c>
    </row>
    <row r="222" spans="1:11" ht="15.75" customHeight="1">
      <c r="A222" s="4" t="str">
        <f t="shared" si="0"/>
        <v>Aug</v>
      </c>
      <c r="B222" s="4">
        <v>221</v>
      </c>
      <c r="C222" s="3">
        <v>21771</v>
      </c>
      <c r="D222" s="4">
        <v>44</v>
      </c>
      <c r="E222" s="15">
        <f t="shared" si="31"/>
        <v>42.706034948657901</v>
      </c>
      <c r="F222" s="8">
        <f t="shared" si="25"/>
        <v>-0.33349492268093428</v>
      </c>
      <c r="G222" s="8">
        <f t="shared" si="26"/>
        <v>0.33349492268093428</v>
      </c>
      <c r="H222" s="8">
        <f t="shared" si="27"/>
        <v>0.11121886345396233</v>
      </c>
      <c r="I222" s="5">
        <f t="shared" si="28"/>
        <v>7.5794300609303249E-3</v>
      </c>
      <c r="J222" s="8">
        <f t="shared" si="29"/>
        <v>1.0381084307166328</v>
      </c>
      <c r="K222" s="8">
        <f t="shared" si="30"/>
        <v>44.333494922680934</v>
      </c>
    </row>
    <row r="223" spans="1:11" ht="15.75" customHeight="1">
      <c r="A223" s="4" t="str">
        <f t="shared" si="0"/>
        <v>Aug</v>
      </c>
      <c r="B223" s="4">
        <v>222</v>
      </c>
      <c r="C223" s="3">
        <v>21772</v>
      </c>
      <c r="D223" s="4">
        <v>48</v>
      </c>
      <c r="E223" s="15">
        <f t="shared" si="31"/>
        <v>42.725119502101315</v>
      </c>
      <c r="F223" s="8">
        <f t="shared" si="25"/>
        <v>3.6466932414929971</v>
      </c>
      <c r="G223" s="8">
        <f t="shared" si="26"/>
        <v>3.6466932414929971</v>
      </c>
      <c r="H223" s="8">
        <f t="shared" si="27"/>
        <v>13.298371597550702</v>
      </c>
      <c r="I223" s="5">
        <f t="shared" si="28"/>
        <v>7.5972775864437445E-2</v>
      </c>
      <c r="J223" s="8">
        <f t="shared" si="29"/>
        <v>1.0381084307166328</v>
      </c>
      <c r="K223" s="8">
        <f t="shared" si="30"/>
        <v>44.353306758507003</v>
      </c>
    </row>
    <row r="224" spans="1:11" ht="15.75" customHeight="1">
      <c r="A224" s="4" t="str">
        <f t="shared" si="0"/>
        <v>Aug</v>
      </c>
      <c r="B224" s="4">
        <v>223</v>
      </c>
      <c r="C224" s="3">
        <v>21773</v>
      </c>
      <c r="D224" s="4">
        <v>46</v>
      </c>
      <c r="E224" s="15">
        <f t="shared" si="31"/>
        <v>42.744204055544728</v>
      </c>
      <c r="F224" s="8">
        <f t="shared" si="25"/>
        <v>1.6268814056669285</v>
      </c>
      <c r="G224" s="8">
        <f t="shared" si="26"/>
        <v>1.6268814056669285</v>
      </c>
      <c r="H224" s="8">
        <f t="shared" si="27"/>
        <v>2.6467431081048014</v>
      </c>
      <c r="I224" s="5">
        <f t="shared" si="28"/>
        <v>3.5366987079715841E-2</v>
      </c>
      <c r="J224" s="8">
        <f t="shared" si="29"/>
        <v>1.0381084307166328</v>
      </c>
      <c r="K224" s="8">
        <f t="shared" si="30"/>
        <v>44.373118594333071</v>
      </c>
    </row>
    <row r="225" spans="1:11" ht="15.75" customHeight="1">
      <c r="A225" s="4" t="str">
        <f t="shared" si="0"/>
        <v>Aug</v>
      </c>
      <c r="B225" s="4">
        <v>224</v>
      </c>
      <c r="C225" s="3">
        <v>21774</v>
      </c>
      <c r="D225" s="4">
        <v>44</v>
      </c>
      <c r="E225" s="15">
        <f t="shared" si="31"/>
        <v>42.763288608988141</v>
      </c>
      <c r="F225" s="8">
        <f t="shared" si="25"/>
        <v>-0.39293043015914009</v>
      </c>
      <c r="G225" s="8">
        <f t="shared" si="26"/>
        <v>0.39293043015914009</v>
      </c>
      <c r="H225" s="8">
        <f t="shared" si="27"/>
        <v>0.15439432294504687</v>
      </c>
      <c r="I225" s="5">
        <f t="shared" si="28"/>
        <v>8.9302370490713656E-3</v>
      </c>
      <c r="J225" s="8">
        <f t="shared" si="29"/>
        <v>1.0381084307166328</v>
      </c>
      <c r="K225" s="8">
        <f t="shared" si="30"/>
        <v>44.39293043015914</v>
      </c>
    </row>
    <row r="226" spans="1:11" ht="15.75" customHeight="1">
      <c r="A226" s="4" t="str">
        <f t="shared" si="0"/>
        <v>Aug</v>
      </c>
      <c r="B226" s="4">
        <v>225</v>
      </c>
      <c r="C226" s="3">
        <v>21775</v>
      </c>
      <c r="D226" s="4">
        <v>37</v>
      </c>
      <c r="E226" s="15">
        <f t="shared" si="31"/>
        <v>42.782373162431554</v>
      </c>
      <c r="F226" s="8">
        <f t="shared" si="25"/>
        <v>-7.4127422659852087</v>
      </c>
      <c r="G226" s="8">
        <f t="shared" si="26"/>
        <v>7.4127422659852087</v>
      </c>
      <c r="H226" s="8">
        <f t="shared" si="27"/>
        <v>54.948747901923525</v>
      </c>
      <c r="I226" s="5">
        <f t="shared" si="28"/>
        <v>0.2003443855671678</v>
      </c>
      <c r="J226" s="8">
        <f t="shared" si="29"/>
        <v>1.0381084307166328</v>
      </c>
      <c r="K226" s="8">
        <f t="shared" si="30"/>
        <v>44.412742265985209</v>
      </c>
    </row>
    <row r="227" spans="1:11" ht="15.75" customHeight="1">
      <c r="A227" s="4" t="str">
        <f t="shared" si="0"/>
        <v>Aug</v>
      </c>
      <c r="B227" s="4">
        <v>226</v>
      </c>
      <c r="C227" s="3">
        <v>21776</v>
      </c>
      <c r="D227" s="4">
        <v>39</v>
      </c>
      <c r="E227" s="15">
        <f t="shared" si="31"/>
        <v>42.801457715874967</v>
      </c>
      <c r="F227" s="8">
        <f t="shared" si="25"/>
        <v>-5.4325541018112773</v>
      </c>
      <c r="G227" s="8">
        <f t="shared" si="26"/>
        <v>5.4325541018112773</v>
      </c>
      <c r="H227" s="8">
        <f t="shared" si="27"/>
        <v>29.512644069106535</v>
      </c>
      <c r="I227" s="5">
        <f t="shared" si="28"/>
        <v>0.13929625902080198</v>
      </c>
      <c r="J227" s="8">
        <f t="shared" si="29"/>
        <v>1.0381084307166328</v>
      </c>
      <c r="K227" s="8">
        <f t="shared" si="30"/>
        <v>44.432554101811277</v>
      </c>
    </row>
    <row r="228" spans="1:11" ht="15.75" customHeight="1">
      <c r="A228" s="4" t="str">
        <f t="shared" si="0"/>
        <v>Aug</v>
      </c>
      <c r="B228" s="4">
        <v>227</v>
      </c>
      <c r="C228" s="3">
        <v>21777</v>
      </c>
      <c r="D228" s="4">
        <v>44</v>
      </c>
      <c r="E228" s="15">
        <f t="shared" si="31"/>
        <v>42.820542269318381</v>
      </c>
      <c r="F228" s="8">
        <f t="shared" si="25"/>
        <v>-0.45236593763734589</v>
      </c>
      <c r="G228" s="8">
        <f t="shared" si="26"/>
        <v>0.45236593763734589</v>
      </c>
      <c r="H228" s="8">
        <f t="shared" si="27"/>
        <v>0.20463494153451511</v>
      </c>
      <c r="I228" s="5">
        <f t="shared" si="28"/>
        <v>1.0281044037212406E-2</v>
      </c>
      <c r="J228" s="8">
        <f t="shared" si="29"/>
        <v>1.0381084307166328</v>
      </c>
      <c r="K228" s="8">
        <f t="shared" si="30"/>
        <v>44.452365937637346</v>
      </c>
    </row>
    <row r="229" spans="1:11" ht="15.75" customHeight="1">
      <c r="A229" s="4" t="str">
        <f t="shared" si="0"/>
        <v>Aug</v>
      </c>
      <c r="B229" s="4">
        <v>228</v>
      </c>
      <c r="C229" s="3">
        <v>21778</v>
      </c>
      <c r="D229" s="4">
        <v>45</v>
      </c>
      <c r="E229" s="15">
        <f t="shared" si="31"/>
        <v>42.839626822761794</v>
      </c>
      <c r="F229" s="8">
        <f t="shared" si="25"/>
        <v>0.5278222265365855</v>
      </c>
      <c r="G229" s="8">
        <f t="shared" si="26"/>
        <v>0.5278222265365855</v>
      </c>
      <c r="H229" s="8">
        <f t="shared" si="27"/>
        <v>0.27859630282603859</v>
      </c>
      <c r="I229" s="5">
        <f t="shared" si="28"/>
        <v>1.1729382811924122E-2</v>
      </c>
      <c r="J229" s="8">
        <f t="shared" si="29"/>
        <v>1.0381084307166328</v>
      </c>
      <c r="K229" s="8">
        <f t="shared" si="30"/>
        <v>44.472177773463414</v>
      </c>
    </row>
    <row r="230" spans="1:11" ht="15.75" customHeight="1">
      <c r="A230" s="4" t="str">
        <f t="shared" si="0"/>
        <v>Aug</v>
      </c>
      <c r="B230" s="4">
        <v>229</v>
      </c>
      <c r="C230" s="3">
        <v>21779</v>
      </c>
      <c r="D230" s="4">
        <v>33</v>
      </c>
      <c r="E230" s="15">
        <f t="shared" si="31"/>
        <v>42.858711376205207</v>
      </c>
      <c r="F230" s="8">
        <f t="shared" si="25"/>
        <v>-11.491989609289483</v>
      </c>
      <c r="G230" s="8">
        <f t="shared" si="26"/>
        <v>11.491989609289483</v>
      </c>
      <c r="H230" s="8">
        <f t="shared" si="27"/>
        <v>132.06582518001744</v>
      </c>
      <c r="I230" s="5">
        <f t="shared" si="28"/>
        <v>0.34824210937240857</v>
      </c>
      <c r="J230" s="8">
        <f t="shared" si="29"/>
        <v>1.0381084307166328</v>
      </c>
      <c r="K230" s="8">
        <f t="shared" si="30"/>
        <v>44.491989609289483</v>
      </c>
    </row>
    <row r="231" spans="1:11" ht="15.75" customHeight="1">
      <c r="A231" s="4" t="str">
        <f t="shared" si="0"/>
        <v>Aug</v>
      </c>
      <c r="B231" s="4">
        <v>230</v>
      </c>
      <c r="C231" s="3">
        <v>21780</v>
      </c>
      <c r="D231" s="4">
        <v>44</v>
      </c>
      <c r="E231" s="15">
        <f t="shared" si="31"/>
        <v>42.877795929648613</v>
      </c>
      <c r="F231" s="8">
        <f t="shared" si="25"/>
        <v>-0.5118014451155517</v>
      </c>
      <c r="G231" s="8">
        <f t="shared" si="26"/>
        <v>0.5118014451155517</v>
      </c>
      <c r="H231" s="8">
        <f t="shared" si="27"/>
        <v>0.26194071922236706</v>
      </c>
      <c r="I231" s="5">
        <f t="shared" si="28"/>
        <v>1.1631851025353447E-2</v>
      </c>
      <c r="J231" s="8">
        <f t="shared" si="29"/>
        <v>1.0381084307166328</v>
      </c>
      <c r="K231" s="8">
        <f t="shared" si="30"/>
        <v>44.511801445115552</v>
      </c>
    </row>
    <row r="232" spans="1:11" ht="15.75" customHeight="1">
      <c r="A232" s="4" t="str">
        <f t="shared" si="0"/>
        <v>Aug</v>
      </c>
      <c r="B232" s="4">
        <v>231</v>
      </c>
      <c r="C232" s="3">
        <v>21781</v>
      </c>
      <c r="D232" s="4">
        <v>38</v>
      </c>
      <c r="E232" s="15">
        <f t="shared" si="31"/>
        <v>42.896880483092026</v>
      </c>
      <c r="F232" s="8">
        <f t="shared" si="25"/>
        <v>-6.5316132809416203</v>
      </c>
      <c r="G232" s="8">
        <f t="shared" si="26"/>
        <v>6.5316132809416203</v>
      </c>
      <c r="H232" s="8">
        <f t="shared" si="27"/>
        <v>42.661972051772956</v>
      </c>
      <c r="I232" s="5">
        <f t="shared" si="28"/>
        <v>0.17188456002477948</v>
      </c>
      <c r="J232" s="8">
        <f t="shared" si="29"/>
        <v>1.0381084307166328</v>
      </c>
      <c r="K232" s="8">
        <f t="shared" si="30"/>
        <v>44.53161328094162</v>
      </c>
    </row>
    <row r="233" spans="1:11" ht="15.75" customHeight="1">
      <c r="A233" s="4" t="str">
        <f t="shared" si="0"/>
        <v>Aug</v>
      </c>
      <c r="B233" s="4">
        <v>232</v>
      </c>
      <c r="C233" s="3">
        <v>21782</v>
      </c>
      <c r="D233" s="4">
        <v>46</v>
      </c>
      <c r="E233" s="15">
        <f t="shared" si="31"/>
        <v>42.915965036535439</v>
      </c>
      <c r="F233" s="8">
        <f t="shared" si="25"/>
        <v>1.4485748832323111</v>
      </c>
      <c r="G233" s="8">
        <f t="shared" si="26"/>
        <v>1.4485748832323111</v>
      </c>
      <c r="H233" s="8">
        <f t="shared" si="27"/>
        <v>2.0983691923315035</v>
      </c>
      <c r="I233" s="5">
        <f t="shared" si="28"/>
        <v>3.1490758331137195E-2</v>
      </c>
      <c r="J233" s="8">
        <f t="shared" si="29"/>
        <v>1.0381084307166328</v>
      </c>
      <c r="K233" s="8">
        <f t="shared" si="30"/>
        <v>44.551425116767689</v>
      </c>
    </row>
    <row r="234" spans="1:11" ht="15.75" customHeight="1">
      <c r="A234" s="4" t="str">
        <f t="shared" si="0"/>
        <v>Aug</v>
      </c>
      <c r="B234" s="4">
        <v>233</v>
      </c>
      <c r="C234" s="3">
        <v>21783</v>
      </c>
      <c r="D234" s="4">
        <v>46</v>
      </c>
      <c r="E234" s="15">
        <f t="shared" si="31"/>
        <v>42.935049589978853</v>
      </c>
      <c r="F234" s="8">
        <f t="shared" si="25"/>
        <v>1.4287630474062425</v>
      </c>
      <c r="G234" s="8">
        <f t="shared" si="26"/>
        <v>1.4287630474062425</v>
      </c>
      <c r="H234" s="8">
        <f t="shared" si="27"/>
        <v>2.0413638456335725</v>
      </c>
      <c r="I234" s="5">
        <f t="shared" si="28"/>
        <v>3.1060066247961794E-2</v>
      </c>
      <c r="J234" s="8">
        <f t="shared" si="29"/>
        <v>1.0381084307166328</v>
      </c>
      <c r="K234" s="8">
        <f t="shared" si="30"/>
        <v>44.571236952593758</v>
      </c>
    </row>
    <row r="235" spans="1:11" ht="15.75" customHeight="1">
      <c r="A235" s="4" t="str">
        <f t="shared" si="0"/>
        <v>Aug</v>
      </c>
      <c r="B235" s="4">
        <v>234</v>
      </c>
      <c r="C235" s="3">
        <v>21784</v>
      </c>
      <c r="D235" s="4">
        <v>40</v>
      </c>
      <c r="E235" s="15">
        <f t="shared" si="31"/>
        <v>42.954134143422266</v>
      </c>
      <c r="F235" s="8">
        <f t="shared" si="25"/>
        <v>-4.5910487884198261</v>
      </c>
      <c r="G235" s="8">
        <f t="shared" si="26"/>
        <v>4.5910487884198261</v>
      </c>
      <c r="H235" s="8">
        <f t="shared" si="27"/>
        <v>21.077728977651152</v>
      </c>
      <c r="I235" s="5">
        <f t="shared" si="28"/>
        <v>0.11477621971049565</v>
      </c>
      <c r="J235" s="8">
        <f t="shared" si="29"/>
        <v>1.0381084307166328</v>
      </c>
      <c r="K235" s="8">
        <f t="shared" si="30"/>
        <v>44.591048788419826</v>
      </c>
    </row>
    <row r="236" spans="1:11" ht="15.75" customHeight="1">
      <c r="A236" s="4" t="str">
        <f t="shared" si="0"/>
        <v>Aug</v>
      </c>
      <c r="B236" s="4">
        <v>235</v>
      </c>
      <c r="C236" s="3">
        <v>21785</v>
      </c>
      <c r="D236" s="4">
        <v>39</v>
      </c>
      <c r="E236" s="15">
        <f t="shared" si="31"/>
        <v>42.973218696865679</v>
      </c>
      <c r="F236" s="8">
        <f t="shared" si="25"/>
        <v>-5.6108606242458947</v>
      </c>
      <c r="G236" s="8">
        <f t="shared" si="26"/>
        <v>5.6108606242458947</v>
      </c>
      <c r="H236" s="8">
        <f t="shared" si="27"/>
        <v>31.48175694471303</v>
      </c>
      <c r="I236" s="5">
        <f t="shared" si="28"/>
        <v>0.14386822113451012</v>
      </c>
      <c r="J236" s="8">
        <f t="shared" si="29"/>
        <v>1.0381084307166328</v>
      </c>
      <c r="K236" s="8">
        <f t="shared" si="30"/>
        <v>44.610860624245895</v>
      </c>
    </row>
    <row r="237" spans="1:11" ht="15.75" customHeight="1">
      <c r="A237" s="4" t="str">
        <f t="shared" si="0"/>
        <v>Aug</v>
      </c>
      <c r="B237" s="4">
        <v>236</v>
      </c>
      <c r="C237" s="3">
        <v>21786</v>
      </c>
      <c r="D237" s="4">
        <v>44</v>
      </c>
      <c r="E237" s="15">
        <f t="shared" si="31"/>
        <v>42.992303250309092</v>
      </c>
      <c r="F237" s="8">
        <f t="shared" si="25"/>
        <v>-0.63067246007196331</v>
      </c>
      <c r="G237" s="8">
        <f t="shared" si="26"/>
        <v>0.63067246007196331</v>
      </c>
      <c r="H237" s="8">
        <f t="shared" si="27"/>
        <v>0.39774775189322215</v>
      </c>
      <c r="I237" s="5">
        <f t="shared" si="28"/>
        <v>1.433346500163553E-2</v>
      </c>
      <c r="J237" s="8">
        <f t="shared" si="29"/>
        <v>1.0381084307166328</v>
      </c>
      <c r="K237" s="8">
        <f t="shared" si="30"/>
        <v>44.630672460071963</v>
      </c>
    </row>
    <row r="238" spans="1:11" ht="15.75" customHeight="1">
      <c r="A238" s="4" t="str">
        <f t="shared" si="0"/>
        <v>Aug</v>
      </c>
      <c r="B238" s="4">
        <v>237</v>
      </c>
      <c r="C238" s="3">
        <v>21787</v>
      </c>
      <c r="D238" s="4">
        <v>48</v>
      </c>
      <c r="E238" s="15">
        <f t="shared" si="31"/>
        <v>43.011387803752505</v>
      </c>
      <c r="F238" s="8">
        <f t="shared" si="25"/>
        <v>3.3495157041019681</v>
      </c>
      <c r="G238" s="8">
        <f t="shared" si="26"/>
        <v>3.3495157041019681</v>
      </c>
      <c r="H238" s="8">
        <f t="shared" si="27"/>
        <v>11.219255452025703</v>
      </c>
      <c r="I238" s="5">
        <f t="shared" si="28"/>
        <v>6.9781577168791006E-2</v>
      </c>
      <c r="J238" s="8">
        <f t="shared" si="29"/>
        <v>1.0381084307166328</v>
      </c>
      <c r="K238" s="8">
        <f t="shared" si="30"/>
        <v>44.650484295898032</v>
      </c>
    </row>
    <row r="239" spans="1:11" ht="15.75" customHeight="1">
      <c r="A239" s="4" t="str">
        <f t="shared" si="0"/>
        <v>Aug</v>
      </c>
      <c r="B239" s="4">
        <v>238</v>
      </c>
      <c r="C239" s="3">
        <v>21788</v>
      </c>
      <c r="D239" s="4">
        <v>50</v>
      </c>
      <c r="E239" s="15">
        <f t="shared" si="31"/>
        <v>43.030472357195919</v>
      </c>
      <c r="F239" s="8">
        <f t="shared" si="25"/>
        <v>5.3297038682758995</v>
      </c>
      <c r="G239" s="8">
        <f t="shared" si="26"/>
        <v>5.3297038682758995</v>
      </c>
      <c r="H239" s="8">
        <f t="shared" si="27"/>
        <v>28.405743323515086</v>
      </c>
      <c r="I239" s="5">
        <f t="shared" si="28"/>
        <v>0.10659407736551799</v>
      </c>
      <c r="J239" s="8">
        <f t="shared" si="29"/>
        <v>1.0381084307166328</v>
      </c>
      <c r="K239" s="8">
        <f t="shared" si="30"/>
        <v>44.670296131724101</v>
      </c>
    </row>
    <row r="240" spans="1:11" ht="15.75" customHeight="1">
      <c r="A240" s="4" t="str">
        <f t="shared" si="0"/>
        <v>Aug</v>
      </c>
      <c r="B240" s="4">
        <v>239</v>
      </c>
      <c r="C240" s="3">
        <v>21789</v>
      </c>
      <c r="D240" s="4">
        <v>41</v>
      </c>
      <c r="E240" s="15">
        <f t="shared" si="31"/>
        <v>43.049556910639332</v>
      </c>
      <c r="F240" s="8">
        <f t="shared" si="25"/>
        <v>-3.6901079675501762</v>
      </c>
      <c r="G240" s="8">
        <f t="shared" si="26"/>
        <v>3.6901079675501762</v>
      </c>
      <c r="H240" s="8">
        <f t="shared" si="27"/>
        <v>13.616896812177293</v>
      </c>
      <c r="I240" s="5">
        <f t="shared" si="28"/>
        <v>9.0002633354882344E-2</v>
      </c>
      <c r="J240" s="8">
        <f t="shared" si="29"/>
        <v>1.0381084307166328</v>
      </c>
      <c r="K240" s="8">
        <f t="shared" si="30"/>
        <v>44.690107967550176</v>
      </c>
    </row>
    <row r="241" spans="1:11" ht="15.75" customHeight="1">
      <c r="A241" s="4" t="str">
        <f t="shared" si="0"/>
        <v>Aug</v>
      </c>
      <c r="B241" s="4">
        <v>240</v>
      </c>
      <c r="C241" s="3">
        <v>21790</v>
      </c>
      <c r="D241" s="4">
        <v>42</v>
      </c>
      <c r="E241" s="15">
        <f t="shared" si="31"/>
        <v>43.068641464082745</v>
      </c>
      <c r="F241" s="8">
        <f t="shared" si="25"/>
        <v>-2.7099198033762448</v>
      </c>
      <c r="G241" s="8">
        <f t="shared" si="26"/>
        <v>2.7099198033762448</v>
      </c>
      <c r="H241" s="8">
        <f t="shared" si="27"/>
        <v>7.3436653407307455</v>
      </c>
      <c r="I241" s="5">
        <f t="shared" si="28"/>
        <v>6.4521900080386788E-2</v>
      </c>
      <c r="J241" s="8">
        <f t="shared" si="29"/>
        <v>1.0381084307166328</v>
      </c>
      <c r="K241" s="8">
        <f t="shared" si="30"/>
        <v>44.709919803376245</v>
      </c>
    </row>
    <row r="242" spans="1:11" ht="15.75" customHeight="1">
      <c r="A242" s="4" t="str">
        <f t="shared" si="0"/>
        <v>Aug</v>
      </c>
      <c r="B242" s="4">
        <v>241</v>
      </c>
      <c r="C242" s="3">
        <v>21791</v>
      </c>
      <c r="D242" s="4">
        <v>51</v>
      </c>
      <c r="E242" s="15">
        <f t="shared" si="31"/>
        <v>43.087726017526158</v>
      </c>
      <c r="F242" s="8">
        <f t="shared" si="25"/>
        <v>6.2702683607976866</v>
      </c>
      <c r="G242" s="8">
        <f t="shared" si="26"/>
        <v>6.2702683607976866</v>
      </c>
      <c r="H242" s="8">
        <f t="shared" si="27"/>
        <v>39.316265316420505</v>
      </c>
      <c r="I242" s="5">
        <f t="shared" si="28"/>
        <v>0.12294643844701346</v>
      </c>
      <c r="J242" s="8">
        <f t="shared" si="29"/>
        <v>1.0381084307166328</v>
      </c>
      <c r="K242" s="8">
        <f t="shared" si="30"/>
        <v>44.729731639202313</v>
      </c>
    </row>
    <row r="243" spans="1:11" ht="15.75" customHeight="1">
      <c r="A243" s="4" t="str">
        <f t="shared" si="0"/>
        <v>Aug</v>
      </c>
      <c r="B243" s="4">
        <v>242</v>
      </c>
      <c r="C243" s="3">
        <v>21792</v>
      </c>
      <c r="D243" s="4">
        <v>41</v>
      </c>
      <c r="E243" s="15">
        <f t="shared" si="31"/>
        <v>43.106810570969571</v>
      </c>
      <c r="F243" s="8">
        <f t="shared" si="25"/>
        <v>-3.749543475028382</v>
      </c>
      <c r="G243" s="8">
        <f t="shared" si="26"/>
        <v>3.749543475028382</v>
      </c>
      <c r="H243" s="8">
        <f t="shared" si="27"/>
        <v>14.059076271127916</v>
      </c>
      <c r="I243" s="5">
        <f t="shared" si="28"/>
        <v>9.1452279878741022E-2</v>
      </c>
      <c r="J243" s="8">
        <f t="shared" si="29"/>
        <v>1.0381084307166328</v>
      </c>
      <c r="K243" s="8">
        <f t="shared" si="30"/>
        <v>44.749543475028382</v>
      </c>
    </row>
    <row r="244" spans="1:11" ht="15.75" customHeight="1">
      <c r="A244" s="4" t="str">
        <f t="shared" si="0"/>
        <v>Aug</v>
      </c>
      <c r="B244" s="4">
        <v>243</v>
      </c>
      <c r="C244" s="3">
        <v>21793</v>
      </c>
      <c r="D244" s="4">
        <v>44</v>
      </c>
      <c r="E244" s="15">
        <f t="shared" si="31"/>
        <v>43.125895124412978</v>
      </c>
      <c r="F244" s="8">
        <f t="shared" si="25"/>
        <v>-0.76935531085444353</v>
      </c>
      <c r="G244" s="8">
        <f t="shared" si="26"/>
        <v>0.76935531085444353</v>
      </c>
      <c r="H244" s="8">
        <f t="shared" si="27"/>
        <v>0.59190759433993745</v>
      </c>
      <c r="I244" s="5">
        <f t="shared" si="28"/>
        <v>1.7485347973964626E-2</v>
      </c>
      <c r="J244" s="8">
        <f t="shared" si="29"/>
        <v>1.0381084307166328</v>
      </c>
      <c r="K244" s="8">
        <f t="shared" si="30"/>
        <v>44.769355310854444</v>
      </c>
    </row>
    <row r="245" spans="1:11" ht="15.75" customHeight="1">
      <c r="A245" s="4" t="str">
        <f t="shared" si="0"/>
        <v>Sep</v>
      </c>
      <c r="B245" s="4">
        <v>244</v>
      </c>
      <c r="C245" s="3">
        <v>21794</v>
      </c>
      <c r="D245" s="4">
        <v>38</v>
      </c>
      <c r="E245" s="15">
        <f t="shared" si="31"/>
        <v>43.144979677856391</v>
      </c>
      <c r="F245" s="8">
        <f t="shared" si="25"/>
        <v>-11.536619948608461</v>
      </c>
      <c r="G245" s="8">
        <f t="shared" si="26"/>
        <v>11.536619948608461</v>
      </c>
      <c r="H245" s="8">
        <f t="shared" si="27"/>
        <v>133.09359983863069</v>
      </c>
      <c r="I245" s="5">
        <f t="shared" si="28"/>
        <v>0.30359526180548579</v>
      </c>
      <c r="J245" s="8">
        <f t="shared" si="29"/>
        <v>1.1481433139724597</v>
      </c>
      <c r="K245" s="8">
        <f t="shared" si="30"/>
        <v>49.536619948608461</v>
      </c>
    </row>
    <row r="246" spans="1:11" ht="15.75" customHeight="1">
      <c r="A246" s="4" t="str">
        <f t="shared" si="0"/>
        <v>Sep</v>
      </c>
      <c r="B246" s="4">
        <v>245</v>
      </c>
      <c r="C246" s="3">
        <v>21795</v>
      </c>
      <c r="D246" s="4">
        <v>68</v>
      </c>
      <c r="E246" s="15">
        <f t="shared" si="31"/>
        <v>43.164064231299804</v>
      </c>
      <c r="F246" s="8">
        <f t="shared" si="25"/>
        <v>18.441468248955331</v>
      </c>
      <c r="G246" s="8">
        <f t="shared" si="26"/>
        <v>18.441468248955331</v>
      </c>
      <c r="H246" s="8">
        <f t="shared" si="27"/>
        <v>340.08775117722763</v>
      </c>
      <c r="I246" s="5">
        <f t="shared" si="28"/>
        <v>0.27119806248463724</v>
      </c>
      <c r="J246" s="8">
        <f t="shared" si="29"/>
        <v>1.1481433139724597</v>
      </c>
      <c r="K246" s="8">
        <f t="shared" si="30"/>
        <v>49.558531751044669</v>
      </c>
    </row>
    <row r="247" spans="1:11" ht="15.75" customHeight="1">
      <c r="A247" s="4" t="str">
        <f t="shared" si="0"/>
        <v>Sep</v>
      </c>
      <c r="B247" s="4">
        <v>246</v>
      </c>
      <c r="C247" s="3">
        <v>21796</v>
      </c>
      <c r="D247" s="4">
        <v>40</v>
      </c>
      <c r="E247" s="15">
        <f t="shared" si="31"/>
        <v>43.183148784743217</v>
      </c>
      <c r="F247" s="8">
        <f t="shared" si="25"/>
        <v>-9.5804435534808761</v>
      </c>
      <c r="G247" s="8">
        <f t="shared" si="26"/>
        <v>9.5804435534808761</v>
      </c>
      <c r="H247" s="8">
        <f t="shared" si="27"/>
        <v>91.784898681433276</v>
      </c>
      <c r="I247" s="5">
        <f t="shared" si="28"/>
        <v>0.23951108883702191</v>
      </c>
      <c r="J247" s="8">
        <f t="shared" si="29"/>
        <v>1.1481433139724597</v>
      </c>
      <c r="K247" s="8">
        <f t="shared" si="30"/>
        <v>49.580443553480876</v>
      </c>
    </row>
    <row r="248" spans="1:11" ht="15.75" customHeight="1">
      <c r="A248" s="4" t="str">
        <f t="shared" si="0"/>
        <v>Sep</v>
      </c>
      <c r="B248" s="4">
        <v>247</v>
      </c>
      <c r="C248" s="3">
        <v>21797</v>
      </c>
      <c r="D248" s="4">
        <v>42</v>
      </c>
      <c r="E248" s="15">
        <f t="shared" si="31"/>
        <v>43.20223333818663</v>
      </c>
      <c r="F248" s="8">
        <f t="shared" si="25"/>
        <v>-7.6023553559170765</v>
      </c>
      <c r="G248" s="8">
        <f t="shared" si="26"/>
        <v>7.6023553559170765</v>
      </c>
      <c r="H248" s="8">
        <f t="shared" si="27"/>
        <v>57.795806957641055</v>
      </c>
      <c r="I248" s="5">
        <f t="shared" si="28"/>
        <v>0.18100846085516847</v>
      </c>
      <c r="J248" s="8">
        <f t="shared" si="29"/>
        <v>1.1481433139724597</v>
      </c>
      <c r="K248" s="8">
        <f t="shared" si="30"/>
        <v>49.602355355917076</v>
      </c>
    </row>
    <row r="249" spans="1:11" ht="15.75" customHeight="1">
      <c r="A249" s="4" t="str">
        <f t="shared" si="0"/>
        <v>Sep</v>
      </c>
      <c r="B249" s="4">
        <v>248</v>
      </c>
      <c r="C249" s="3">
        <v>21798</v>
      </c>
      <c r="D249" s="4">
        <v>51</v>
      </c>
      <c r="E249" s="15">
        <f t="shared" si="31"/>
        <v>43.221317891630044</v>
      </c>
      <c r="F249" s="8">
        <f t="shared" si="25"/>
        <v>1.3757328416467161</v>
      </c>
      <c r="G249" s="8">
        <f t="shared" si="26"/>
        <v>1.3757328416467161</v>
      </c>
      <c r="H249" s="8">
        <f t="shared" si="27"/>
        <v>1.8926408515853483</v>
      </c>
      <c r="I249" s="5">
        <f t="shared" si="28"/>
        <v>2.6975153757778748E-2</v>
      </c>
      <c r="J249" s="8">
        <f t="shared" si="29"/>
        <v>1.1481433139724597</v>
      </c>
      <c r="K249" s="8">
        <f t="shared" si="30"/>
        <v>49.624267158353284</v>
      </c>
    </row>
    <row r="250" spans="1:11" ht="15.75" customHeight="1">
      <c r="A250" s="4" t="str">
        <f t="shared" si="0"/>
        <v>Sep</v>
      </c>
      <c r="B250" s="4">
        <v>249</v>
      </c>
      <c r="C250" s="3">
        <v>21799</v>
      </c>
      <c r="D250" s="4">
        <v>44</v>
      </c>
      <c r="E250" s="15">
        <f t="shared" si="31"/>
        <v>43.240402445073457</v>
      </c>
      <c r="F250" s="8">
        <f t="shared" si="25"/>
        <v>-5.6461789607894914</v>
      </c>
      <c r="G250" s="8">
        <f t="shared" si="26"/>
        <v>5.6461789607894914</v>
      </c>
      <c r="H250" s="8">
        <f t="shared" si="27"/>
        <v>31.879336857261901</v>
      </c>
      <c r="I250" s="5">
        <f t="shared" si="28"/>
        <v>0.12832224910885207</v>
      </c>
      <c r="J250" s="8">
        <f t="shared" si="29"/>
        <v>1.1481433139724597</v>
      </c>
      <c r="K250" s="8">
        <f t="shared" si="30"/>
        <v>49.646178960789491</v>
      </c>
    </row>
    <row r="251" spans="1:11" ht="15.75" customHeight="1">
      <c r="A251" s="4" t="str">
        <f t="shared" si="0"/>
        <v>Sep</v>
      </c>
      <c r="B251" s="4">
        <v>250</v>
      </c>
      <c r="C251" s="3">
        <v>21800</v>
      </c>
      <c r="D251" s="4">
        <v>45</v>
      </c>
      <c r="E251" s="15">
        <f t="shared" si="31"/>
        <v>43.25948699851687</v>
      </c>
      <c r="F251" s="8">
        <f t="shared" si="25"/>
        <v>-4.6680907632256918</v>
      </c>
      <c r="G251" s="8">
        <f t="shared" si="26"/>
        <v>4.6680907632256918</v>
      </c>
      <c r="H251" s="8">
        <f t="shared" si="27"/>
        <v>21.791071373713024</v>
      </c>
      <c r="I251" s="5">
        <f t="shared" si="28"/>
        <v>0.10373535029390427</v>
      </c>
      <c r="J251" s="8">
        <f t="shared" si="29"/>
        <v>1.1481433139724597</v>
      </c>
      <c r="K251" s="8">
        <f t="shared" si="30"/>
        <v>49.668090763225692</v>
      </c>
    </row>
    <row r="252" spans="1:11" ht="15.75" customHeight="1">
      <c r="A252" s="4" t="str">
        <f t="shared" si="0"/>
        <v>Sep</v>
      </c>
      <c r="B252" s="4">
        <v>251</v>
      </c>
      <c r="C252" s="3">
        <v>21801</v>
      </c>
      <c r="D252" s="4">
        <v>36</v>
      </c>
      <c r="E252" s="15">
        <f t="shared" si="31"/>
        <v>43.278571551960283</v>
      </c>
      <c r="F252" s="8">
        <f t="shared" si="25"/>
        <v>-13.690002565661899</v>
      </c>
      <c r="G252" s="8">
        <f t="shared" si="26"/>
        <v>13.690002565661899</v>
      </c>
      <c r="H252" s="8">
        <f t="shared" si="27"/>
        <v>187.4161702478294</v>
      </c>
      <c r="I252" s="5">
        <f t="shared" si="28"/>
        <v>0.38027784904616385</v>
      </c>
      <c r="J252" s="8">
        <f t="shared" si="29"/>
        <v>1.1481433139724597</v>
      </c>
      <c r="K252" s="8">
        <f t="shared" si="30"/>
        <v>49.690002565661899</v>
      </c>
    </row>
    <row r="253" spans="1:11" ht="15.75" customHeight="1">
      <c r="A253" s="4" t="str">
        <f t="shared" si="0"/>
        <v>Sep</v>
      </c>
      <c r="B253" s="4">
        <v>252</v>
      </c>
      <c r="C253" s="3">
        <v>21802</v>
      </c>
      <c r="D253" s="4">
        <v>57</v>
      </c>
      <c r="E253" s="15">
        <f t="shared" si="31"/>
        <v>43.297656105403696</v>
      </c>
      <c r="F253" s="8">
        <f t="shared" si="25"/>
        <v>7.2880856319018932</v>
      </c>
      <c r="G253" s="8">
        <f t="shared" si="26"/>
        <v>7.2880856319018932</v>
      </c>
      <c r="H253" s="8">
        <f t="shared" si="27"/>
        <v>53.116192177934821</v>
      </c>
      <c r="I253" s="5">
        <f t="shared" si="28"/>
        <v>0.12786115143687532</v>
      </c>
      <c r="J253" s="8">
        <f t="shared" si="29"/>
        <v>1.1481433139724597</v>
      </c>
      <c r="K253" s="8">
        <f t="shared" si="30"/>
        <v>49.711914368098107</v>
      </c>
    </row>
    <row r="254" spans="1:11" ht="15.75" customHeight="1">
      <c r="A254" s="4" t="str">
        <f t="shared" si="0"/>
        <v>Sep</v>
      </c>
      <c r="B254" s="4">
        <v>253</v>
      </c>
      <c r="C254" s="3">
        <v>21803</v>
      </c>
      <c r="D254" s="4">
        <v>44</v>
      </c>
      <c r="E254" s="15">
        <f t="shared" si="31"/>
        <v>43.31674065884711</v>
      </c>
      <c r="F254" s="8">
        <f t="shared" si="25"/>
        <v>-5.7338261705343072</v>
      </c>
      <c r="G254" s="8">
        <f t="shared" si="26"/>
        <v>5.7338261705343072</v>
      </c>
      <c r="H254" s="8">
        <f t="shared" si="27"/>
        <v>32.876762553904115</v>
      </c>
      <c r="I254" s="5">
        <f t="shared" si="28"/>
        <v>0.13031423114850699</v>
      </c>
      <c r="J254" s="8">
        <f t="shared" si="29"/>
        <v>1.1481433139724597</v>
      </c>
      <c r="K254" s="8">
        <f t="shared" si="30"/>
        <v>49.733826170534307</v>
      </c>
    </row>
    <row r="255" spans="1:11" ht="15.75" customHeight="1">
      <c r="A255" s="4" t="str">
        <f t="shared" si="0"/>
        <v>Sep</v>
      </c>
      <c r="B255" s="4">
        <v>254</v>
      </c>
      <c r="C255" s="3">
        <v>21804</v>
      </c>
      <c r="D255" s="4">
        <v>42</v>
      </c>
      <c r="E255" s="15">
        <f t="shared" si="31"/>
        <v>43.335825212290516</v>
      </c>
      <c r="F255" s="8">
        <f t="shared" si="25"/>
        <v>-7.7557379729705076</v>
      </c>
      <c r="G255" s="8">
        <f t="shared" si="26"/>
        <v>7.7557379729705076</v>
      </c>
      <c r="H255" s="8">
        <f t="shared" si="27"/>
        <v>60.151471505376676</v>
      </c>
      <c r="I255" s="5">
        <f t="shared" si="28"/>
        <v>0.18466042792786924</v>
      </c>
      <c r="J255" s="8">
        <f t="shared" si="29"/>
        <v>1.1481433139724597</v>
      </c>
      <c r="K255" s="8">
        <f t="shared" si="30"/>
        <v>49.755737972970508</v>
      </c>
    </row>
    <row r="256" spans="1:11" ht="15.75" customHeight="1">
      <c r="A256" s="4" t="str">
        <f t="shared" si="0"/>
        <v>Sep</v>
      </c>
      <c r="B256" s="4">
        <v>255</v>
      </c>
      <c r="C256" s="3">
        <v>21805</v>
      </c>
      <c r="D256" s="4">
        <v>53</v>
      </c>
      <c r="E256" s="15">
        <f t="shared" si="31"/>
        <v>43.354909765733936</v>
      </c>
      <c r="F256" s="8">
        <f t="shared" si="25"/>
        <v>3.2223502245932849</v>
      </c>
      <c r="G256" s="8">
        <f t="shared" si="26"/>
        <v>3.2223502245932849</v>
      </c>
      <c r="H256" s="8">
        <f t="shared" si="27"/>
        <v>10.383540969936394</v>
      </c>
      <c r="I256" s="5">
        <f t="shared" si="28"/>
        <v>6.0799060841382736E-2</v>
      </c>
      <c r="J256" s="8">
        <f t="shared" si="29"/>
        <v>1.1481433139724597</v>
      </c>
      <c r="K256" s="8">
        <f t="shared" si="30"/>
        <v>49.777649775406715</v>
      </c>
    </row>
    <row r="257" spans="1:11" ht="15.75" customHeight="1">
      <c r="A257" s="4" t="str">
        <f t="shared" ref="A257:A366" si="32">IF(MONTH(C257)=1, "Jan",  IF(MONTH(C257) = 2, "Feb", IF(MONTH(C257) = 3, "Mar", IF(MONTH(C257) = 4, "Apr", IF(MONTH(C257) = 5, "May", IF(MONTH(C257) = 6, "Jun", IF(MONTH(C257) = 7, "Jul", IF(MONTH(C257) = 8, "Aug", IF(MONTH(C257) = 9, "Sep", IF(MONTH(C257) = 10, "Oct", IF(MONTH(C257) = 11, "Nov", "Dec")))))))))))</f>
        <v>Sep</v>
      </c>
      <c r="B257" s="4">
        <v>256</v>
      </c>
      <c r="C257" s="3">
        <v>21806</v>
      </c>
      <c r="D257" s="4">
        <v>42</v>
      </c>
      <c r="E257" s="15">
        <f t="shared" si="31"/>
        <v>43.373994319177342</v>
      </c>
      <c r="F257" s="8">
        <f t="shared" si="25"/>
        <v>-7.7995615778429155</v>
      </c>
      <c r="G257" s="8">
        <f t="shared" si="26"/>
        <v>7.7995615778429155</v>
      </c>
      <c r="H257" s="8">
        <f t="shared" si="27"/>
        <v>60.83316080656347</v>
      </c>
      <c r="I257" s="5">
        <f t="shared" si="28"/>
        <v>0.18570384709149798</v>
      </c>
      <c r="J257" s="8">
        <f t="shared" si="29"/>
        <v>1.1481433139724597</v>
      </c>
      <c r="K257" s="8">
        <f t="shared" si="30"/>
        <v>49.799561577842915</v>
      </c>
    </row>
    <row r="258" spans="1:11" ht="15.75" customHeight="1">
      <c r="A258" s="4" t="str">
        <f t="shared" si="32"/>
        <v>Sep</v>
      </c>
      <c r="B258" s="4">
        <v>257</v>
      </c>
      <c r="C258" s="3">
        <v>21807</v>
      </c>
      <c r="D258" s="4">
        <v>34</v>
      </c>
      <c r="E258" s="15">
        <f t="shared" si="31"/>
        <v>43.393078872620755</v>
      </c>
      <c r="F258" s="8">
        <f t="shared" si="25"/>
        <v>-15.821473380279123</v>
      </c>
      <c r="G258" s="8">
        <f t="shared" si="26"/>
        <v>15.821473380279123</v>
      </c>
      <c r="H258" s="8">
        <f t="shared" si="27"/>
        <v>250.3190199228809</v>
      </c>
      <c r="I258" s="5">
        <f t="shared" si="28"/>
        <v>0.46533745236115065</v>
      </c>
      <c r="J258" s="8">
        <f t="shared" si="29"/>
        <v>1.1481433139724597</v>
      </c>
      <c r="K258" s="8">
        <f t="shared" si="30"/>
        <v>49.821473380279123</v>
      </c>
    </row>
    <row r="259" spans="1:11" ht="15.75" customHeight="1">
      <c r="A259" s="4" t="str">
        <f t="shared" si="32"/>
        <v>Sep</v>
      </c>
      <c r="B259" s="4">
        <v>258</v>
      </c>
      <c r="C259" s="3">
        <v>21808</v>
      </c>
      <c r="D259" s="4">
        <v>40</v>
      </c>
      <c r="E259" s="15">
        <f t="shared" si="31"/>
        <v>43.412163426064168</v>
      </c>
      <c r="F259" s="8">
        <f t="shared" ref="F259:F322" si="33">D259-K259</f>
        <v>-9.8433851827153234</v>
      </c>
      <c r="G259" s="8">
        <f t="shared" ref="G259:G322" si="34">ABS(F259)</f>
        <v>9.8433851827153234</v>
      </c>
      <c r="H259" s="8">
        <f t="shared" ref="H259:H322" si="35">G259^2</f>
        <v>96.892231855299585</v>
      </c>
      <c r="I259" s="5">
        <f t="shared" ref="I259:I322" si="36">G259/D259</f>
        <v>0.24608462956788307</v>
      </c>
      <c r="J259" s="8">
        <f t="shared" ref="J259:J322" si="37">VLOOKUP(A259,$V$7:$Y$19,4,FALSE)</f>
        <v>1.1481433139724597</v>
      </c>
      <c r="K259" s="8">
        <f t="shared" ref="K259:K322" si="38">E259*J259</f>
        <v>49.843385182715323</v>
      </c>
    </row>
    <row r="260" spans="1:11" ht="15.75" customHeight="1">
      <c r="A260" s="4" t="str">
        <f t="shared" si="32"/>
        <v>Sep</v>
      </c>
      <c r="B260" s="4">
        <v>259</v>
      </c>
      <c r="C260" s="3">
        <v>21809</v>
      </c>
      <c r="D260" s="4">
        <v>56</v>
      </c>
      <c r="E260" s="15">
        <f t="shared" ref="E260:E323" si="39">$O$2+($O$3*B260)</f>
        <v>43.431247979507582</v>
      </c>
      <c r="F260" s="8">
        <f t="shared" si="33"/>
        <v>6.1347030148484691</v>
      </c>
      <c r="G260" s="8">
        <f t="shared" si="34"/>
        <v>6.1347030148484691</v>
      </c>
      <c r="H260" s="8">
        <f t="shared" si="35"/>
        <v>37.634581080390895</v>
      </c>
      <c r="I260" s="5">
        <f t="shared" si="36"/>
        <v>0.1095482681222941</v>
      </c>
      <c r="J260" s="8">
        <f t="shared" si="37"/>
        <v>1.1481433139724597</v>
      </c>
      <c r="K260" s="8">
        <f t="shared" si="38"/>
        <v>49.865296985151531</v>
      </c>
    </row>
    <row r="261" spans="1:11" ht="15.75" customHeight="1">
      <c r="A261" s="4" t="str">
        <f t="shared" si="32"/>
        <v>Sep</v>
      </c>
      <c r="B261" s="4">
        <v>260</v>
      </c>
      <c r="C261" s="3">
        <v>21810</v>
      </c>
      <c r="D261" s="4">
        <v>44</v>
      </c>
      <c r="E261" s="15">
        <f t="shared" si="39"/>
        <v>43.450332532950995</v>
      </c>
      <c r="F261" s="8">
        <f t="shared" si="33"/>
        <v>-5.8872087875877384</v>
      </c>
      <c r="G261" s="8">
        <f t="shared" si="34"/>
        <v>5.8872087875877384</v>
      </c>
      <c r="H261" s="8">
        <f t="shared" si="35"/>
        <v>34.659227308650287</v>
      </c>
      <c r="I261" s="5">
        <f t="shared" si="36"/>
        <v>0.13380019971790313</v>
      </c>
      <c r="J261" s="8">
        <f t="shared" si="37"/>
        <v>1.1481433139724597</v>
      </c>
      <c r="K261" s="8">
        <f t="shared" si="38"/>
        <v>49.887208787587738</v>
      </c>
    </row>
    <row r="262" spans="1:11" ht="15.75" customHeight="1">
      <c r="A262" s="4" t="str">
        <f t="shared" si="32"/>
        <v>Sep</v>
      </c>
      <c r="B262" s="4">
        <v>261</v>
      </c>
      <c r="C262" s="3">
        <v>21811</v>
      </c>
      <c r="D262" s="4">
        <v>53</v>
      </c>
      <c r="E262" s="15">
        <f t="shared" si="39"/>
        <v>43.469417086394408</v>
      </c>
      <c r="F262" s="8">
        <f t="shared" si="33"/>
        <v>3.0908794099760613</v>
      </c>
      <c r="G262" s="8">
        <f t="shared" si="34"/>
        <v>3.0908794099760613</v>
      </c>
      <c r="H262" s="8">
        <f t="shared" si="35"/>
        <v>9.553535527013965</v>
      </c>
      <c r="I262" s="5">
        <f t="shared" si="36"/>
        <v>5.8318479433510588E-2</v>
      </c>
      <c r="J262" s="8">
        <f t="shared" si="37"/>
        <v>1.1481433139724597</v>
      </c>
      <c r="K262" s="8">
        <f t="shared" si="38"/>
        <v>49.909120590023939</v>
      </c>
    </row>
    <row r="263" spans="1:11" ht="15.75" customHeight="1">
      <c r="A263" s="4" t="str">
        <f t="shared" si="32"/>
        <v>Sep</v>
      </c>
      <c r="B263" s="4">
        <v>262</v>
      </c>
      <c r="C263" s="3">
        <v>21812</v>
      </c>
      <c r="D263" s="4">
        <v>55</v>
      </c>
      <c r="E263" s="15">
        <f t="shared" si="39"/>
        <v>43.488501639837821</v>
      </c>
      <c r="F263" s="8">
        <f t="shared" si="33"/>
        <v>5.0689676075398538</v>
      </c>
      <c r="G263" s="8">
        <f t="shared" si="34"/>
        <v>5.0689676075398538</v>
      </c>
      <c r="H263" s="8">
        <f t="shared" si="35"/>
        <v>25.694432606288309</v>
      </c>
      <c r="I263" s="5">
        <f t="shared" si="36"/>
        <v>9.2163047409815527E-2</v>
      </c>
      <c r="J263" s="8">
        <f t="shared" si="37"/>
        <v>1.1481433139724597</v>
      </c>
      <c r="K263" s="8">
        <f t="shared" si="38"/>
        <v>49.931032392460146</v>
      </c>
    </row>
    <row r="264" spans="1:11" ht="15.75" customHeight="1">
      <c r="A264" s="4" t="str">
        <f t="shared" si="32"/>
        <v>Sep</v>
      </c>
      <c r="B264" s="4">
        <v>263</v>
      </c>
      <c r="C264" s="3">
        <v>21813</v>
      </c>
      <c r="D264" s="4">
        <v>39</v>
      </c>
      <c r="E264" s="15">
        <f t="shared" si="39"/>
        <v>43.507586193281234</v>
      </c>
      <c r="F264" s="8">
        <f t="shared" si="33"/>
        <v>-10.952944194896347</v>
      </c>
      <c r="G264" s="8">
        <f t="shared" si="34"/>
        <v>10.952944194896347</v>
      </c>
      <c r="H264" s="8">
        <f t="shared" si="35"/>
        <v>119.96698653651357</v>
      </c>
      <c r="I264" s="5">
        <f t="shared" si="36"/>
        <v>0.28084472294606017</v>
      </c>
      <c r="J264" s="8">
        <f t="shared" si="37"/>
        <v>1.1481433139724597</v>
      </c>
      <c r="K264" s="8">
        <f t="shared" si="38"/>
        <v>49.952944194896347</v>
      </c>
    </row>
    <row r="265" spans="1:11" ht="15.75" customHeight="1">
      <c r="A265" s="4" t="str">
        <f t="shared" si="32"/>
        <v>Sep</v>
      </c>
      <c r="B265" s="4">
        <v>264</v>
      </c>
      <c r="C265" s="3">
        <v>21814</v>
      </c>
      <c r="D265" s="4">
        <v>59</v>
      </c>
      <c r="E265" s="15">
        <f t="shared" si="39"/>
        <v>43.526670746724648</v>
      </c>
      <c r="F265" s="8">
        <f t="shared" si="33"/>
        <v>9.0251440026674459</v>
      </c>
      <c r="G265" s="8">
        <f t="shared" si="34"/>
        <v>9.0251440026674459</v>
      </c>
      <c r="H265" s="8">
        <f t="shared" si="35"/>
        <v>81.453224268884171</v>
      </c>
      <c r="I265" s="5">
        <f t="shared" si="36"/>
        <v>0.1529685424180923</v>
      </c>
      <c r="J265" s="8">
        <f t="shared" si="37"/>
        <v>1.1481433139724597</v>
      </c>
      <c r="K265" s="8">
        <f t="shared" si="38"/>
        <v>49.974855997332554</v>
      </c>
    </row>
    <row r="266" spans="1:11" ht="15.75" customHeight="1">
      <c r="A266" s="4" t="str">
        <f t="shared" si="32"/>
        <v>Sep</v>
      </c>
      <c r="B266" s="4">
        <v>265</v>
      </c>
      <c r="C266" s="3">
        <v>21815</v>
      </c>
      <c r="D266" s="4">
        <v>55</v>
      </c>
      <c r="E266" s="15">
        <f t="shared" si="39"/>
        <v>43.545755300168061</v>
      </c>
      <c r="F266" s="8">
        <f t="shared" si="33"/>
        <v>5.0032322002312384</v>
      </c>
      <c r="G266" s="8">
        <f t="shared" si="34"/>
        <v>5.0032322002312384</v>
      </c>
      <c r="H266" s="8">
        <f t="shared" si="35"/>
        <v>25.032332449430719</v>
      </c>
      <c r="I266" s="5">
        <f t="shared" si="36"/>
        <v>9.0967858186022515E-2</v>
      </c>
      <c r="J266" s="8">
        <f t="shared" si="37"/>
        <v>1.1481433139724597</v>
      </c>
      <c r="K266" s="8">
        <f t="shared" si="38"/>
        <v>49.996767799768762</v>
      </c>
    </row>
    <row r="267" spans="1:11" ht="15.75" customHeight="1">
      <c r="A267" s="4" t="str">
        <f t="shared" si="32"/>
        <v>Sep</v>
      </c>
      <c r="B267" s="4">
        <v>266</v>
      </c>
      <c r="C267" s="3">
        <v>21816</v>
      </c>
      <c r="D267" s="4">
        <v>73</v>
      </c>
      <c r="E267" s="15">
        <f t="shared" si="39"/>
        <v>43.564839853611474</v>
      </c>
      <c r="F267" s="8">
        <f t="shared" si="33"/>
        <v>22.981320397795038</v>
      </c>
      <c r="G267" s="8">
        <f t="shared" si="34"/>
        <v>22.981320397795038</v>
      </c>
      <c r="H267" s="8">
        <f t="shared" si="35"/>
        <v>528.14108722611024</v>
      </c>
      <c r="I267" s="5">
        <f t="shared" si="36"/>
        <v>0.31481260818897311</v>
      </c>
      <c r="J267" s="8">
        <f t="shared" si="37"/>
        <v>1.1481433139724597</v>
      </c>
      <c r="K267" s="8">
        <f t="shared" si="38"/>
        <v>50.018679602204962</v>
      </c>
    </row>
    <row r="268" spans="1:11" ht="15.75" customHeight="1">
      <c r="A268" s="4" t="str">
        <f t="shared" si="32"/>
        <v>Sep</v>
      </c>
      <c r="B268" s="4">
        <v>267</v>
      </c>
      <c r="C268" s="3">
        <v>21817</v>
      </c>
      <c r="D268" s="4">
        <v>55</v>
      </c>
      <c r="E268" s="15">
        <f t="shared" si="39"/>
        <v>43.58392440705488</v>
      </c>
      <c r="F268" s="8">
        <f t="shared" si="33"/>
        <v>4.9594085953588376</v>
      </c>
      <c r="G268" s="8">
        <f t="shared" si="34"/>
        <v>4.9594085953588376</v>
      </c>
      <c r="H268" s="8">
        <f t="shared" si="35"/>
        <v>24.595733615719119</v>
      </c>
      <c r="I268" s="5">
        <f t="shared" si="36"/>
        <v>9.0171065370160688E-2</v>
      </c>
      <c r="J268" s="8">
        <f t="shared" si="37"/>
        <v>1.1481433139724597</v>
      </c>
      <c r="K268" s="8">
        <f t="shared" si="38"/>
        <v>50.040591404641162</v>
      </c>
    </row>
    <row r="269" spans="1:11" ht="15.75" customHeight="1">
      <c r="A269" s="4" t="str">
        <f t="shared" si="32"/>
        <v>Sep</v>
      </c>
      <c r="B269" s="4">
        <v>268</v>
      </c>
      <c r="C269" s="3">
        <v>21818</v>
      </c>
      <c r="D269" s="4">
        <v>44</v>
      </c>
      <c r="E269" s="15">
        <f t="shared" si="39"/>
        <v>43.603008960498293</v>
      </c>
      <c r="F269" s="8">
        <f t="shared" si="33"/>
        <v>-6.0625032070773699</v>
      </c>
      <c r="G269" s="8">
        <f t="shared" si="34"/>
        <v>6.0625032070773699</v>
      </c>
      <c r="H269" s="8">
        <f t="shared" si="35"/>
        <v>36.753945135823393</v>
      </c>
      <c r="I269" s="5">
        <f t="shared" si="36"/>
        <v>0.13778416379721295</v>
      </c>
      <c r="J269" s="8">
        <f t="shared" si="37"/>
        <v>1.1481433139724597</v>
      </c>
      <c r="K269" s="8">
        <f t="shared" si="38"/>
        <v>50.06250320707737</v>
      </c>
    </row>
    <row r="270" spans="1:11" ht="15.75" customHeight="1">
      <c r="A270" s="4" t="str">
        <f t="shared" si="32"/>
        <v>Sep</v>
      </c>
      <c r="B270" s="4">
        <v>269</v>
      </c>
      <c r="C270" s="3">
        <v>21819</v>
      </c>
      <c r="D270" s="4">
        <v>43</v>
      </c>
      <c r="E270" s="15">
        <f t="shared" si="39"/>
        <v>43.622093513941707</v>
      </c>
      <c r="F270" s="8">
        <f t="shared" si="33"/>
        <v>-7.0844150095135703</v>
      </c>
      <c r="G270" s="8">
        <f t="shared" si="34"/>
        <v>7.0844150095135703</v>
      </c>
      <c r="H270" s="8">
        <f t="shared" si="35"/>
        <v>50.188936027021157</v>
      </c>
      <c r="I270" s="5">
        <f t="shared" si="36"/>
        <v>0.16475383743054814</v>
      </c>
      <c r="J270" s="8">
        <f t="shared" si="37"/>
        <v>1.1481433139724597</v>
      </c>
      <c r="K270" s="8">
        <f t="shared" si="38"/>
        <v>50.08441500951357</v>
      </c>
    </row>
    <row r="271" spans="1:11" ht="15.75" customHeight="1">
      <c r="A271" s="4" t="str">
        <f t="shared" si="32"/>
        <v>Sep</v>
      </c>
      <c r="B271" s="4">
        <v>270</v>
      </c>
      <c r="C271" s="3">
        <v>21820</v>
      </c>
      <c r="D271" s="4">
        <v>40</v>
      </c>
      <c r="E271" s="15">
        <f t="shared" si="39"/>
        <v>43.64117806738512</v>
      </c>
      <c r="F271" s="8">
        <f t="shared" si="33"/>
        <v>-10.106326811949778</v>
      </c>
      <c r="G271" s="8">
        <f t="shared" si="34"/>
        <v>10.106326811949778</v>
      </c>
      <c r="H271" s="8">
        <f t="shared" si="35"/>
        <v>102.13784162993495</v>
      </c>
      <c r="I271" s="5">
        <f t="shared" si="36"/>
        <v>0.25265817029874443</v>
      </c>
      <c r="J271" s="8">
        <f t="shared" si="37"/>
        <v>1.1481433139724597</v>
      </c>
      <c r="K271" s="8">
        <f t="shared" si="38"/>
        <v>50.106326811949778</v>
      </c>
    </row>
    <row r="272" spans="1:11" ht="15.75" customHeight="1">
      <c r="A272" s="4" t="str">
        <f t="shared" si="32"/>
        <v>Sep</v>
      </c>
      <c r="B272" s="4">
        <v>271</v>
      </c>
      <c r="C272" s="3">
        <v>21821</v>
      </c>
      <c r="D272" s="4">
        <v>47</v>
      </c>
      <c r="E272" s="15">
        <f t="shared" si="39"/>
        <v>43.660262620828533</v>
      </c>
      <c r="F272" s="8">
        <f t="shared" si="33"/>
        <v>-3.1282386143859782</v>
      </c>
      <c r="G272" s="8">
        <f t="shared" si="34"/>
        <v>3.1282386143859782</v>
      </c>
      <c r="H272" s="8">
        <f t="shared" si="35"/>
        <v>9.7858768285355051</v>
      </c>
      <c r="I272" s="5">
        <f t="shared" si="36"/>
        <v>6.6558268391191028E-2</v>
      </c>
      <c r="J272" s="8">
        <f t="shared" si="37"/>
        <v>1.1481433139724597</v>
      </c>
      <c r="K272" s="8">
        <f t="shared" si="38"/>
        <v>50.128238614385978</v>
      </c>
    </row>
    <row r="273" spans="1:11" ht="15.75" customHeight="1">
      <c r="A273" s="4" t="str">
        <f t="shared" si="32"/>
        <v>Sep</v>
      </c>
      <c r="B273" s="4">
        <v>272</v>
      </c>
      <c r="C273" s="3">
        <v>21822</v>
      </c>
      <c r="D273" s="4">
        <v>51</v>
      </c>
      <c r="E273" s="15">
        <f t="shared" si="39"/>
        <v>43.679347174271946</v>
      </c>
      <c r="F273" s="8">
        <f t="shared" si="33"/>
        <v>0.84984958317781434</v>
      </c>
      <c r="G273" s="8">
        <f t="shared" si="34"/>
        <v>0.84984958317781434</v>
      </c>
      <c r="H273" s="8">
        <f t="shared" si="35"/>
        <v>0.72224431402750477</v>
      </c>
      <c r="I273" s="5">
        <f t="shared" si="36"/>
        <v>1.6663717317212046E-2</v>
      </c>
      <c r="J273" s="8">
        <f t="shared" si="37"/>
        <v>1.1481433139724597</v>
      </c>
      <c r="K273" s="8">
        <f t="shared" si="38"/>
        <v>50.150150416822186</v>
      </c>
    </row>
    <row r="274" spans="1:11" ht="15.75" customHeight="1">
      <c r="A274" s="4" t="str">
        <f t="shared" si="32"/>
        <v>Sep</v>
      </c>
      <c r="B274" s="4">
        <v>273</v>
      </c>
      <c r="C274" s="3">
        <v>21823</v>
      </c>
      <c r="D274" s="4">
        <v>56</v>
      </c>
      <c r="E274" s="15">
        <f t="shared" si="39"/>
        <v>43.698431727715359</v>
      </c>
      <c r="F274" s="8">
        <f t="shared" si="33"/>
        <v>5.8279377807416068</v>
      </c>
      <c r="G274" s="8">
        <f t="shared" si="34"/>
        <v>5.8279377807416068</v>
      </c>
      <c r="H274" s="8">
        <f t="shared" si="35"/>
        <v>33.964858776195406</v>
      </c>
      <c r="I274" s="5">
        <f t="shared" si="36"/>
        <v>0.10407031751324299</v>
      </c>
      <c r="J274" s="8">
        <f t="shared" si="37"/>
        <v>1.1481433139724597</v>
      </c>
      <c r="K274" s="8">
        <f t="shared" si="38"/>
        <v>50.172062219258393</v>
      </c>
    </row>
    <row r="275" spans="1:11" ht="15.75" customHeight="1">
      <c r="A275" s="4" t="str">
        <f t="shared" si="32"/>
        <v>Oct</v>
      </c>
      <c r="B275" s="4">
        <v>274</v>
      </c>
      <c r="C275" s="3">
        <v>21824</v>
      </c>
      <c r="D275" s="4">
        <v>49</v>
      </c>
      <c r="E275" s="15">
        <f t="shared" si="39"/>
        <v>43.717516281158773</v>
      </c>
      <c r="F275" s="8">
        <f t="shared" si="33"/>
        <v>3.0454045899623878</v>
      </c>
      <c r="G275" s="8">
        <f t="shared" si="34"/>
        <v>3.0454045899623878</v>
      </c>
      <c r="H275" s="8">
        <f t="shared" si="35"/>
        <v>9.2744891165639789</v>
      </c>
      <c r="I275" s="5">
        <f t="shared" si="36"/>
        <v>6.2151114080865058E-2</v>
      </c>
      <c r="J275" s="8">
        <f t="shared" si="37"/>
        <v>1.0511712311031487</v>
      </c>
      <c r="K275" s="8">
        <f t="shared" si="38"/>
        <v>45.954595410037612</v>
      </c>
    </row>
    <row r="276" spans="1:11" ht="15.75" customHeight="1">
      <c r="A276" s="4" t="str">
        <f t="shared" si="32"/>
        <v>Oct</v>
      </c>
      <c r="B276" s="4">
        <v>275</v>
      </c>
      <c r="C276" s="3">
        <v>21825</v>
      </c>
      <c r="D276" s="4">
        <v>54</v>
      </c>
      <c r="E276" s="15">
        <f t="shared" si="39"/>
        <v>43.736600834602186</v>
      </c>
      <c r="F276" s="8">
        <f t="shared" si="33"/>
        <v>8.025343456424217</v>
      </c>
      <c r="G276" s="8">
        <f t="shared" si="34"/>
        <v>8.025343456424217</v>
      </c>
      <c r="H276" s="8">
        <f t="shared" si="35"/>
        <v>64.406137593571003</v>
      </c>
      <c r="I276" s="5">
        <f t="shared" si="36"/>
        <v>0.14861747141526327</v>
      </c>
      <c r="J276" s="8">
        <f t="shared" si="37"/>
        <v>1.0511712311031487</v>
      </c>
      <c r="K276" s="8">
        <f t="shared" si="38"/>
        <v>45.974656543575783</v>
      </c>
    </row>
    <row r="277" spans="1:11" ht="15.75" customHeight="1">
      <c r="A277" s="4" t="str">
        <f t="shared" si="32"/>
        <v>Oct</v>
      </c>
      <c r="B277" s="4">
        <v>276</v>
      </c>
      <c r="C277" s="3">
        <v>21826</v>
      </c>
      <c r="D277" s="4">
        <v>56</v>
      </c>
      <c r="E277" s="15">
        <f t="shared" si="39"/>
        <v>43.755685388045599</v>
      </c>
      <c r="F277" s="8">
        <f t="shared" si="33"/>
        <v>10.005282322886053</v>
      </c>
      <c r="G277" s="8">
        <f t="shared" si="34"/>
        <v>10.005282322886053</v>
      </c>
      <c r="H277" s="8">
        <f t="shared" si="35"/>
        <v>100.10567436065614</v>
      </c>
      <c r="I277" s="5">
        <f t="shared" si="36"/>
        <v>0.17866575576582239</v>
      </c>
      <c r="J277" s="8">
        <f t="shared" si="37"/>
        <v>1.0511712311031487</v>
      </c>
      <c r="K277" s="8">
        <f t="shared" si="38"/>
        <v>45.994717677113947</v>
      </c>
    </row>
    <row r="278" spans="1:11" ht="15.75" customHeight="1">
      <c r="A278" s="4" t="str">
        <f t="shared" si="32"/>
        <v>Oct</v>
      </c>
      <c r="B278" s="4">
        <v>277</v>
      </c>
      <c r="C278" s="3">
        <v>21827</v>
      </c>
      <c r="D278" s="4">
        <v>47</v>
      </c>
      <c r="E278" s="15">
        <f t="shared" si="39"/>
        <v>43.774769941489012</v>
      </c>
      <c r="F278" s="8">
        <f t="shared" si="33"/>
        <v>0.98522118934788949</v>
      </c>
      <c r="G278" s="8">
        <f t="shared" si="34"/>
        <v>0.98522118934788949</v>
      </c>
      <c r="H278" s="8">
        <f t="shared" si="35"/>
        <v>0.97066079194006993</v>
      </c>
      <c r="I278" s="5">
        <f t="shared" si="36"/>
        <v>2.0962152964848713E-2</v>
      </c>
      <c r="J278" s="8">
        <f t="shared" si="37"/>
        <v>1.0511712311031487</v>
      </c>
      <c r="K278" s="8">
        <f t="shared" si="38"/>
        <v>46.014778810652111</v>
      </c>
    </row>
    <row r="279" spans="1:11" ht="15.75" customHeight="1">
      <c r="A279" s="4" t="str">
        <f t="shared" si="32"/>
        <v>Oct</v>
      </c>
      <c r="B279" s="4">
        <v>278</v>
      </c>
      <c r="C279" s="3">
        <v>21828</v>
      </c>
      <c r="D279" s="4">
        <v>44</v>
      </c>
      <c r="E279" s="15">
        <f t="shared" si="39"/>
        <v>43.793854494932425</v>
      </c>
      <c r="F279" s="8">
        <f t="shared" si="33"/>
        <v>-2.0348399441902814</v>
      </c>
      <c r="G279" s="8">
        <f t="shared" si="34"/>
        <v>2.0348399441902814</v>
      </c>
      <c r="H279" s="8">
        <f t="shared" si="35"/>
        <v>4.1405735984723071</v>
      </c>
      <c r="I279" s="5">
        <f t="shared" si="36"/>
        <v>4.6246362367960939E-2</v>
      </c>
      <c r="J279" s="8">
        <f t="shared" si="37"/>
        <v>1.0511712311031487</v>
      </c>
      <c r="K279" s="8">
        <f t="shared" si="38"/>
        <v>46.034839944190281</v>
      </c>
    </row>
    <row r="280" spans="1:11" ht="15.75" customHeight="1">
      <c r="A280" s="4" t="str">
        <f t="shared" si="32"/>
        <v>Oct</v>
      </c>
      <c r="B280" s="4">
        <v>279</v>
      </c>
      <c r="C280" s="3">
        <v>21829</v>
      </c>
      <c r="D280" s="4">
        <v>43</v>
      </c>
      <c r="E280" s="15">
        <f t="shared" si="39"/>
        <v>43.812939048375839</v>
      </c>
      <c r="F280" s="8">
        <f t="shared" si="33"/>
        <v>-3.0549010777284451</v>
      </c>
      <c r="G280" s="8">
        <f t="shared" si="34"/>
        <v>3.0549010777284451</v>
      </c>
      <c r="H280" s="8">
        <f t="shared" si="35"/>
        <v>9.3324205947064147</v>
      </c>
      <c r="I280" s="5">
        <f t="shared" si="36"/>
        <v>7.104421110996384E-2</v>
      </c>
      <c r="J280" s="8">
        <f t="shared" si="37"/>
        <v>1.0511712311031487</v>
      </c>
      <c r="K280" s="8">
        <f t="shared" si="38"/>
        <v>46.054901077728445</v>
      </c>
    </row>
    <row r="281" spans="1:11" ht="15.75" customHeight="1">
      <c r="A281" s="4" t="str">
        <f t="shared" si="32"/>
        <v>Oct</v>
      </c>
      <c r="B281" s="4">
        <v>280</v>
      </c>
      <c r="C281" s="3">
        <v>21830</v>
      </c>
      <c r="D281" s="4">
        <v>42</v>
      </c>
      <c r="E281" s="15">
        <f t="shared" si="39"/>
        <v>43.832023601819245</v>
      </c>
      <c r="F281" s="8">
        <f t="shared" si="33"/>
        <v>-4.0749622112666017</v>
      </c>
      <c r="G281" s="8">
        <f t="shared" si="34"/>
        <v>4.0749622112666017</v>
      </c>
      <c r="H281" s="8">
        <f t="shared" si="35"/>
        <v>16.605317023250791</v>
      </c>
      <c r="I281" s="5">
        <f t="shared" si="36"/>
        <v>9.7022909792061948E-2</v>
      </c>
      <c r="J281" s="8">
        <f t="shared" si="37"/>
        <v>1.0511712311031487</v>
      </c>
      <c r="K281" s="8">
        <f t="shared" si="38"/>
        <v>46.074962211266602</v>
      </c>
    </row>
    <row r="282" spans="1:11" ht="15.75" customHeight="1">
      <c r="A282" s="4" t="str">
        <f t="shared" si="32"/>
        <v>Oct</v>
      </c>
      <c r="B282" s="4">
        <v>281</v>
      </c>
      <c r="C282" s="3">
        <v>21831</v>
      </c>
      <c r="D282" s="4">
        <v>45</v>
      </c>
      <c r="E282" s="15">
        <f t="shared" si="39"/>
        <v>43.851108155262658</v>
      </c>
      <c r="F282" s="8">
        <f t="shared" si="33"/>
        <v>-1.0950233448047726</v>
      </c>
      <c r="G282" s="8">
        <f t="shared" si="34"/>
        <v>1.0950233448047726</v>
      </c>
      <c r="H282" s="8">
        <f t="shared" si="35"/>
        <v>1.1990761256674318</v>
      </c>
      <c r="I282" s="5">
        <f t="shared" si="36"/>
        <v>2.4333852106772726E-2</v>
      </c>
      <c r="J282" s="8">
        <f t="shared" si="37"/>
        <v>1.0511712311031487</v>
      </c>
      <c r="K282" s="8">
        <f t="shared" si="38"/>
        <v>46.095023344804773</v>
      </c>
    </row>
    <row r="283" spans="1:11" ht="15.75" customHeight="1">
      <c r="A283" s="4" t="str">
        <f t="shared" si="32"/>
        <v>Oct</v>
      </c>
      <c r="B283" s="4">
        <v>282</v>
      </c>
      <c r="C283" s="3">
        <v>21832</v>
      </c>
      <c r="D283" s="4">
        <v>50</v>
      </c>
      <c r="E283" s="15">
        <f t="shared" si="39"/>
        <v>43.870192708706071</v>
      </c>
      <c r="F283" s="8">
        <f t="shared" si="33"/>
        <v>3.8849155216570637</v>
      </c>
      <c r="G283" s="8">
        <f t="shared" si="34"/>
        <v>3.8849155216570637</v>
      </c>
      <c r="H283" s="8">
        <f t="shared" si="35"/>
        <v>15.092568610411975</v>
      </c>
      <c r="I283" s="5">
        <f t="shared" si="36"/>
        <v>7.7698310433141279E-2</v>
      </c>
      <c r="J283" s="8">
        <f t="shared" si="37"/>
        <v>1.0511712311031487</v>
      </c>
      <c r="K283" s="8">
        <f t="shared" si="38"/>
        <v>46.115084478342936</v>
      </c>
    </row>
    <row r="284" spans="1:11" ht="15.75" customHeight="1">
      <c r="A284" s="4" t="str">
        <f t="shared" si="32"/>
        <v>Oct</v>
      </c>
      <c r="B284" s="4">
        <v>283</v>
      </c>
      <c r="C284" s="3">
        <v>21833</v>
      </c>
      <c r="D284" s="4">
        <v>48</v>
      </c>
      <c r="E284" s="15">
        <f t="shared" si="39"/>
        <v>43.889277262149484</v>
      </c>
      <c r="F284" s="8">
        <f t="shared" si="33"/>
        <v>1.8648543881188928</v>
      </c>
      <c r="G284" s="8">
        <f t="shared" si="34"/>
        <v>1.8648543881188928</v>
      </c>
      <c r="H284" s="8">
        <f t="shared" si="35"/>
        <v>3.4776818888862899</v>
      </c>
      <c r="I284" s="5">
        <f t="shared" si="36"/>
        <v>3.8851133085810265E-2</v>
      </c>
      <c r="J284" s="8">
        <f t="shared" si="37"/>
        <v>1.0511712311031487</v>
      </c>
      <c r="K284" s="8">
        <f t="shared" si="38"/>
        <v>46.135145611881107</v>
      </c>
    </row>
    <row r="285" spans="1:11" ht="15.75" customHeight="1">
      <c r="A285" s="4" t="str">
        <f t="shared" si="32"/>
        <v>Oct</v>
      </c>
      <c r="B285" s="4">
        <v>284</v>
      </c>
      <c r="C285" s="3">
        <v>21834</v>
      </c>
      <c r="D285" s="4">
        <v>43</v>
      </c>
      <c r="E285" s="15">
        <f t="shared" si="39"/>
        <v>43.908361815592897</v>
      </c>
      <c r="F285" s="8">
        <f t="shared" si="33"/>
        <v>-3.1552067454192709</v>
      </c>
      <c r="G285" s="8">
        <f t="shared" si="34"/>
        <v>3.1552067454192709</v>
      </c>
      <c r="H285" s="8">
        <f t="shared" si="35"/>
        <v>9.9553296063392676</v>
      </c>
      <c r="I285" s="5">
        <f t="shared" si="36"/>
        <v>7.3376901056262114E-2</v>
      </c>
      <c r="J285" s="8">
        <f t="shared" si="37"/>
        <v>1.0511712311031487</v>
      </c>
      <c r="K285" s="8">
        <f t="shared" si="38"/>
        <v>46.155206745419271</v>
      </c>
    </row>
    <row r="286" spans="1:11" ht="15.75" customHeight="1">
      <c r="A286" s="4" t="str">
        <f t="shared" si="32"/>
        <v>Oct</v>
      </c>
      <c r="B286" s="4">
        <v>285</v>
      </c>
      <c r="C286" s="3">
        <v>21835</v>
      </c>
      <c r="D286" s="4">
        <v>40</v>
      </c>
      <c r="E286" s="15">
        <f t="shared" si="39"/>
        <v>43.927446369036311</v>
      </c>
      <c r="F286" s="8">
        <f t="shared" si="33"/>
        <v>-6.1752678789574347</v>
      </c>
      <c r="G286" s="8">
        <f t="shared" si="34"/>
        <v>6.1752678789574347</v>
      </c>
      <c r="H286" s="8">
        <f t="shared" si="35"/>
        <v>38.133933376883455</v>
      </c>
      <c r="I286" s="5">
        <f t="shared" si="36"/>
        <v>0.15438169697393586</v>
      </c>
      <c r="J286" s="8">
        <f t="shared" si="37"/>
        <v>1.0511712311031487</v>
      </c>
      <c r="K286" s="8">
        <f t="shared" si="38"/>
        <v>46.175267878957435</v>
      </c>
    </row>
    <row r="287" spans="1:11" ht="15.75" customHeight="1">
      <c r="A287" s="4" t="str">
        <f t="shared" si="32"/>
        <v>Oct</v>
      </c>
      <c r="B287" s="4">
        <v>286</v>
      </c>
      <c r="C287" s="3">
        <v>21836</v>
      </c>
      <c r="D287" s="4">
        <v>59</v>
      </c>
      <c r="E287" s="15">
        <f t="shared" si="39"/>
        <v>43.946530922479724</v>
      </c>
      <c r="F287" s="8">
        <f t="shared" si="33"/>
        <v>12.804670987504394</v>
      </c>
      <c r="G287" s="8">
        <f t="shared" si="34"/>
        <v>12.804670987504394</v>
      </c>
      <c r="H287" s="8">
        <f t="shared" si="35"/>
        <v>163.95959909823677</v>
      </c>
      <c r="I287" s="5">
        <f t="shared" si="36"/>
        <v>0.21702832182210838</v>
      </c>
      <c r="J287" s="8">
        <f t="shared" si="37"/>
        <v>1.0511712311031487</v>
      </c>
      <c r="K287" s="8">
        <f t="shared" si="38"/>
        <v>46.195329012495606</v>
      </c>
    </row>
    <row r="288" spans="1:11" ht="15.75" customHeight="1">
      <c r="A288" s="4" t="str">
        <f t="shared" si="32"/>
        <v>Oct</v>
      </c>
      <c r="B288" s="4">
        <v>287</v>
      </c>
      <c r="C288" s="3">
        <v>21837</v>
      </c>
      <c r="D288" s="4">
        <v>41</v>
      </c>
      <c r="E288" s="15">
        <f t="shared" si="39"/>
        <v>43.965615475923137</v>
      </c>
      <c r="F288" s="8">
        <f t="shared" si="33"/>
        <v>-5.2153901460337693</v>
      </c>
      <c r="G288" s="8">
        <f t="shared" si="34"/>
        <v>5.2153901460337693</v>
      </c>
      <c r="H288" s="8">
        <f t="shared" si="35"/>
        <v>27.200294375346139</v>
      </c>
      <c r="I288" s="5">
        <f t="shared" si="36"/>
        <v>0.12720463770814072</v>
      </c>
      <c r="J288" s="8">
        <f t="shared" si="37"/>
        <v>1.0511712311031487</v>
      </c>
      <c r="K288" s="8">
        <f t="shared" si="38"/>
        <v>46.215390146033769</v>
      </c>
    </row>
    <row r="289" spans="1:11" ht="15.75" customHeight="1">
      <c r="A289" s="4" t="str">
        <f t="shared" si="32"/>
        <v>Oct</v>
      </c>
      <c r="B289" s="4">
        <v>288</v>
      </c>
      <c r="C289" s="3">
        <v>21838</v>
      </c>
      <c r="D289" s="4">
        <v>42</v>
      </c>
      <c r="E289" s="15">
        <f t="shared" si="39"/>
        <v>43.98470002936655</v>
      </c>
      <c r="F289" s="8">
        <f t="shared" si="33"/>
        <v>-4.2354512795719401</v>
      </c>
      <c r="G289" s="8">
        <f t="shared" si="34"/>
        <v>4.2354512795719401</v>
      </c>
      <c r="H289" s="8">
        <f t="shared" si="35"/>
        <v>17.939047541627584</v>
      </c>
      <c r="I289" s="5">
        <f t="shared" si="36"/>
        <v>0.1008440780850462</v>
      </c>
      <c r="J289" s="8">
        <f t="shared" si="37"/>
        <v>1.0511712311031487</v>
      </c>
      <c r="K289" s="8">
        <f t="shared" si="38"/>
        <v>46.23545127957194</v>
      </c>
    </row>
    <row r="290" spans="1:11" ht="15.75" customHeight="1">
      <c r="A290" s="4" t="str">
        <f t="shared" si="32"/>
        <v>Oct</v>
      </c>
      <c r="B290" s="4">
        <v>289</v>
      </c>
      <c r="C290" s="3">
        <v>21839</v>
      </c>
      <c r="D290" s="4">
        <v>51</v>
      </c>
      <c r="E290" s="15">
        <f t="shared" si="39"/>
        <v>44.003784582809963</v>
      </c>
      <c r="F290" s="8">
        <f t="shared" si="33"/>
        <v>4.7444875868898961</v>
      </c>
      <c r="G290" s="8">
        <f t="shared" si="34"/>
        <v>4.7444875868898961</v>
      </c>
      <c r="H290" s="8">
        <f t="shared" si="35"/>
        <v>22.510162462152309</v>
      </c>
      <c r="I290" s="5">
        <f t="shared" si="36"/>
        <v>9.3029168370390117E-2</v>
      </c>
      <c r="J290" s="8">
        <f t="shared" si="37"/>
        <v>1.0511712311031487</v>
      </c>
      <c r="K290" s="8">
        <f t="shared" si="38"/>
        <v>46.255512413110104</v>
      </c>
    </row>
    <row r="291" spans="1:11" ht="15.75" customHeight="1">
      <c r="A291" s="4" t="str">
        <f t="shared" si="32"/>
        <v>Oct</v>
      </c>
      <c r="B291" s="4">
        <v>290</v>
      </c>
      <c r="C291" s="3">
        <v>21840</v>
      </c>
      <c r="D291" s="4">
        <v>49</v>
      </c>
      <c r="E291" s="15">
        <f t="shared" si="39"/>
        <v>44.022869136253377</v>
      </c>
      <c r="F291" s="8">
        <f t="shared" si="33"/>
        <v>2.7244264533517324</v>
      </c>
      <c r="G291" s="8">
        <f t="shared" si="34"/>
        <v>2.7244264533517324</v>
      </c>
      <c r="H291" s="8">
        <f t="shared" si="35"/>
        <v>7.422499499722699</v>
      </c>
      <c r="I291" s="5">
        <f t="shared" si="36"/>
        <v>5.560053986432107E-2</v>
      </c>
      <c r="J291" s="8">
        <f t="shared" si="37"/>
        <v>1.0511712311031487</v>
      </c>
      <c r="K291" s="8">
        <f t="shared" si="38"/>
        <v>46.275573546648268</v>
      </c>
    </row>
    <row r="292" spans="1:11" ht="15.75" customHeight="1">
      <c r="A292" s="4" t="str">
        <f t="shared" si="32"/>
        <v>Oct</v>
      </c>
      <c r="B292" s="4">
        <v>291</v>
      </c>
      <c r="C292" s="3">
        <v>21841</v>
      </c>
      <c r="D292" s="4">
        <v>45</v>
      </c>
      <c r="E292" s="15">
        <f t="shared" si="39"/>
        <v>44.041953689696783</v>
      </c>
      <c r="F292" s="8">
        <f t="shared" si="33"/>
        <v>-1.2956346801864314</v>
      </c>
      <c r="G292" s="8">
        <f t="shared" si="34"/>
        <v>1.2956346801864314</v>
      </c>
      <c r="H292" s="8">
        <f t="shared" si="35"/>
        <v>1.6786692245017962</v>
      </c>
      <c r="I292" s="5">
        <f t="shared" si="36"/>
        <v>2.8791881781920697E-2</v>
      </c>
      <c r="J292" s="8">
        <f t="shared" si="37"/>
        <v>1.0511712311031487</v>
      </c>
      <c r="K292" s="8">
        <f t="shared" si="38"/>
        <v>46.295634680186431</v>
      </c>
    </row>
    <row r="293" spans="1:11" ht="15.75" customHeight="1">
      <c r="A293" s="4" t="str">
        <f t="shared" si="32"/>
        <v>Oct</v>
      </c>
      <c r="B293" s="4">
        <v>292</v>
      </c>
      <c r="C293" s="3">
        <v>21842</v>
      </c>
      <c r="D293" s="4">
        <v>43</v>
      </c>
      <c r="E293" s="15">
        <f t="shared" si="39"/>
        <v>44.061038243140203</v>
      </c>
      <c r="F293" s="8">
        <f t="shared" si="33"/>
        <v>-3.3156958137246022</v>
      </c>
      <c r="G293" s="8">
        <f t="shared" si="34"/>
        <v>3.3156958137246022</v>
      </c>
      <c r="H293" s="8">
        <f t="shared" si="35"/>
        <v>10.993838729150852</v>
      </c>
      <c r="I293" s="5">
        <f t="shared" si="36"/>
        <v>7.7109204970339587E-2</v>
      </c>
      <c r="J293" s="8">
        <f t="shared" si="37"/>
        <v>1.0511712311031487</v>
      </c>
      <c r="K293" s="8">
        <f t="shared" si="38"/>
        <v>46.315695813724602</v>
      </c>
    </row>
    <row r="294" spans="1:11" ht="15.75" customHeight="1">
      <c r="A294" s="4" t="str">
        <f t="shared" si="32"/>
        <v>Oct</v>
      </c>
      <c r="B294" s="4">
        <v>293</v>
      </c>
      <c r="C294" s="3">
        <v>21843</v>
      </c>
      <c r="D294" s="4">
        <v>42</v>
      </c>
      <c r="E294" s="15">
        <f t="shared" si="39"/>
        <v>44.080122796583609</v>
      </c>
      <c r="F294" s="8">
        <f t="shared" si="33"/>
        <v>-4.3357569472627588</v>
      </c>
      <c r="G294" s="8">
        <f t="shared" si="34"/>
        <v>4.3357569472627588</v>
      </c>
      <c r="H294" s="8">
        <f t="shared" si="35"/>
        <v>18.798788305737279</v>
      </c>
      <c r="I294" s="5">
        <f t="shared" si="36"/>
        <v>0.10323230826816092</v>
      </c>
      <c r="J294" s="8">
        <f t="shared" si="37"/>
        <v>1.0511712311031487</v>
      </c>
      <c r="K294" s="8">
        <f t="shared" si="38"/>
        <v>46.335756947262759</v>
      </c>
    </row>
    <row r="295" spans="1:11" ht="15.75" customHeight="1">
      <c r="A295" s="4" t="str">
        <f t="shared" si="32"/>
        <v>Oct</v>
      </c>
      <c r="B295" s="4">
        <v>294</v>
      </c>
      <c r="C295" s="3">
        <v>21844</v>
      </c>
      <c r="D295" s="4">
        <v>38</v>
      </c>
      <c r="E295" s="15">
        <f t="shared" si="39"/>
        <v>44.099207350027022</v>
      </c>
      <c r="F295" s="8">
        <f t="shared" si="33"/>
        <v>-8.3558180808009297</v>
      </c>
      <c r="G295" s="8">
        <f t="shared" si="34"/>
        <v>8.3558180808009297</v>
      </c>
      <c r="H295" s="8">
        <f t="shared" si="35"/>
        <v>69.819695799439728</v>
      </c>
      <c r="I295" s="5">
        <f t="shared" si="36"/>
        <v>0.21988994949476132</v>
      </c>
      <c r="J295" s="8">
        <f t="shared" si="37"/>
        <v>1.0511712311031487</v>
      </c>
      <c r="K295" s="8">
        <f t="shared" si="38"/>
        <v>46.35581808080093</v>
      </c>
    </row>
    <row r="296" spans="1:11" ht="15.75" customHeight="1">
      <c r="A296" s="4" t="str">
        <f t="shared" si="32"/>
        <v>Oct</v>
      </c>
      <c r="B296" s="4">
        <v>295</v>
      </c>
      <c r="C296" s="3">
        <v>21845</v>
      </c>
      <c r="D296" s="4">
        <v>47</v>
      </c>
      <c r="E296" s="15">
        <f t="shared" si="39"/>
        <v>44.118291903470435</v>
      </c>
      <c r="F296" s="8">
        <f t="shared" si="33"/>
        <v>0.62412078566090656</v>
      </c>
      <c r="G296" s="8">
        <f t="shared" si="34"/>
        <v>0.62412078566090656</v>
      </c>
      <c r="H296" s="8">
        <f t="shared" si="35"/>
        <v>0.38952675509398726</v>
      </c>
      <c r="I296" s="5">
        <f t="shared" si="36"/>
        <v>1.3279165652359714E-2</v>
      </c>
      <c r="J296" s="8">
        <f t="shared" si="37"/>
        <v>1.0511712311031487</v>
      </c>
      <c r="K296" s="8">
        <f t="shared" si="38"/>
        <v>46.375879214339093</v>
      </c>
    </row>
    <row r="297" spans="1:11" ht="15.75" customHeight="1">
      <c r="A297" s="4" t="str">
        <f t="shared" si="32"/>
        <v>Oct</v>
      </c>
      <c r="B297" s="4">
        <v>296</v>
      </c>
      <c r="C297" s="3">
        <v>21846</v>
      </c>
      <c r="D297" s="4">
        <v>38</v>
      </c>
      <c r="E297" s="15">
        <f t="shared" si="39"/>
        <v>44.137376456913849</v>
      </c>
      <c r="F297" s="8">
        <f t="shared" si="33"/>
        <v>-8.3959403478772643</v>
      </c>
      <c r="G297" s="8">
        <f t="shared" si="34"/>
        <v>8.3959403478772643</v>
      </c>
      <c r="H297" s="8">
        <f t="shared" si="35"/>
        <v>70.491814325113396</v>
      </c>
      <c r="I297" s="5">
        <f t="shared" si="36"/>
        <v>0.22094579862834907</v>
      </c>
      <c r="J297" s="8">
        <f t="shared" si="37"/>
        <v>1.0511712311031487</v>
      </c>
      <c r="K297" s="8">
        <f t="shared" si="38"/>
        <v>46.395940347877264</v>
      </c>
    </row>
    <row r="298" spans="1:11" ht="15.75" customHeight="1">
      <c r="A298" s="4" t="str">
        <f t="shared" si="32"/>
        <v>Oct</v>
      </c>
      <c r="B298" s="4">
        <v>297</v>
      </c>
      <c r="C298" s="3">
        <v>21847</v>
      </c>
      <c r="D298" s="4">
        <v>36</v>
      </c>
      <c r="E298" s="15">
        <f t="shared" si="39"/>
        <v>44.156461010357262</v>
      </c>
      <c r="F298" s="8">
        <f t="shared" si="33"/>
        <v>-10.416001481415428</v>
      </c>
      <c r="G298" s="8">
        <f t="shared" si="34"/>
        <v>10.416001481415428</v>
      </c>
      <c r="H298" s="8">
        <f t="shared" si="35"/>
        <v>108.49308686084839</v>
      </c>
      <c r="I298" s="5">
        <f t="shared" si="36"/>
        <v>0.2893333744837619</v>
      </c>
      <c r="J298" s="8">
        <f t="shared" si="37"/>
        <v>1.0511712311031487</v>
      </c>
      <c r="K298" s="8">
        <f t="shared" si="38"/>
        <v>46.416001481415428</v>
      </c>
    </row>
    <row r="299" spans="1:11" ht="15.75" customHeight="1">
      <c r="A299" s="4" t="str">
        <f t="shared" si="32"/>
        <v>Oct</v>
      </c>
      <c r="B299" s="4">
        <v>298</v>
      </c>
      <c r="C299" s="3">
        <v>21848</v>
      </c>
      <c r="D299" s="4">
        <v>42</v>
      </c>
      <c r="E299" s="15">
        <f t="shared" si="39"/>
        <v>44.175545563800675</v>
      </c>
      <c r="F299" s="8">
        <f t="shared" si="33"/>
        <v>-4.4360626149535918</v>
      </c>
      <c r="G299" s="8">
        <f t="shared" si="34"/>
        <v>4.4360626149535918</v>
      </c>
      <c r="H299" s="8">
        <f t="shared" si="35"/>
        <v>19.678651523788897</v>
      </c>
      <c r="I299" s="5">
        <f t="shared" si="36"/>
        <v>0.10562053845127599</v>
      </c>
      <c r="J299" s="8">
        <f t="shared" si="37"/>
        <v>1.0511712311031487</v>
      </c>
      <c r="K299" s="8">
        <f t="shared" si="38"/>
        <v>46.436062614953592</v>
      </c>
    </row>
    <row r="300" spans="1:11" ht="15.75" customHeight="1">
      <c r="A300" s="4" t="str">
        <f t="shared" si="32"/>
        <v>Oct</v>
      </c>
      <c r="B300" s="4">
        <v>299</v>
      </c>
      <c r="C300" s="3">
        <v>21849</v>
      </c>
      <c r="D300" s="4">
        <v>35</v>
      </c>
      <c r="E300" s="15">
        <f t="shared" si="39"/>
        <v>44.194630117244088</v>
      </c>
      <c r="F300" s="8">
        <f t="shared" si="33"/>
        <v>-11.456123748491763</v>
      </c>
      <c r="G300" s="8">
        <f t="shared" si="34"/>
        <v>11.456123748491763</v>
      </c>
      <c r="H300" s="8">
        <f t="shared" si="35"/>
        <v>131.24277134075695</v>
      </c>
      <c r="I300" s="5">
        <f t="shared" si="36"/>
        <v>0.32731782138547894</v>
      </c>
      <c r="J300" s="8">
        <f t="shared" si="37"/>
        <v>1.0511712311031487</v>
      </c>
      <c r="K300" s="8">
        <f t="shared" si="38"/>
        <v>46.456123748491763</v>
      </c>
    </row>
    <row r="301" spans="1:11" ht="15.75" customHeight="1">
      <c r="A301" s="4" t="str">
        <f t="shared" si="32"/>
        <v>Oct</v>
      </c>
      <c r="B301" s="4">
        <v>300</v>
      </c>
      <c r="C301" s="3">
        <v>21850</v>
      </c>
      <c r="D301" s="4">
        <v>28</v>
      </c>
      <c r="E301" s="15">
        <f t="shared" si="39"/>
        <v>44.213714670687501</v>
      </c>
      <c r="F301" s="8">
        <f t="shared" si="33"/>
        <v>-18.476184882029926</v>
      </c>
      <c r="G301" s="8">
        <f t="shared" si="34"/>
        <v>18.476184882029926</v>
      </c>
      <c r="H301" s="8">
        <f t="shared" si="35"/>
        <v>341.3694077949512</v>
      </c>
      <c r="I301" s="5">
        <f t="shared" si="36"/>
        <v>0.65986374578678308</v>
      </c>
      <c r="J301" s="8">
        <f t="shared" si="37"/>
        <v>1.0511712311031487</v>
      </c>
      <c r="K301" s="8">
        <f t="shared" si="38"/>
        <v>46.476184882029926</v>
      </c>
    </row>
    <row r="302" spans="1:11" ht="15.75" customHeight="1">
      <c r="A302" s="4" t="str">
        <f t="shared" si="32"/>
        <v>Oct</v>
      </c>
      <c r="B302" s="4">
        <v>301</v>
      </c>
      <c r="C302" s="3">
        <v>21851</v>
      </c>
      <c r="D302" s="4">
        <v>44</v>
      </c>
      <c r="E302" s="15">
        <f t="shared" si="39"/>
        <v>44.232799224130915</v>
      </c>
      <c r="F302" s="8">
        <f t="shared" si="33"/>
        <v>-2.4962460155680972</v>
      </c>
      <c r="G302" s="8">
        <f t="shared" si="34"/>
        <v>2.4962460155680972</v>
      </c>
      <c r="H302" s="8">
        <f t="shared" si="35"/>
        <v>6.2312441702396013</v>
      </c>
      <c r="I302" s="5">
        <f t="shared" si="36"/>
        <v>5.6732863990184026E-2</v>
      </c>
      <c r="J302" s="8">
        <f t="shared" si="37"/>
        <v>1.0511712311031487</v>
      </c>
      <c r="K302" s="8">
        <f t="shared" si="38"/>
        <v>46.496246015568097</v>
      </c>
    </row>
    <row r="303" spans="1:11" ht="15.75" customHeight="1">
      <c r="A303" s="4" t="str">
        <f t="shared" si="32"/>
        <v>Oct</v>
      </c>
      <c r="B303" s="4">
        <v>302</v>
      </c>
      <c r="C303" s="3">
        <v>21852</v>
      </c>
      <c r="D303" s="4">
        <v>36</v>
      </c>
      <c r="E303" s="15">
        <f t="shared" si="39"/>
        <v>44.251883777574328</v>
      </c>
      <c r="F303" s="8">
        <f t="shared" si="33"/>
        <v>-10.516307149106261</v>
      </c>
      <c r="G303" s="8">
        <f t="shared" si="34"/>
        <v>10.516307149106261</v>
      </c>
      <c r="H303" s="8">
        <f t="shared" si="35"/>
        <v>110.59271605434346</v>
      </c>
      <c r="I303" s="5">
        <f t="shared" si="36"/>
        <v>0.29211964303072946</v>
      </c>
      <c r="J303" s="8">
        <f t="shared" si="37"/>
        <v>1.0511712311031487</v>
      </c>
      <c r="K303" s="8">
        <f t="shared" si="38"/>
        <v>46.516307149106261</v>
      </c>
    </row>
    <row r="304" spans="1:11" ht="15.75" customHeight="1">
      <c r="A304" s="4" t="str">
        <f t="shared" si="32"/>
        <v>Oct</v>
      </c>
      <c r="B304" s="4">
        <v>303</v>
      </c>
      <c r="C304" s="3">
        <v>21853</v>
      </c>
      <c r="D304" s="4">
        <v>45</v>
      </c>
      <c r="E304" s="15">
        <f t="shared" si="39"/>
        <v>44.270968331017741</v>
      </c>
      <c r="F304" s="8">
        <f t="shared" si="33"/>
        <v>-1.5363682826444247</v>
      </c>
      <c r="G304" s="8">
        <f t="shared" si="34"/>
        <v>1.5363682826444247</v>
      </c>
      <c r="H304" s="8">
        <f t="shared" si="35"/>
        <v>2.360427499915779</v>
      </c>
      <c r="I304" s="5">
        <f t="shared" si="36"/>
        <v>3.4141517392098329E-2</v>
      </c>
      <c r="J304" s="8">
        <f t="shared" si="37"/>
        <v>1.0511712311031487</v>
      </c>
      <c r="K304" s="8">
        <f t="shared" si="38"/>
        <v>46.536368282644425</v>
      </c>
    </row>
    <row r="305" spans="1:11" ht="15.75" customHeight="1">
      <c r="A305" s="4" t="str">
        <f t="shared" si="32"/>
        <v>Oct</v>
      </c>
      <c r="B305" s="4">
        <v>304</v>
      </c>
      <c r="C305" s="3">
        <v>21854</v>
      </c>
      <c r="D305" s="4">
        <v>46</v>
      </c>
      <c r="E305" s="15">
        <f t="shared" si="39"/>
        <v>44.290052884461147</v>
      </c>
      <c r="F305" s="8">
        <f t="shared" si="33"/>
        <v>-0.55642941618258845</v>
      </c>
      <c r="G305" s="8">
        <f t="shared" si="34"/>
        <v>0.55642941618258845</v>
      </c>
      <c r="H305" s="8">
        <f t="shared" si="35"/>
        <v>0.30961369519329623</v>
      </c>
      <c r="I305" s="5">
        <f t="shared" si="36"/>
        <v>1.2096291656143227E-2</v>
      </c>
      <c r="J305" s="8">
        <f t="shared" si="37"/>
        <v>1.0511712311031487</v>
      </c>
      <c r="K305" s="8">
        <f t="shared" si="38"/>
        <v>46.556429416182588</v>
      </c>
    </row>
    <row r="306" spans="1:11" ht="15.75" customHeight="1">
      <c r="A306" s="4" t="str">
        <f t="shared" si="32"/>
        <v>Nov</v>
      </c>
      <c r="B306" s="4">
        <v>305</v>
      </c>
      <c r="C306" s="3">
        <v>21855</v>
      </c>
      <c r="D306" s="4">
        <v>48</v>
      </c>
      <c r="E306" s="15">
        <f t="shared" si="39"/>
        <v>44.30913743790456</v>
      </c>
      <c r="F306" s="8">
        <f t="shared" si="33"/>
        <v>0.50423661048212409</v>
      </c>
      <c r="G306" s="8">
        <f t="shared" si="34"/>
        <v>0.50423661048212409</v>
      </c>
      <c r="H306" s="8">
        <f t="shared" si="35"/>
        <v>0.25425455935050134</v>
      </c>
      <c r="I306" s="5">
        <f t="shared" si="36"/>
        <v>1.0504929385044251E-2</v>
      </c>
      <c r="J306" s="8">
        <f t="shared" si="37"/>
        <v>1.0719180317170267</v>
      </c>
      <c r="K306" s="8">
        <f t="shared" si="38"/>
        <v>47.495763389517876</v>
      </c>
    </row>
    <row r="307" spans="1:11" ht="15.75" customHeight="1">
      <c r="A307" s="4" t="str">
        <f t="shared" si="32"/>
        <v>Nov</v>
      </c>
      <c r="B307" s="4">
        <v>306</v>
      </c>
      <c r="C307" s="3">
        <v>21856</v>
      </c>
      <c r="D307" s="4">
        <v>49</v>
      </c>
      <c r="E307" s="15">
        <f t="shared" si="39"/>
        <v>44.328221991347974</v>
      </c>
      <c r="F307" s="8">
        <f t="shared" si="33"/>
        <v>1.483779533518863</v>
      </c>
      <c r="G307" s="8">
        <f t="shared" si="34"/>
        <v>1.483779533518863</v>
      </c>
      <c r="H307" s="8">
        <f t="shared" si="35"/>
        <v>2.2016017040894549</v>
      </c>
      <c r="I307" s="5">
        <f t="shared" si="36"/>
        <v>3.0281214969772714E-2</v>
      </c>
      <c r="J307" s="8">
        <f t="shared" si="37"/>
        <v>1.0719180317170267</v>
      </c>
      <c r="K307" s="8">
        <f t="shared" si="38"/>
        <v>47.516220466481137</v>
      </c>
    </row>
    <row r="308" spans="1:11" ht="15.75" customHeight="1">
      <c r="A308" s="4" t="str">
        <f t="shared" si="32"/>
        <v>Nov</v>
      </c>
      <c r="B308" s="4">
        <v>307</v>
      </c>
      <c r="C308" s="3">
        <v>21857</v>
      </c>
      <c r="D308" s="4">
        <v>43</v>
      </c>
      <c r="E308" s="15">
        <f t="shared" si="39"/>
        <v>44.347306544791387</v>
      </c>
      <c r="F308" s="8">
        <f t="shared" si="33"/>
        <v>-4.536677543444398</v>
      </c>
      <c r="G308" s="8">
        <f t="shared" si="34"/>
        <v>4.536677543444398</v>
      </c>
      <c r="H308" s="8">
        <f t="shared" si="35"/>
        <v>20.581443133192696</v>
      </c>
      <c r="I308" s="5">
        <f t="shared" si="36"/>
        <v>0.10550412891731158</v>
      </c>
      <c r="J308" s="8">
        <f t="shared" si="37"/>
        <v>1.0719180317170267</v>
      </c>
      <c r="K308" s="8">
        <f t="shared" si="38"/>
        <v>47.536677543444398</v>
      </c>
    </row>
    <row r="309" spans="1:11" ht="15.75" customHeight="1">
      <c r="A309" s="4" t="str">
        <f t="shared" si="32"/>
        <v>Nov</v>
      </c>
      <c r="B309" s="4">
        <v>308</v>
      </c>
      <c r="C309" s="3">
        <v>21858</v>
      </c>
      <c r="D309" s="4">
        <v>42</v>
      </c>
      <c r="E309" s="15">
        <f t="shared" si="39"/>
        <v>44.3663910982348</v>
      </c>
      <c r="F309" s="8">
        <f t="shared" si="33"/>
        <v>-5.557134620407659</v>
      </c>
      <c r="G309" s="8">
        <f t="shared" si="34"/>
        <v>5.557134620407659</v>
      </c>
      <c r="H309" s="8">
        <f t="shared" si="35"/>
        <v>30.881745189333376</v>
      </c>
      <c r="I309" s="5">
        <f t="shared" si="36"/>
        <v>0.13231272905732522</v>
      </c>
      <c r="J309" s="8">
        <f t="shared" si="37"/>
        <v>1.0719180317170267</v>
      </c>
      <c r="K309" s="8">
        <f t="shared" si="38"/>
        <v>47.557134620407659</v>
      </c>
    </row>
    <row r="310" spans="1:11" ht="15.75" customHeight="1">
      <c r="A310" s="4" t="str">
        <f t="shared" si="32"/>
        <v>Nov</v>
      </c>
      <c r="B310" s="4">
        <v>309</v>
      </c>
      <c r="C310" s="3">
        <v>21859</v>
      </c>
      <c r="D310" s="4">
        <v>59</v>
      </c>
      <c r="E310" s="15">
        <f t="shared" si="39"/>
        <v>44.385475651678213</v>
      </c>
      <c r="F310" s="8">
        <f t="shared" si="33"/>
        <v>11.422408302629073</v>
      </c>
      <c r="G310" s="8">
        <f t="shared" si="34"/>
        <v>11.422408302629073</v>
      </c>
      <c r="H310" s="8">
        <f t="shared" si="35"/>
        <v>130.47141143196959</v>
      </c>
      <c r="I310" s="5">
        <f t="shared" si="36"/>
        <v>0.19360014072252665</v>
      </c>
      <c r="J310" s="8">
        <f t="shared" si="37"/>
        <v>1.0719180317170267</v>
      </c>
      <c r="K310" s="8">
        <f t="shared" si="38"/>
        <v>47.577591697370927</v>
      </c>
    </row>
    <row r="311" spans="1:11" ht="15.75" customHeight="1">
      <c r="A311" s="4" t="str">
        <f t="shared" si="32"/>
        <v>Nov</v>
      </c>
      <c r="B311" s="4">
        <v>310</v>
      </c>
      <c r="C311" s="3">
        <v>21860</v>
      </c>
      <c r="D311" s="4">
        <v>45</v>
      </c>
      <c r="E311" s="15">
        <f t="shared" si="39"/>
        <v>44.404560205121626</v>
      </c>
      <c r="F311" s="8">
        <f t="shared" si="33"/>
        <v>-2.5980487743341882</v>
      </c>
      <c r="G311" s="8">
        <f t="shared" si="34"/>
        <v>2.5980487743341882</v>
      </c>
      <c r="H311" s="8">
        <f t="shared" si="35"/>
        <v>6.7498574338193782</v>
      </c>
      <c r="I311" s="5">
        <f t="shared" si="36"/>
        <v>5.7734417207426406E-2</v>
      </c>
      <c r="J311" s="8">
        <f t="shared" si="37"/>
        <v>1.0719180317170267</v>
      </c>
      <c r="K311" s="8">
        <f t="shared" si="38"/>
        <v>47.598048774334188</v>
      </c>
    </row>
    <row r="312" spans="1:11" ht="15.75" customHeight="1">
      <c r="A312" s="4" t="str">
        <f t="shared" si="32"/>
        <v>Nov</v>
      </c>
      <c r="B312" s="4">
        <v>311</v>
      </c>
      <c r="C312" s="3">
        <v>21861</v>
      </c>
      <c r="D312" s="4">
        <v>52</v>
      </c>
      <c r="E312" s="15">
        <f t="shared" si="39"/>
        <v>44.42364475856504</v>
      </c>
      <c r="F312" s="8">
        <f t="shared" si="33"/>
        <v>4.3814941487025507</v>
      </c>
      <c r="G312" s="8">
        <f t="shared" si="34"/>
        <v>4.3814941487025507</v>
      </c>
      <c r="H312" s="8">
        <f t="shared" si="35"/>
        <v>19.19749097511469</v>
      </c>
      <c r="I312" s="5">
        <f t="shared" si="36"/>
        <v>8.4259502859664437E-2</v>
      </c>
      <c r="J312" s="8">
        <f t="shared" si="37"/>
        <v>1.0719180317170267</v>
      </c>
      <c r="K312" s="8">
        <f t="shared" si="38"/>
        <v>47.618505851297449</v>
      </c>
    </row>
    <row r="313" spans="1:11" ht="15.75" customHeight="1">
      <c r="A313" s="4" t="str">
        <f t="shared" si="32"/>
        <v>Nov</v>
      </c>
      <c r="B313" s="4">
        <v>312</v>
      </c>
      <c r="C313" s="3">
        <v>21862</v>
      </c>
      <c r="D313" s="4">
        <v>46</v>
      </c>
      <c r="E313" s="15">
        <f t="shared" si="39"/>
        <v>44.442729312008453</v>
      </c>
      <c r="F313" s="8">
        <f t="shared" si="33"/>
        <v>-1.6389629282607103</v>
      </c>
      <c r="G313" s="8">
        <f t="shared" si="34"/>
        <v>1.6389629282607103</v>
      </c>
      <c r="H313" s="8">
        <f t="shared" si="35"/>
        <v>2.6861994802129221</v>
      </c>
      <c r="I313" s="5">
        <f t="shared" si="36"/>
        <v>3.5629628875232834E-2</v>
      </c>
      <c r="J313" s="8">
        <f t="shared" si="37"/>
        <v>1.0719180317170267</v>
      </c>
      <c r="K313" s="8">
        <f t="shared" si="38"/>
        <v>47.63896292826071</v>
      </c>
    </row>
    <row r="314" spans="1:11" ht="15.75" customHeight="1">
      <c r="A314" s="4" t="str">
        <f t="shared" si="32"/>
        <v>Nov</v>
      </c>
      <c r="B314" s="4">
        <v>313</v>
      </c>
      <c r="C314" s="3">
        <v>21863</v>
      </c>
      <c r="D314" s="4">
        <v>42</v>
      </c>
      <c r="E314" s="15">
        <f t="shared" si="39"/>
        <v>44.461813865451866</v>
      </c>
      <c r="F314" s="8">
        <f t="shared" si="33"/>
        <v>-5.6594200052239714</v>
      </c>
      <c r="G314" s="8">
        <f t="shared" si="34"/>
        <v>5.6594200052239714</v>
      </c>
      <c r="H314" s="8">
        <f t="shared" si="35"/>
        <v>32.029034795529299</v>
      </c>
      <c r="I314" s="5">
        <f t="shared" si="36"/>
        <v>0.13474809536247551</v>
      </c>
      <c r="J314" s="8">
        <f t="shared" si="37"/>
        <v>1.0719180317170267</v>
      </c>
      <c r="K314" s="8">
        <f t="shared" si="38"/>
        <v>47.659420005223971</v>
      </c>
    </row>
    <row r="315" spans="1:11" ht="15.75" customHeight="1">
      <c r="A315" s="4" t="str">
        <f t="shared" si="32"/>
        <v>Nov</v>
      </c>
      <c r="B315" s="4">
        <v>314</v>
      </c>
      <c r="C315" s="3">
        <v>21864</v>
      </c>
      <c r="D315" s="4">
        <v>40</v>
      </c>
      <c r="E315" s="15">
        <f t="shared" si="39"/>
        <v>44.480898418895279</v>
      </c>
      <c r="F315" s="8">
        <f t="shared" si="33"/>
        <v>-7.6798770821872324</v>
      </c>
      <c r="G315" s="8">
        <f t="shared" si="34"/>
        <v>7.6798770821872324</v>
      </c>
      <c r="H315" s="8">
        <f t="shared" si="35"/>
        <v>58.980511997504678</v>
      </c>
      <c r="I315" s="5">
        <f t="shared" si="36"/>
        <v>0.1919969270546808</v>
      </c>
      <c r="J315" s="8">
        <f t="shared" si="37"/>
        <v>1.0719180317170267</v>
      </c>
      <c r="K315" s="8">
        <f t="shared" si="38"/>
        <v>47.679877082187232</v>
      </c>
    </row>
    <row r="316" spans="1:11" ht="15.75" customHeight="1">
      <c r="A316" s="4" t="str">
        <f t="shared" si="32"/>
        <v>Nov</v>
      </c>
      <c r="B316" s="4">
        <v>315</v>
      </c>
      <c r="C316" s="3">
        <v>21865</v>
      </c>
      <c r="D316" s="4">
        <v>40</v>
      </c>
      <c r="E316" s="15">
        <f t="shared" si="39"/>
        <v>44.499982972338692</v>
      </c>
      <c r="F316" s="8">
        <f t="shared" si="33"/>
        <v>-7.7003341591504935</v>
      </c>
      <c r="G316" s="8">
        <f t="shared" si="34"/>
        <v>7.7003341591504935</v>
      </c>
      <c r="H316" s="8">
        <f t="shared" si="35"/>
        <v>59.29514616257994</v>
      </c>
      <c r="I316" s="5">
        <f t="shared" si="36"/>
        <v>0.19250835397876234</v>
      </c>
      <c r="J316" s="8">
        <f t="shared" si="37"/>
        <v>1.0719180317170267</v>
      </c>
      <c r="K316" s="8">
        <f t="shared" si="38"/>
        <v>47.700334159150493</v>
      </c>
    </row>
    <row r="317" spans="1:11" ht="15.75" customHeight="1">
      <c r="A317" s="4" t="str">
        <f t="shared" si="32"/>
        <v>Nov</v>
      </c>
      <c r="B317" s="4">
        <v>316</v>
      </c>
      <c r="C317" s="3">
        <v>21866</v>
      </c>
      <c r="D317" s="4">
        <v>45</v>
      </c>
      <c r="E317" s="15">
        <f t="shared" si="39"/>
        <v>44.519067525782106</v>
      </c>
      <c r="F317" s="8">
        <f t="shared" si="33"/>
        <v>-2.7207912361137545</v>
      </c>
      <c r="G317" s="8">
        <f t="shared" si="34"/>
        <v>2.7207912361137545</v>
      </c>
      <c r="H317" s="8">
        <f t="shared" si="35"/>
        <v>7.4027049505134119</v>
      </c>
      <c r="I317" s="5">
        <f t="shared" si="36"/>
        <v>6.0462027469194546E-2</v>
      </c>
      <c r="J317" s="8">
        <f t="shared" si="37"/>
        <v>1.0719180317170267</v>
      </c>
      <c r="K317" s="8">
        <f t="shared" si="38"/>
        <v>47.720791236113755</v>
      </c>
    </row>
    <row r="318" spans="1:11" ht="15.75" customHeight="1">
      <c r="A318" s="4" t="str">
        <f t="shared" si="32"/>
        <v>Nov</v>
      </c>
      <c r="B318" s="4">
        <v>317</v>
      </c>
      <c r="C318" s="3">
        <v>21867</v>
      </c>
      <c r="D318" s="4">
        <v>35</v>
      </c>
      <c r="E318" s="15">
        <f t="shared" si="39"/>
        <v>44.538152079225512</v>
      </c>
      <c r="F318" s="8">
        <f t="shared" si="33"/>
        <v>-12.741248313077008</v>
      </c>
      <c r="G318" s="8">
        <f t="shared" si="34"/>
        <v>12.741248313077008</v>
      </c>
      <c r="H318" s="8">
        <f t="shared" si="35"/>
        <v>162.33940857548771</v>
      </c>
      <c r="I318" s="5">
        <f t="shared" si="36"/>
        <v>0.36403566608791454</v>
      </c>
      <c r="J318" s="8">
        <f t="shared" si="37"/>
        <v>1.0719180317170267</v>
      </c>
      <c r="K318" s="8">
        <f t="shared" si="38"/>
        <v>47.741248313077008</v>
      </c>
    </row>
    <row r="319" spans="1:11" ht="15.75" customHeight="1">
      <c r="A319" s="4" t="str">
        <f t="shared" si="32"/>
        <v>Nov</v>
      </c>
      <c r="B319" s="4">
        <v>318</v>
      </c>
      <c r="C319" s="3">
        <v>21868</v>
      </c>
      <c r="D319" s="4">
        <v>35</v>
      </c>
      <c r="E319" s="15">
        <f t="shared" si="39"/>
        <v>44.557236632668925</v>
      </c>
      <c r="F319" s="8">
        <f t="shared" si="33"/>
        <v>-12.761705390040269</v>
      </c>
      <c r="G319" s="8">
        <f t="shared" si="34"/>
        <v>12.761705390040269</v>
      </c>
      <c r="H319" s="8">
        <f t="shared" si="35"/>
        <v>162.86112446218286</v>
      </c>
      <c r="I319" s="5">
        <f t="shared" si="36"/>
        <v>0.36462015400115055</v>
      </c>
      <c r="J319" s="8">
        <f t="shared" si="37"/>
        <v>1.0719180317170267</v>
      </c>
      <c r="K319" s="8">
        <f t="shared" si="38"/>
        <v>47.761705390040269</v>
      </c>
    </row>
    <row r="320" spans="1:11" ht="15.75" customHeight="1">
      <c r="A320" s="4" t="str">
        <f t="shared" si="32"/>
        <v>Nov</v>
      </c>
      <c r="B320" s="4">
        <v>319</v>
      </c>
      <c r="C320" s="3">
        <v>21869</v>
      </c>
      <c r="D320" s="4">
        <v>40</v>
      </c>
      <c r="E320" s="15">
        <f t="shared" si="39"/>
        <v>44.576321186112338</v>
      </c>
      <c r="F320" s="8">
        <f t="shared" si="33"/>
        <v>-7.7821624670035376</v>
      </c>
      <c r="G320" s="8">
        <f t="shared" si="34"/>
        <v>7.7821624670035376</v>
      </c>
      <c r="H320" s="8">
        <f t="shared" si="35"/>
        <v>60.562052662838589</v>
      </c>
      <c r="I320" s="5">
        <f t="shared" si="36"/>
        <v>0.19455406167508843</v>
      </c>
      <c r="J320" s="8">
        <f t="shared" si="37"/>
        <v>1.0719180317170267</v>
      </c>
      <c r="K320" s="8">
        <f t="shared" si="38"/>
        <v>47.782162467003538</v>
      </c>
    </row>
    <row r="321" spans="1:11" ht="15.75" customHeight="1">
      <c r="A321" s="4" t="str">
        <f t="shared" si="32"/>
        <v>Nov</v>
      </c>
      <c r="B321" s="4">
        <v>320</v>
      </c>
      <c r="C321" s="3">
        <v>21870</v>
      </c>
      <c r="D321" s="4">
        <v>39</v>
      </c>
      <c r="E321" s="15">
        <f t="shared" si="39"/>
        <v>44.595405739555751</v>
      </c>
      <c r="F321" s="8">
        <f t="shared" si="33"/>
        <v>-8.8026195439667987</v>
      </c>
      <c r="G321" s="8">
        <f t="shared" si="34"/>
        <v>8.8026195439667987</v>
      </c>
      <c r="H321" s="8">
        <f t="shared" si="35"/>
        <v>77.486110835826253</v>
      </c>
      <c r="I321" s="5">
        <f t="shared" si="36"/>
        <v>0.22570819343504611</v>
      </c>
      <c r="J321" s="8">
        <f t="shared" si="37"/>
        <v>1.0719180317170267</v>
      </c>
      <c r="K321" s="8">
        <f t="shared" si="38"/>
        <v>47.802619543966799</v>
      </c>
    </row>
    <row r="322" spans="1:11" ht="15.75" customHeight="1">
      <c r="A322" s="4" t="str">
        <f t="shared" si="32"/>
        <v>Nov</v>
      </c>
      <c r="B322" s="4">
        <v>321</v>
      </c>
      <c r="C322" s="3">
        <v>21871</v>
      </c>
      <c r="D322" s="4">
        <v>33</v>
      </c>
      <c r="E322" s="15">
        <f t="shared" si="39"/>
        <v>44.614490292999164</v>
      </c>
      <c r="F322" s="8">
        <f t="shared" si="33"/>
        <v>-14.82307662093006</v>
      </c>
      <c r="G322" s="8">
        <f t="shared" si="34"/>
        <v>14.82307662093006</v>
      </c>
      <c r="H322" s="8">
        <f t="shared" si="35"/>
        <v>219.72360050996332</v>
      </c>
      <c r="I322" s="5">
        <f t="shared" si="36"/>
        <v>0.44918414002818363</v>
      </c>
      <c r="J322" s="8">
        <f t="shared" si="37"/>
        <v>1.0719180317170267</v>
      </c>
      <c r="K322" s="8">
        <f t="shared" si="38"/>
        <v>47.82307662093006</v>
      </c>
    </row>
    <row r="323" spans="1:11" ht="15.75" customHeight="1">
      <c r="A323" s="4" t="str">
        <f t="shared" si="32"/>
        <v>Nov</v>
      </c>
      <c r="B323" s="4">
        <v>322</v>
      </c>
      <c r="C323" s="3">
        <v>21872</v>
      </c>
      <c r="D323" s="4">
        <v>42</v>
      </c>
      <c r="E323" s="15">
        <f t="shared" si="39"/>
        <v>44.633574846442578</v>
      </c>
      <c r="F323" s="8">
        <f t="shared" ref="F323:F366" si="40">D323-K323</f>
        <v>-5.8435336978933208</v>
      </c>
      <c r="G323" s="8">
        <f t="shared" ref="G323:G366" si="41">ABS(F323)</f>
        <v>5.8435336978933208</v>
      </c>
      <c r="H323" s="8">
        <f t="shared" ref="H323:H366" si="42">G323^2</f>
        <v>34.146886078414788</v>
      </c>
      <c r="I323" s="5">
        <f t="shared" ref="I323:I366" si="43">G323/D323</f>
        <v>0.13913175471174574</v>
      </c>
      <c r="J323" s="8">
        <f t="shared" ref="J323:J366" si="44">VLOOKUP(A323,$V$7:$Y$19,4,FALSE)</f>
        <v>1.0719180317170267</v>
      </c>
      <c r="K323" s="8">
        <f t="shared" ref="K323:K366" si="45">E323*J323</f>
        <v>47.843533697893321</v>
      </c>
    </row>
    <row r="324" spans="1:11" ht="15.75" customHeight="1">
      <c r="A324" s="4" t="str">
        <f t="shared" si="32"/>
        <v>Nov</v>
      </c>
      <c r="B324" s="4">
        <v>323</v>
      </c>
      <c r="C324" s="3">
        <v>21873</v>
      </c>
      <c r="D324" s="4">
        <v>47</v>
      </c>
      <c r="E324" s="15">
        <f t="shared" ref="E324:E366" si="46">$O$2+($O$3*B324)</f>
        <v>44.652659399885991</v>
      </c>
      <c r="F324" s="8">
        <f t="shared" si="40"/>
        <v>-0.86399077485658182</v>
      </c>
      <c r="G324" s="8">
        <f t="shared" si="41"/>
        <v>0.86399077485658182</v>
      </c>
      <c r="H324" s="8">
        <f t="shared" si="42"/>
        <v>0.74648005903727666</v>
      </c>
      <c r="I324" s="5">
        <f t="shared" si="43"/>
        <v>1.8382782443757059E-2</v>
      </c>
      <c r="J324" s="8">
        <f t="shared" si="44"/>
        <v>1.0719180317170267</v>
      </c>
      <c r="K324" s="8">
        <f t="shared" si="45"/>
        <v>47.863990774856582</v>
      </c>
    </row>
    <row r="325" spans="1:11" ht="15.75" customHeight="1">
      <c r="A325" s="4" t="str">
        <f t="shared" si="32"/>
        <v>Nov</v>
      </c>
      <c r="B325" s="4">
        <v>324</v>
      </c>
      <c r="C325" s="3">
        <v>21874</v>
      </c>
      <c r="D325" s="4">
        <v>51</v>
      </c>
      <c r="E325" s="15">
        <f t="shared" si="46"/>
        <v>44.671743953329404</v>
      </c>
      <c r="F325" s="8">
        <f t="shared" si="40"/>
        <v>3.1155521481801571</v>
      </c>
      <c r="G325" s="8">
        <f t="shared" si="41"/>
        <v>3.1155521481801571</v>
      </c>
      <c r="H325" s="8">
        <f t="shared" si="42"/>
        <v>9.7066651880299926</v>
      </c>
      <c r="I325" s="5">
        <f t="shared" si="43"/>
        <v>6.1089257807454063E-2</v>
      </c>
      <c r="J325" s="8">
        <f t="shared" si="44"/>
        <v>1.0719180317170267</v>
      </c>
      <c r="K325" s="8">
        <f t="shared" si="45"/>
        <v>47.884447851819843</v>
      </c>
    </row>
    <row r="326" spans="1:11" ht="15.75" customHeight="1">
      <c r="A326" s="4" t="str">
        <f t="shared" si="32"/>
        <v>Nov</v>
      </c>
      <c r="B326" s="4">
        <v>325</v>
      </c>
      <c r="C326" s="3">
        <v>21875</v>
      </c>
      <c r="D326" s="4">
        <v>44</v>
      </c>
      <c r="E326" s="15">
        <f t="shared" si="46"/>
        <v>44.690828506772817</v>
      </c>
      <c r="F326" s="8">
        <f t="shared" si="40"/>
        <v>-3.9049049287831039</v>
      </c>
      <c r="G326" s="8">
        <f t="shared" si="41"/>
        <v>3.9049049287831039</v>
      </c>
      <c r="H326" s="8">
        <f t="shared" si="42"/>
        <v>15.248282502834577</v>
      </c>
      <c r="I326" s="5">
        <f t="shared" si="43"/>
        <v>8.8747839290525085E-2</v>
      </c>
      <c r="J326" s="8">
        <f t="shared" si="44"/>
        <v>1.0719180317170267</v>
      </c>
      <c r="K326" s="8">
        <f t="shared" si="45"/>
        <v>47.904904928783104</v>
      </c>
    </row>
    <row r="327" spans="1:11" ht="15.75" customHeight="1">
      <c r="A327" s="4" t="str">
        <f t="shared" si="32"/>
        <v>Nov</v>
      </c>
      <c r="B327" s="4">
        <v>326</v>
      </c>
      <c r="C327" s="3">
        <v>21876</v>
      </c>
      <c r="D327" s="4">
        <v>40</v>
      </c>
      <c r="E327" s="15">
        <f t="shared" si="46"/>
        <v>44.70991306021623</v>
      </c>
      <c r="F327" s="8">
        <f t="shared" si="40"/>
        <v>-7.925362005746365</v>
      </c>
      <c r="G327" s="8">
        <f t="shared" si="41"/>
        <v>7.925362005746365</v>
      </c>
      <c r="H327" s="8">
        <f t="shared" si="42"/>
        <v>62.811362922128048</v>
      </c>
      <c r="I327" s="5">
        <f t="shared" si="43"/>
        <v>0.19813405014365912</v>
      </c>
      <c r="J327" s="8">
        <f t="shared" si="44"/>
        <v>1.0719180317170267</v>
      </c>
      <c r="K327" s="8">
        <f t="shared" si="45"/>
        <v>47.925362005746365</v>
      </c>
    </row>
    <row r="328" spans="1:11" ht="15.75" customHeight="1">
      <c r="A328" s="4" t="str">
        <f t="shared" si="32"/>
        <v>Nov</v>
      </c>
      <c r="B328" s="4">
        <v>327</v>
      </c>
      <c r="C328" s="3">
        <v>21877</v>
      </c>
      <c r="D328" s="4">
        <v>57</v>
      </c>
      <c r="E328" s="15">
        <f t="shared" si="46"/>
        <v>44.728997613659644</v>
      </c>
      <c r="F328" s="8">
        <f t="shared" si="40"/>
        <v>9.0541809172903669</v>
      </c>
      <c r="G328" s="8">
        <f t="shared" si="41"/>
        <v>9.0541809172903669</v>
      </c>
      <c r="H328" s="8">
        <f t="shared" si="42"/>
        <v>81.978192083025036</v>
      </c>
      <c r="I328" s="5">
        <f t="shared" si="43"/>
        <v>0.15884527925070818</v>
      </c>
      <c r="J328" s="8">
        <f t="shared" si="44"/>
        <v>1.0719180317170267</v>
      </c>
      <c r="K328" s="8">
        <f t="shared" si="45"/>
        <v>47.945819082709633</v>
      </c>
    </row>
    <row r="329" spans="1:11" ht="15.75" customHeight="1">
      <c r="A329" s="4" t="str">
        <f t="shared" si="32"/>
        <v>Nov</v>
      </c>
      <c r="B329" s="4">
        <v>328</v>
      </c>
      <c r="C329" s="3">
        <v>21878</v>
      </c>
      <c r="D329" s="4">
        <v>49</v>
      </c>
      <c r="E329" s="15">
        <f t="shared" si="46"/>
        <v>44.748082167103057</v>
      </c>
      <c r="F329" s="8">
        <f t="shared" si="40"/>
        <v>1.0337238403271058</v>
      </c>
      <c r="G329" s="8">
        <f t="shared" si="41"/>
        <v>1.0337238403271058</v>
      </c>
      <c r="H329" s="8">
        <f t="shared" si="42"/>
        <v>1.0685849780606198</v>
      </c>
      <c r="I329" s="5">
        <f t="shared" si="43"/>
        <v>2.1096404904634814E-2</v>
      </c>
      <c r="J329" s="8">
        <f t="shared" si="44"/>
        <v>1.0719180317170267</v>
      </c>
      <c r="K329" s="8">
        <f t="shared" si="45"/>
        <v>47.966276159672894</v>
      </c>
    </row>
    <row r="330" spans="1:11" ht="15.75" customHeight="1">
      <c r="A330" s="4" t="str">
        <f t="shared" si="32"/>
        <v>Nov</v>
      </c>
      <c r="B330" s="4">
        <v>329</v>
      </c>
      <c r="C330" s="3">
        <v>21879</v>
      </c>
      <c r="D330" s="4">
        <v>45</v>
      </c>
      <c r="E330" s="15">
        <f t="shared" si="46"/>
        <v>44.76716672054647</v>
      </c>
      <c r="F330" s="8">
        <f t="shared" si="40"/>
        <v>-2.9867332366361552</v>
      </c>
      <c r="G330" s="8">
        <f t="shared" si="41"/>
        <v>2.9867332366361552</v>
      </c>
      <c r="H330" s="8">
        <f t="shared" si="42"/>
        <v>8.9205754268270834</v>
      </c>
      <c r="I330" s="5">
        <f t="shared" si="43"/>
        <v>6.6371849703025676E-2</v>
      </c>
      <c r="J330" s="8">
        <f t="shared" si="44"/>
        <v>1.0719180317170267</v>
      </c>
      <c r="K330" s="8">
        <f t="shared" si="45"/>
        <v>47.986733236636155</v>
      </c>
    </row>
    <row r="331" spans="1:11" ht="15.75" customHeight="1">
      <c r="A331" s="4" t="str">
        <f t="shared" si="32"/>
        <v>Nov</v>
      </c>
      <c r="B331" s="4">
        <v>330</v>
      </c>
      <c r="C331" s="3">
        <v>21880</v>
      </c>
      <c r="D331" s="4">
        <v>49</v>
      </c>
      <c r="E331" s="15">
        <f t="shared" si="46"/>
        <v>44.786251273989876</v>
      </c>
      <c r="F331" s="8">
        <f t="shared" si="40"/>
        <v>0.99280968640059086</v>
      </c>
      <c r="G331" s="8">
        <f t="shared" si="41"/>
        <v>0.99280968640059086</v>
      </c>
      <c r="H331" s="8">
        <f t="shared" si="42"/>
        <v>0.98567107341083959</v>
      </c>
      <c r="I331" s="5">
        <f t="shared" si="43"/>
        <v>2.026142217144063E-2</v>
      </c>
      <c r="J331" s="8">
        <f t="shared" si="44"/>
        <v>1.0719180317170267</v>
      </c>
      <c r="K331" s="8">
        <f t="shared" si="45"/>
        <v>48.007190313599409</v>
      </c>
    </row>
    <row r="332" spans="1:11" ht="15.75" customHeight="1">
      <c r="A332" s="4" t="str">
        <f t="shared" si="32"/>
        <v>Nov</v>
      </c>
      <c r="B332" s="4">
        <v>331</v>
      </c>
      <c r="C332" s="3">
        <v>21881</v>
      </c>
      <c r="D332" s="4">
        <v>51</v>
      </c>
      <c r="E332" s="15">
        <f t="shared" si="46"/>
        <v>44.805335827433289</v>
      </c>
      <c r="F332" s="8">
        <f t="shared" si="40"/>
        <v>2.9723526094373298</v>
      </c>
      <c r="G332" s="8">
        <f t="shared" si="41"/>
        <v>2.9723526094373298</v>
      </c>
      <c r="H332" s="8">
        <f t="shared" si="42"/>
        <v>8.8348800348289043</v>
      </c>
      <c r="I332" s="5">
        <f t="shared" si="43"/>
        <v>5.828142371445745E-2</v>
      </c>
      <c r="J332" s="8">
        <f t="shared" si="44"/>
        <v>1.0719180317170267</v>
      </c>
      <c r="K332" s="8">
        <f t="shared" si="45"/>
        <v>48.02764739056267</v>
      </c>
    </row>
    <row r="333" spans="1:11" ht="15.75" customHeight="1">
      <c r="A333" s="4" t="str">
        <f t="shared" si="32"/>
        <v>Nov</v>
      </c>
      <c r="B333" s="4">
        <v>332</v>
      </c>
      <c r="C333" s="3">
        <v>21882</v>
      </c>
      <c r="D333" s="4">
        <v>46</v>
      </c>
      <c r="E333" s="15">
        <f t="shared" si="46"/>
        <v>44.824420380876703</v>
      </c>
      <c r="F333" s="8">
        <f t="shared" si="40"/>
        <v>-2.0481044675259312</v>
      </c>
      <c r="G333" s="8">
        <f t="shared" si="41"/>
        <v>2.0481044675259312</v>
      </c>
      <c r="H333" s="8">
        <f t="shared" si="42"/>
        <v>4.1947319098996783</v>
      </c>
      <c r="I333" s="5">
        <f t="shared" si="43"/>
        <v>4.45240101636072E-2</v>
      </c>
      <c r="J333" s="8">
        <f t="shared" si="44"/>
        <v>1.0719180317170267</v>
      </c>
      <c r="K333" s="8">
        <f t="shared" si="45"/>
        <v>48.048104467525931</v>
      </c>
    </row>
    <row r="334" spans="1:11" ht="15.75" customHeight="1">
      <c r="A334" s="4" t="str">
        <f t="shared" si="32"/>
        <v>Nov</v>
      </c>
      <c r="B334" s="4">
        <v>333</v>
      </c>
      <c r="C334" s="3">
        <v>21883</v>
      </c>
      <c r="D334" s="4">
        <v>44</v>
      </c>
      <c r="E334" s="15">
        <f t="shared" si="46"/>
        <v>44.843504934320116</v>
      </c>
      <c r="F334" s="8">
        <f t="shared" si="40"/>
        <v>-4.0685615444891923</v>
      </c>
      <c r="G334" s="8">
        <f t="shared" si="41"/>
        <v>4.0685615444891923</v>
      </c>
      <c r="H334" s="8">
        <f t="shared" si="42"/>
        <v>16.553193041296282</v>
      </c>
      <c r="I334" s="5">
        <f t="shared" si="43"/>
        <v>9.2467307829299822E-2</v>
      </c>
      <c r="J334" s="8">
        <f t="shared" si="44"/>
        <v>1.0719180317170267</v>
      </c>
      <c r="K334" s="8">
        <f t="shared" si="45"/>
        <v>48.068561544489192</v>
      </c>
    </row>
    <row r="335" spans="1:11" ht="15.75" customHeight="1">
      <c r="A335" s="4" t="str">
        <f t="shared" si="32"/>
        <v>Nov</v>
      </c>
      <c r="B335" s="4">
        <v>334</v>
      </c>
      <c r="C335" s="3">
        <v>21884</v>
      </c>
      <c r="D335" s="4">
        <v>52</v>
      </c>
      <c r="E335" s="15">
        <f t="shared" si="46"/>
        <v>44.862589487763529</v>
      </c>
      <c r="F335" s="8">
        <f t="shared" si="40"/>
        <v>3.9109813785475467</v>
      </c>
      <c r="G335" s="8">
        <f t="shared" si="41"/>
        <v>3.9109813785475467</v>
      </c>
      <c r="H335" s="8">
        <f t="shared" si="42"/>
        <v>15.295775343345669</v>
      </c>
      <c r="I335" s="5">
        <f t="shared" si="43"/>
        <v>7.5211180356683588E-2</v>
      </c>
      <c r="J335" s="8">
        <f t="shared" si="44"/>
        <v>1.0719180317170267</v>
      </c>
      <c r="K335" s="8">
        <f t="shared" si="45"/>
        <v>48.089018621452453</v>
      </c>
    </row>
    <row r="336" spans="1:11" ht="15.75" customHeight="1">
      <c r="A336" s="4" t="str">
        <f t="shared" si="32"/>
        <v>Dec</v>
      </c>
      <c r="B336" s="4">
        <v>335</v>
      </c>
      <c r="C336" s="3">
        <v>21885</v>
      </c>
      <c r="D336" s="4">
        <v>45</v>
      </c>
      <c r="E336" s="15">
        <f t="shared" si="46"/>
        <v>44.881674041206942</v>
      </c>
      <c r="F336" s="8">
        <f t="shared" si="40"/>
        <v>-0.31602227076577094</v>
      </c>
      <c r="G336" s="8">
        <f t="shared" si="41"/>
        <v>0.31602227076577094</v>
      </c>
      <c r="H336" s="8">
        <f t="shared" si="42"/>
        <v>9.9870075619954243E-2</v>
      </c>
      <c r="I336" s="5">
        <f t="shared" si="43"/>
        <v>7.0227171281282428E-3</v>
      </c>
      <c r="J336" s="8">
        <f t="shared" si="44"/>
        <v>1.0096776298753929</v>
      </c>
      <c r="K336" s="8">
        <f t="shared" si="45"/>
        <v>45.316022270765771</v>
      </c>
    </row>
    <row r="337" spans="1:11" ht="15.75" customHeight="1">
      <c r="A337" s="4" t="str">
        <f t="shared" si="32"/>
        <v>Dec</v>
      </c>
      <c r="B337" s="4">
        <v>336</v>
      </c>
      <c r="C337" s="3">
        <v>21886</v>
      </c>
      <c r="D337" s="4">
        <v>32</v>
      </c>
      <c r="E337" s="15">
        <f t="shared" si="46"/>
        <v>44.900758594650355</v>
      </c>
      <c r="F337" s="8">
        <f t="shared" si="40"/>
        <v>-13.335291517453747</v>
      </c>
      <c r="G337" s="8">
        <f t="shared" si="41"/>
        <v>13.335291517453747</v>
      </c>
      <c r="H337" s="8">
        <f t="shared" si="42"/>
        <v>177.82999985547386</v>
      </c>
      <c r="I337" s="5">
        <f t="shared" si="43"/>
        <v>0.4167278599204296</v>
      </c>
      <c r="J337" s="8">
        <f t="shared" si="44"/>
        <v>1.0096776298753929</v>
      </c>
      <c r="K337" s="8">
        <f t="shared" si="45"/>
        <v>45.335291517453747</v>
      </c>
    </row>
    <row r="338" spans="1:11" ht="15.75" customHeight="1">
      <c r="A338" s="4" t="str">
        <f t="shared" si="32"/>
        <v>Dec</v>
      </c>
      <c r="B338" s="4">
        <v>337</v>
      </c>
      <c r="C338" s="3">
        <v>21887</v>
      </c>
      <c r="D338" s="4">
        <v>46</v>
      </c>
      <c r="E338" s="15">
        <f t="shared" si="46"/>
        <v>44.919843148093769</v>
      </c>
      <c r="F338" s="8">
        <f t="shared" si="40"/>
        <v>0.64543923585827656</v>
      </c>
      <c r="G338" s="8">
        <f t="shared" si="41"/>
        <v>0.64543923585827656</v>
      </c>
      <c r="H338" s="8">
        <f t="shared" si="42"/>
        <v>0.41659180718531597</v>
      </c>
      <c r="I338" s="5">
        <f t="shared" si="43"/>
        <v>1.403128773604949E-2</v>
      </c>
      <c r="J338" s="8">
        <f t="shared" si="44"/>
        <v>1.0096776298753929</v>
      </c>
      <c r="K338" s="8">
        <f t="shared" si="45"/>
        <v>45.354560764141723</v>
      </c>
    </row>
    <row r="339" spans="1:11" ht="15.75" customHeight="1">
      <c r="A339" s="4" t="str">
        <f t="shared" si="32"/>
        <v>Dec</v>
      </c>
      <c r="B339" s="4">
        <v>338</v>
      </c>
      <c r="C339" s="3">
        <v>21888</v>
      </c>
      <c r="D339" s="4">
        <v>41</v>
      </c>
      <c r="E339" s="15">
        <f t="shared" si="46"/>
        <v>44.938927701537182</v>
      </c>
      <c r="F339" s="8">
        <f t="shared" si="40"/>
        <v>-4.3738300108296997</v>
      </c>
      <c r="G339" s="8">
        <f t="shared" si="41"/>
        <v>4.3738300108296997</v>
      </c>
      <c r="H339" s="8">
        <f t="shared" si="42"/>
        <v>19.13038896363453</v>
      </c>
      <c r="I339" s="5">
        <f t="shared" si="43"/>
        <v>0.1066787807519439</v>
      </c>
      <c r="J339" s="8">
        <f t="shared" si="44"/>
        <v>1.0096776298753929</v>
      </c>
      <c r="K339" s="8">
        <f t="shared" si="45"/>
        <v>45.3738300108297</v>
      </c>
    </row>
    <row r="340" spans="1:11" ht="15.75" customHeight="1">
      <c r="A340" s="4" t="str">
        <f t="shared" si="32"/>
        <v>Dec</v>
      </c>
      <c r="B340" s="4">
        <v>339</v>
      </c>
      <c r="C340" s="3">
        <v>21889</v>
      </c>
      <c r="D340" s="4">
        <v>34</v>
      </c>
      <c r="E340" s="15">
        <f t="shared" si="46"/>
        <v>44.958012254980595</v>
      </c>
      <c r="F340" s="8">
        <f t="shared" si="40"/>
        <v>-11.393099257517676</v>
      </c>
      <c r="G340" s="8">
        <f t="shared" si="41"/>
        <v>11.393099257517676</v>
      </c>
      <c r="H340" s="8">
        <f t="shared" si="42"/>
        <v>129.80271069164982</v>
      </c>
      <c r="I340" s="5">
        <f t="shared" si="43"/>
        <v>0.33509115463287281</v>
      </c>
      <c r="J340" s="8">
        <f t="shared" si="44"/>
        <v>1.0096776298753929</v>
      </c>
      <c r="K340" s="8">
        <f t="shared" si="45"/>
        <v>45.393099257517676</v>
      </c>
    </row>
    <row r="341" spans="1:11" ht="15.75" customHeight="1">
      <c r="A341" s="4" t="str">
        <f t="shared" si="32"/>
        <v>Dec</v>
      </c>
      <c r="B341" s="4">
        <v>340</v>
      </c>
      <c r="C341" s="3">
        <v>21890</v>
      </c>
      <c r="D341" s="4">
        <v>33</v>
      </c>
      <c r="E341" s="15">
        <f t="shared" si="46"/>
        <v>44.977096808424008</v>
      </c>
      <c r="F341" s="8">
        <f t="shared" si="40"/>
        <v>-12.412368504205652</v>
      </c>
      <c r="G341" s="8">
        <f t="shared" si="41"/>
        <v>12.412368504205652</v>
      </c>
      <c r="H341" s="8">
        <f t="shared" si="42"/>
        <v>154.06689188419645</v>
      </c>
      <c r="I341" s="5">
        <f t="shared" si="43"/>
        <v>0.37613237891532281</v>
      </c>
      <c r="J341" s="8">
        <f t="shared" si="44"/>
        <v>1.0096776298753929</v>
      </c>
      <c r="K341" s="8">
        <f t="shared" si="45"/>
        <v>45.412368504205652</v>
      </c>
    </row>
    <row r="342" spans="1:11" ht="15.75" customHeight="1">
      <c r="A342" s="4" t="str">
        <f t="shared" si="32"/>
        <v>Dec</v>
      </c>
      <c r="B342" s="4">
        <v>341</v>
      </c>
      <c r="C342" s="3">
        <v>21891</v>
      </c>
      <c r="D342" s="4">
        <v>36</v>
      </c>
      <c r="E342" s="15">
        <f t="shared" si="46"/>
        <v>44.996181361867414</v>
      </c>
      <c r="F342" s="8">
        <f t="shared" si="40"/>
        <v>-9.4316377508936213</v>
      </c>
      <c r="G342" s="8">
        <f t="shared" si="41"/>
        <v>9.4316377508936213</v>
      </c>
      <c r="H342" s="8">
        <f t="shared" si="42"/>
        <v>88.95579066408169</v>
      </c>
      <c r="I342" s="5">
        <f t="shared" si="43"/>
        <v>0.2619899375248228</v>
      </c>
      <c r="J342" s="8">
        <f t="shared" si="44"/>
        <v>1.0096776298753929</v>
      </c>
      <c r="K342" s="8">
        <f t="shared" si="45"/>
        <v>45.431637750893621</v>
      </c>
    </row>
    <row r="343" spans="1:11" ht="15.75" customHeight="1">
      <c r="A343" s="4" t="str">
        <f t="shared" si="32"/>
        <v>Dec</v>
      </c>
      <c r="B343" s="4">
        <v>342</v>
      </c>
      <c r="C343" s="3">
        <v>21892</v>
      </c>
      <c r="D343" s="4">
        <v>49</v>
      </c>
      <c r="E343" s="15">
        <f t="shared" si="46"/>
        <v>45.015265915310835</v>
      </c>
      <c r="F343" s="8">
        <f t="shared" si="40"/>
        <v>3.5490930024183953</v>
      </c>
      <c r="G343" s="8">
        <f t="shared" si="41"/>
        <v>3.5490930024183953</v>
      </c>
      <c r="H343" s="8">
        <f t="shared" si="42"/>
        <v>12.59606113981522</v>
      </c>
      <c r="I343" s="5">
        <f t="shared" si="43"/>
        <v>7.2430469437110109E-2</v>
      </c>
      <c r="J343" s="8">
        <f t="shared" si="44"/>
        <v>1.0096776298753929</v>
      </c>
      <c r="K343" s="8">
        <f t="shared" si="45"/>
        <v>45.450906997581605</v>
      </c>
    </row>
    <row r="344" spans="1:11" ht="15.75" customHeight="1">
      <c r="A344" s="4" t="str">
        <f t="shared" si="32"/>
        <v>Dec</v>
      </c>
      <c r="B344" s="4">
        <v>343</v>
      </c>
      <c r="C344" s="3">
        <v>21893</v>
      </c>
      <c r="D344" s="4">
        <v>43</v>
      </c>
      <c r="E344" s="15">
        <f t="shared" si="46"/>
        <v>45.034350468754241</v>
      </c>
      <c r="F344" s="8">
        <f t="shared" si="40"/>
        <v>-2.4701762442695738</v>
      </c>
      <c r="G344" s="8">
        <f t="shared" si="41"/>
        <v>2.4701762442695738</v>
      </c>
      <c r="H344" s="8">
        <f t="shared" si="42"/>
        <v>6.1017706777537377</v>
      </c>
      <c r="I344" s="5">
        <f t="shared" si="43"/>
        <v>5.7445959169059854E-2</v>
      </c>
      <c r="J344" s="8">
        <f t="shared" si="44"/>
        <v>1.0096776298753929</v>
      </c>
      <c r="K344" s="8">
        <f t="shared" si="45"/>
        <v>45.470176244269574</v>
      </c>
    </row>
    <row r="345" spans="1:11" ht="15.75" customHeight="1">
      <c r="A345" s="4" t="str">
        <f t="shared" si="32"/>
        <v>Dec</v>
      </c>
      <c r="B345" s="4">
        <v>344</v>
      </c>
      <c r="C345" s="3">
        <v>21894</v>
      </c>
      <c r="D345" s="4">
        <v>43</v>
      </c>
      <c r="E345" s="15">
        <f t="shared" si="46"/>
        <v>45.053435022197654</v>
      </c>
      <c r="F345" s="8">
        <f t="shared" si="40"/>
        <v>-2.489445490957543</v>
      </c>
      <c r="G345" s="8">
        <f t="shared" si="41"/>
        <v>2.489445490957543</v>
      </c>
      <c r="H345" s="8">
        <f t="shared" si="42"/>
        <v>6.1973388524488424</v>
      </c>
      <c r="I345" s="5">
        <f t="shared" si="43"/>
        <v>5.7894081185059142E-2</v>
      </c>
      <c r="J345" s="8">
        <f t="shared" si="44"/>
        <v>1.0096776298753929</v>
      </c>
      <c r="K345" s="8">
        <f t="shared" si="45"/>
        <v>45.489445490957543</v>
      </c>
    </row>
    <row r="346" spans="1:11" ht="15.75" customHeight="1">
      <c r="A346" s="4" t="str">
        <f t="shared" si="32"/>
        <v>Dec</v>
      </c>
      <c r="B346" s="4">
        <v>345</v>
      </c>
      <c r="C346" s="3">
        <v>21895</v>
      </c>
      <c r="D346" s="4">
        <v>34</v>
      </c>
      <c r="E346" s="15">
        <f t="shared" si="46"/>
        <v>45.072519575641067</v>
      </c>
      <c r="F346" s="8">
        <f t="shared" si="40"/>
        <v>-11.508714737645519</v>
      </c>
      <c r="G346" s="8">
        <f t="shared" si="41"/>
        <v>11.508714737645519</v>
      </c>
      <c r="H346" s="8">
        <f t="shared" si="42"/>
        <v>132.45051491249916</v>
      </c>
      <c r="I346" s="5">
        <f t="shared" si="43"/>
        <v>0.33849160993075056</v>
      </c>
      <c r="J346" s="8">
        <f t="shared" si="44"/>
        <v>1.0096776298753929</v>
      </c>
      <c r="K346" s="8">
        <f t="shared" si="45"/>
        <v>45.508714737645519</v>
      </c>
    </row>
    <row r="347" spans="1:11" ht="15.75" customHeight="1">
      <c r="A347" s="4" t="str">
        <f t="shared" si="32"/>
        <v>Dec</v>
      </c>
      <c r="B347" s="4">
        <v>346</v>
      </c>
      <c r="C347" s="3">
        <v>21896</v>
      </c>
      <c r="D347" s="4">
        <v>39</v>
      </c>
      <c r="E347" s="15">
        <f t="shared" si="46"/>
        <v>45.09160412908448</v>
      </c>
      <c r="F347" s="8">
        <f t="shared" si="40"/>
        <v>-6.5279839843334955</v>
      </c>
      <c r="G347" s="8">
        <f t="shared" si="41"/>
        <v>6.5279839843334955</v>
      </c>
      <c r="H347" s="8">
        <f t="shared" si="42"/>
        <v>42.614574899714619</v>
      </c>
      <c r="I347" s="5">
        <f t="shared" si="43"/>
        <v>0.1673842047264999</v>
      </c>
      <c r="J347" s="8">
        <f t="shared" si="44"/>
        <v>1.0096776298753929</v>
      </c>
      <c r="K347" s="8">
        <f t="shared" si="45"/>
        <v>45.527983984333495</v>
      </c>
    </row>
    <row r="348" spans="1:11" ht="15.75" customHeight="1">
      <c r="A348" s="4" t="str">
        <f t="shared" si="32"/>
        <v>Dec</v>
      </c>
      <c r="B348" s="4">
        <v>347</v>
      </c>
      <c r="C348" s="3">
        <v>21897</v>
      </c>
      <c r="D348" s="4">
        <v>35</v>
      </c>
      <c r="E348" s="15">
        <f t="shared" si="46"/>
        <v>45.110688682527893</v>
      </c>
      <c r="F348" s="8">
        <f t="shared" si="40"/>
        <v>-10.547253231021472</v>
      </c>
      <c r="G348" s="8">
        <f t="shared" si="41"/>
        <v>10.547253231021472</v>
      </c>
      <c r="H348" s="8">
        <f t="shared" si="42"/>
        <v>111.24455071929287</v>
      </c>
      <c r="I348" s="5">
        <f t="shared" si="43"/>
        <v>0.30135009231489918</v>
      </c>
      <c r="J348" s="8">
        <f t="shared" si="44"/>
        <v>1.0096776298753929</v>
      </c>
      <c r="K348" s="8">
        <f t="shared" si="45"/>
        <v>45.547253231021472</v>
      </c>
    </row>
    <row r="349" spans="1:11" ht="15.75" customHeight="1">
      <c r="A349" s="4" t="str">
        <f t="shared" si="32"/>
        <v>Dec</v>
      </c>
      <c r="B349" s="4">
        <v>348</v>
      </c>
      <c r="C349" s="3">
        <v>21898</v>
      </c>
      <c r="D349" s="4">
        <v>52</v>
      </c>
      <c r="E349" s="15">
        <f t="shared" si="46"/>
        <v>45.129773235971307</v>
      </c>
      <c r="F349" s="8">
        <f t="shared" si="40"/>
        <v>6.433477522290552</v>
      </c>
      <c r="G349" s="8">
        <f t="shared" si="41"/>
        <v>6.433477522290552</v>
      </c>
      <c r="H349" s="8">
        <f t="shared" si="42"/>
        <v>41.38963302981778</v>
      </c>
      <c r="I349" s="5">
        <f t="shared" si="43"/>
        <v>0.12372072158251061</v>
      </c>
      <c r="J349" s="8">
        <f t="shared" si="44"/>
        <v>1.0096776298753929</v>
      </c>
      <c r="K349" s="8">
        <f t="shared" si="45"/>
        <v>45.566522477709448</v>
      </c>
    </row>
    <row r="350" spans="1:11" ht="15.75" customHeight="1">
      <c r="A350" s="4" t="str">
        <f t="shared" si="32"/>
        <v>Dec</v>
      </c>
      <c r="B350" s="4">
        <v>349</v>
      </c>
      <c r="C350" s="3">
        <v>21899</v>
      </c>
      <c r="D350" s="4">
        <v>47</v>
      </c>
      <c r="E350" s="15">
        <f t="shared" si="46"/>
        <v>45.14885778941472</v>
      </c>
      <c r="F350" s="8">
        <f t="shared" si="40"/>
        <v>1.4142082756025758</v>
      </c>
      <c r="G350" s="8">
        <f t="shared" si="41"/>
        <v>1.4142082756025758</v>
      </c>
      <c r="H350" s="8">
        <f t="shared" si="42"/>
        <v>1.9999850467828109</v>
      </c>
      <c r="I350" s="5">
        <f t="shared" si="43"/>
        <v>3.0089537778778208E-2</v>
      </c>
      <c r="J350" s="8">
        <f t="shared" si="44"/>
        <v>1.0096776298753929</v>
      </c>
      <c r="K350" s="8">
        <f t="shared" si="45"/>
        <v>45.585791724397424</v>
      </c>
    </row>
    <row r="351" spans="1:11" ht="15.75" customHeight="1">
      <c r="A351" s="4" t="str">
        <f t="shared" si="32"/>
        <v>Dec</v>
      </c>
      <c r="B351" s="4">
        <v>350</v>
      </c>
      <c r="C351" s="3">
        <v>21900</v>
      </c>
      <c r="D351" s="4">
        <v>52</v>
      </c>
      <c r="E351" s="15">
        <f t="shared" si="46"/>
        <v>45.167942342858133</v>
      </c>
      <c r="F351" s="8">
        <f t="shared" si="40"/>
        <v>6.3949390289145995</v>
      </c>
      <c r="G351" s="8">
        <f t="shared" si="41"/>
        <v>6.3949390289145995</v>
      </c>
      <c r="H351" s="8">
        <f t="shared" si="42"/>
        <v>40.895245183535202</v>
      </c>
      <c r="I351" s="5">
        <f t="shared" si="43"/>
        <v>0.12297959670989614</v>
      </c>
      <c r="J351" s="8">
        <f t="shared" si="44"/>
        <v>1.0096776298753929</v>
      </c>
      <c r="K351" s="8">
        <f t="shared" si="45"/>
        <v>45.6050609710854</v>
      </c>
    </row>
    <row r="352" spans="1:11" ht="15.75" customHeight="1">
      <c r="A352" s="4" t="str">
        <f t="shared" si="32"/>
        <v>Dec</v>
      </c>
      <c r="B352" s="4">
        <v>351</v>
      </c>
      <c r="C352" s="3">
        <v>21901</v>
      </c>
      <c r="D352" s="4">
        <v>39</v>
      </c>
      <c r="E352" s="15">
        <f t="shared" si="46"/>
        <v>45.187026896301546</v>
      </c>
      <c r="F352" s="8">
        <f t="shared" si="40"/>
        <v>-6.6243302177733767</v>
      </c>
      <c r="G352" s="8">
        <f t="shared" si="41"/>
        <v>6.6243302177733767</v>
      </c>
      <c r="H352" s="8">
        <f t="shared" si="42"/>
        <v>43.881750834105475</v>
      </c>
      <c r="I352" s="5">
        <f t="shared" si="43"/>
        <v>0.16985462096854811</v>
      </c>
      <c r="J352" s="8">
        <f t="shared" si="44"/>
        <v>1.0096776298753929</v>
      </c>
      <c r="K352" s="8">
        <f t="shared" si="45"/>
        <v>45.624330217773377</v>
      </c>
    </row>
    <row r="353" spans="1:11" ht="15.75" customHeight="1">
      <c r="A353" s="4" t="str">
        <f t="shared" si="32"/>
        <v>Dec</v>
      </c>
      <c r="B353" s="4">
        <v>352</v>
      </c>
      <c r="C353" s="3">
        <v>21902</v>
      </c>
      <c r="D353" s="4">
        <v>40</v>
      </c>
      <c r="E353" s="15">
        <f t="shared" si="46"/>
        <v>45.206111449744959</v>
      </c>
      <c r="F353" s="8">
        <f t="shared" si="40"/>
        <v>-5.643599464461353</v>
      </c>
      <c r="G353" s="8">
        <f t="shared" si="41"/>
        <v>5.643599464461353</v>
      </c>
      <c r="H353" s="8">
        <f t="shared" si="42"/>
        <v>31.85021491526847</v>
      </c>
      <c r="I353" s="5">
        <f t="shared" si="43"/>
        <v>0.14108998661153382</v>
      </c>
      <c r="J353" s="8">
        <f t="shared" si="44"/>
        <v>1.0096776298753929</v>
      </c>
      <c r="K353" s="8">
        <f t="shared" si="45"/>
        <v>45.643599464461353</v>
      </c>
    </row>
    <row r="354" spans="1:11" ht="15.75" customHeight="1">
      <c r="A354" s="4" t="str">
        <f t="shared" si="32"/>
        <v>Dec</v>
      </c>
      <c r="B354" s="4">
        <v>353</v>
      </c>
      <c r="C354" s="3">
        <v>21903</v>
      </c>
      <c r="D354" s="4">
        <v>42</v>
      </c>
      <c r="E354" s="15">
        <f t="shared" si="46"/>
        <v>45.225196003188373</v>
      </c>
      <c r="F354" s="8">
        <f t="shared" si="40"/>
        <v>-3.6628687111493292</v>
      </c>
      <c r="G354" s="8">
        <f t="shared" si="41"/>
        <v>3.6628687111493292</v>
      </c>
      <c r="H354" s="8">
        <f t="shared" si="42"/>
        <v>13.416607195116748</v>
      </c>
      <c r="I354" s="5">
        <f t="shared" si="43"/>
        <v>8.7211159789269743E-2</v>
      </c>
      <c r="J354" s="8">
        <f t="shared" si="44"/>
        <v>1.0096776298753929</v>
      </c>
      <c r="K354" s="8">
        <f t="shared" si="45"/>
        <v>45.662868711149329</v>
      </c>
    </row>
    <row r="355" spans="1:11" ht="15.75" customHeight="1">
      <c r="A355" s="4" t="str">
        <f t="shared" si="32"/>
        <v>Dec</v>
      </c>
      <c r="B355" s="4">
        <v>354</v>
      </c>
      <c r="C355" s="3">
        <v>21904</v>
      </c>
      <c r="D355" s="4">
        <v>42</v>
      </c>
      <c r="E355" s="15">
        <f t="shared" si="46"/>
        <v>45.244280556631779</v>
      </c>
      <c r="F355" s="8">
        <f t="shared" si="40"/>
        <v>-3.6821379578372984</v>
      </c>
      <c r="G355" s="8">
        <f t="shared" si="41"/>
        <v>3.6821379578372984</v>
      </c>
      <c r="H355" s="8">
        <f t="shared" si="42"/>
        <v>13.55813994054623</v>
      </c>
      <c r="I355" s="5">
        <f t="shared" si="43"/>
        <v>8.7669951377078531E-2</v>
      </c>
      <c r="J355" s="8">
        <f t="shared" si="44"/>
        <v>1.0096776298753929</v>
      </c>
      <c r="K355" s="8">
        <f t="shared" si="45"/>
        <v>45.682137957837298</v>
      </c>
    </row>
    <row r="356" spans="1:11" ht="15.75" customHeight="1">
      <c r="A356" s="4" t="str">
        <f t="shared" si="32"/>
        <v>Dec</v>
      </c>
      <c r="B356" s="4">
        <v>355</v>
      </c>
      <c r="C356" s="3">
        <v>21905</v>
      </c>
      <c r="D356" s="4">
        <v>53</v>
      </c>
      <c r="E356" s="15">
        <f t="shared" si="46"/>
        <v>45.263365110075192</v>
      </c>
      <c r="F356" s="8">
        <f t="shared" si="40"/>
        <v>7.2985927954747254</v>
      </c>
      <c r="G356" s="8">
        <f t="shared" si="41"/>
        <v>7.2985927954747254</v>
      </c>
      <c r="H356" s="8">
        <f t="shared" si="42"/>
        <v>53.269456794155566</v>
      </c>
      <c r="I356" s="5">
        <f t="shared" si="43"/>
        <v>0.137709298027825</v>
      </c>
      <c r="J356" s="8">
        <f t="shared" si="44"/>
        <v>1.0096776298753929</v>
      </c>
      <c r="K356" s="8">
        <f t="shared" si="45"/>
        <v>45.701407204525275</v>
      </c>
    </row>
    <row r="357" spans="1:11" ht="15.75" customHeight="1">
      <c r="A357" s="4" t="str">
        <f t="shared" si="32"/>
        <v>Dec</v>
      </c>
      <c r="B357" s="4">
        <v>356</v>
      </c>
      <c r="C357" s="3">
        <v>21906</v>
      </c>
      <c r="D357" s="4">
        <v>39</v>
      </c>
      <c r="E357" s="15">
        <f t="shared" si="46"/>
        <v>45.282449663518605</v>
      </c>
      <c r="F357" s="8">
        <f t="shared" si="40"/>
        <v>-6.7206764512132509</v>
      </c>
      <c r="G357" s="8">
        <f t="shared" si="41"/>
        <v>6.7206764512132509</v>
      </c>
      <c r="H357" s="8">
        <f t="shared" si="42"/>
        <v>45.167491961892338</v>
      </c>
      <c r="I357" s="5">
        <f t="shared" si="43"/>
        <v>0.17232503721059617</v>
      </c>
      <c r="J357" s="8">
        <f t="shared" si="44"/>
        <v>1.0096776298753929</v>
      </c>
      <c r="K357" s="8">
        <f t="shared" si="45"/>
        <v>45.720676451213251</v>
      </c>
    </row>
    <row r="358" spans="1:11" ht="15.75" customHeight="1">
      <c r="A358" s="4" t="str">
        <f t="shared" si="32"/>
        <v>Dec</v>
      </c>
      <c r="B358" s="4">
        <v>357</v>
      </c>
      <c r="C358" s="3">
        <v>21907</v>
      </c>
      <c r="D358" s="4">
        <v>40</v>
      </c>
      <c r="E358" s="15">
        <f t="shared" si="46"/>
        <v>45.301534216962018</v>
      </c>
      <c r="F358" s="8">
        <f t="shared" si="40"/>
        <v>-5.73994569790122</v>
      </c>
      <c r="G358" s="8">
        <f t="shared" si="41"/>
        <v>5.73994569790122</v>
      </c>
      <c r="H358" s="8">
        <f t="shared" si="42"/>
        <v>32.946976614854727</v>
      </c>
      <c r="I358" s="5">
        <f t="shared" si="43"/>
        <v>0.14349864244753049</v>
      </c>
      <c r="J358" s="8">
        <f t="shared" si="44"/>
        <v>1.0096776298753929</v>
      </c>
      <c r="K358" s="8">
        <f t="shared" si="45"/>
        <v>45.73994569790122</v>
      </c>
    </row>
    <row r="359" spans="1:11" ht="15.75" customHeight="1">
      <c r="A359" s="4" t="str">
        <f t="shared" si="32"/>
        <v>Dec</v>
      </c>
      <c r="B359" s="4">
        <v>358</v>
      </c>
      <c r="C359" s="3">
        <v>21908</v>
      </c>
      <c r="D359" s="4">
        <v>38</v>
      </c>
      <c r="E359" s="15">
        <f t="shared" si="46"/>
        <v>45.320618770405432</v>
      </c>
      <c r="F359" s="8">
        <f t="shared" si="40"/>
        <v>-7.7592149445891963</v>
      </c>
      <c r="G359" s="8">
        <f t="shared" si="41"/>
        <v>7.7592149445891963</v>
      </c>
      <c r="H359" s="8">
        <f t="shared" si="42"/>
        <v>60.205416556336324</v>
      </c>
      <c r="I359" s="5">
        <f t="shared" si="43"/>
        <v>0.20418986696287358</v>
      </c>
      <c r="J359" s="8">
        <f t="shared" si="44"/>
        <v>1.0096776298753929</v>
      </c>
      <c r="K359" s="8">
        <f t="shared" si="45"/>
        <v>45.759214944589196</v>
      </c>
    </row>
    <row r="360" spans="1:11" ht="15.75" customHeight="1">
      <c r="A360" s="4" t="str">
        <f t="shared" si="32"/>
        <v>Dec</v>
      </c>
      <c r="B360" s="4">
        <v>359</v>
      </c>
      <c r="C360" s="3">
        <v>21909</v>
      </c>
      <c r="D360" s="4">
        <v>44</v>
      </c>
      <c r="E360" s="15">
        <f t="shared" si="46"/>
        <v>45.339703323848845</v>
      </c>
      <c r="F360" s="8">
        <f t="shared" si="40"/>
        <v>-1.7784841912771725</v>
      </c>
      <c r="G360" s="8">
        <f t="shared" si="41"/>
        <v>1.7784841912771725</v>
      </c>
      <c r="H360" s="8">
        <f t="shared" si="42"/>
        <v>3.1630060186228182</v>
      </c>
      <c r="I360" s="5">
        <f t="shared" si="43"/>
        <v>4.0420095256299374E-2</v>
      </c>
      <c r="J360" s="8">
        <f t="shared" si="44"/>
        <v>1.0096776298753929</v>
      </c>
      <c r="K360" s="8">
        <f t="shared" si="45"/>
        <v>45.778484191277172</v>
      </c>
    </row>
    <row r="361" spans="1:11" ht="15.75" customHeight="1">
      <c r="A361" s="4" t="str">
        <f t="shared" si="32"/>
        <v>Dec</v>
      </c>
      <c r="B361" s="4">
        <v>360</v>
      </c>
      <c r="C361" s="3">
        <v>21910</v>
      </c>
      <c r="D361" s="4">
        <v>34</v>
      </c>
      <c r="E361" s="15">
        <f t="shared" si="46"/>
        <v>45.358787877292258</v>
      </c>
      <c r="F361" s="8">
        <f t="shared" si="40"/>
        <v>-11.797753437965149</v>
      </c>
      <c r="G361" s="8">
        <f t="shared" si="41"/>
        <v>11.797753437965149</v>
      </c>
      <c r="H361" s="8">
        <f t="shared" si="42"/>
        <v>139.18698618301849</v>
      </c>
      <c r="I361" s="5">
        <f t="shared" si="43"/>
        <v>0.34699274817544556</v>
      </c>
      <c r="J361" s="8">
        <f t="shared" si="44"/>
        <v>1.0096776298753929</v>
      </c>
      <c r="K361" s="8">
        <f t="shared" si="45"/>
        <v>45.797753437965149</v>
      </c>
    </row>
    <row r="362" spans="1:11" ht="15.75" customHeight="1">
      <c r="A362" s="4" t="str">
        <f t="shared" si="32"/>
        <v>Dec</v>
      </c>
      <c r="B362" s="4">
        <v>361</v>
      </c>
      <c r="C362" s="3">
        <v>21911</v>
      </c>
      <c r="D362" s="4">
        <v>37</v>
      </c>
      <c r="E362" s="15">
        <f t="shared" si="46"/>
        <v>45.377872430735671</v>
      </c>
      <c r="F362" s="8">
        <f t="shared" si="40"/>
        <v>-8.817022684653125</v>
      </c>
      <c r="G362" s="8">
        <f t="shared" si="41"/>
        <v>8.817022684653125</v>
      </c>
      <c r="H362" s="8">
        <f t="shared" si="42"/>
        <v>77.739889021687802</v>
      </c>
      <c r="I362" s="5">
        <f t="shared" si="43"/>
        <v>0.2382979103960304</v>
      </c>
      <c r="J362" s="8">
        <f t="shared" si="44"/>
        <v>1.0096776298753929</v>
      </c>
      <c r="K362" s="8">
        <f t="shared" si="45"/>
        <v>45.817022684653125</v>
      </c>
    </row>
    <row r="363" spans="1:11" ht="15.75" customHeight="1">
      <c r="A363" s="4" t="str">
        <f t="shared" si="32"/>
        <v>Dec</v>
      </c>
      <c r="B363" s="4">
        <v>362</v>
      </c>
      <c r="C363" s="3">
        <v>21912</v>
      </c>
      <c r="D363" s="4">
        <v>52</v>
      </c>
      <c r="E363" s="15">
        <f t="shared" si="46"/>
        <v>45.396956984179084</v>
      </c>
      <c r="F363" s="8">
        <f t="shared" si="40"/>
        <v>6.1637080686588988</v>
      </c>
      <c r="G363" s="8">
        <f t="shared" si="41"/>
        <v>6.1637080686588988</v>
      </c>
      <c r="H363" s="8">
        <f t="shared" si="42"/>
        <v>37.991297155650813</v>
      </c>
      <c r="I363" s="5">
        <f t="shared" si="43"/>
        <v>0.11853284747420959</v>
      </c>
      <c r="J363" s="8">
        <f t="shared" si="44"/>
        <v>1.0096776298753929</v>
      </c>
      <c r="K363" s="8">
        <f t="shared" si="45"/>
        <v>45.836291931341101</v>
      </c>
    </row>
    <row r="364" spans="1:11" ht="15.75" customHeight="1">
      <c r="A364" s="4" t="str">
        <f t="shared" si="32"/>
        <v>Dec</v>
      </c>
      <c r="B364" s="4">
        <v>363</v>
      </c>
      <c r="C364" s="3">
        <v>21913</v>
      </c>
      <c r="D364" s="4">
        <v>48</v>
      </c>
      <c r="E364" s="15">
        <f t="shared" si="46"/>
        <v>45.416041537622498</v>
      </c>
      <c r="F364" s="8">
        <f t="shared" si="40"/>
        <v>2.1444388219709225</v>
      </c>
      <c r="G364" s="8">
        <f t="shared" si="41"/>
        <v>2.1444388219709225</v>
      </c>
      <c r="H364" s="8">
        <f t="shared" si="42"/>
        <v>4.598617861176038</v>
      </c>
      <c r="I364" s="5">
        <f t="shared" si="43"/>
        <v>4.4675808791060888E-2</v>
      </c>
      <c r="J364" s="8">
        <f t="shared" si="44"/>
        <v>1.0096776298753929</v>
      </c>
      <c r="K364" s="8">
        <f t="shared" si="45"/>
        <v>45.855561178029077</v>
      </c>
    </row>
    <row r="365" spans="1:11" ht="15.75" customHeight="1">
      <c r="A365" s="4" t="str">
        <f t="shared" si="32"/>
        <v>Dec</v>
      </c>
      <c r="B365" s="4">
        <v>364</v>
      </c>
      <c r="C365" s="3">
        <v>21914</v>
      </c>
      <c r="D365" s="4">
        <v>55</v>
      </c>
      <c r="E365" s="15">
        <f t="shared" si="46"/>
        <v>45.435126091065911</v>
      </c>
      <c r="F365" s="8">
        <f t="shared" si="40"/>
        <v>9.1251695752829463</v>
      </c>
      <c r="G365" s="8">
        <f t="shared" si="41"/>
        <v>9.1251695752829463</v>
      </c>
      <c r="H365" s="8">
        <f t="shared" si="42"/>
        <v>83.268719777669546</v>
      </c>
      <c r="I365" s="5">
        <f t="shared" si="43"/>
        <v>0.16591217409605358</v>
      </c>
      <c r="J365" s="8">
        <f t="shared" si="44"/>
        <v>1.0096776298753929</v>
      </c>
      <c r="K365" s="8">
        <f t="shared" si="45"/>
        <v>45.874830424717054</v>
      </c>
    </row>
    <row r="366" spans="1:11" ht="15.75" customHeight="1">
      <c r="A366" s="4" t="str">
        <f t="shared" si="32"/>
        <v>Dec</v>
      </c>
      <c r="B366" s="4">
        <v>365</v>
      </c>
      <c r="C366" s="3">
        <v>21915</v>
      </c>
      <c r="D366" s="4">
        <v>50</v>
      </c>
      <c r="E366" s="15">
        <f t="shared" si="46"/>
        <v>45.454210644509324</v>
      </c>
      <c r="F366" s="8">
        <f t="shared" si="40"/>
        <v>4.10590032859497</v>
      </c>
      <c r="G366" s="8">
        <f t="shared" si="41"/>
        <v>4.10590032859497</v>
      </c>
      <c r="H366" s="8">
        <f t="shared" si="42"/>
        <v>16.858417508356283</v>
      </c>
      <c r="I366" s="5">
        <f t="shared" si="43"/>
        <v>8.2118006571899396E-2</v>
      </c>
      <c r="J366" s="8">
        <f t="shared" si="44"/>
        <v>1.0096776298753929</v>
      </c>
      <c r="K366" s="8">
        <f t="shared" si="45"/>
        <v>45.89409967140503</v>
      </c>
    </row>
    <row r="367" spans="1:11" ht="15.75" customHeight="1"/>
    <row r="368" spans="1:11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J12" sqref="J12"/>
    </sheetView>
  </sheetViews>
  <sheetFormatPr defaultColWidth="11.19921875" defaultRowHeight="15" customHeight="1"/>
  <cols>
    <col min="1" max="2" width="11" customWidth="1"/>
    <col min="3" max="3" width="11.69921875" customWidth="1"/>
    <col min="4" max="4" width="14.69921875" customWidth="1"/>
    <col min="5" max="6" width="12.8984375" customWidth="1"/>
    <col min="7" max="7" width="20.09765625" customWidth="1"/>
    <col min="8" max="8" width="22.8984375" customWidth="1"/>
    <col min="9" max="10" width="11" customWidth="1"/>
    <col min="11" max="11" width="20.296875" customWidth="1"/>
    <col min="12" max="26" width="11" customWidth="1"/>
  </cols>
  <sheetData>
    <row r="1" spans="1:11" ht="15.75" customHeight="1">
      <c r="A1" s="2" t="s">
        <v>15</v>
      </c>
      <c r="B1" s="1" t="s">
        <v>0</v>
      </c>
      <c r="C1" s="2" t="s">
        <v>1</v>
      </c>
      <c r="D1" s="13" t="s">
        <v>16</v>
      </c>
      <c r="E1" s="14" t="s">
        <v>14</v>
      </c>
      <c r="F1" s="2" t="s">
        <v>4</v>
      </c>
      <c r="G1" s="2" t="s">
        <v>5</v>
      </c>
      <c r="H1" s="2" t="s">
        <v>6</v>
      </c>
    </row>
    <row r="2" spans="1:11" ht="15.75" customHeight="1">
      <c r="A2" s="4">
        <v>1</v>
      </c>
      <c r="B2" s="3">
        <v>21551</v>
      </c>
      <c r="C2" s="4">
        <v>35</v>
      </c>
      <c r="D2" s="15">
        <f>_xlfn.FORECAST.LINEAR(A2,$C$2:$C$366,$A$2:$A$366)</f>
        <v>38.507433191107125</v>
      </c>
      <c r="E2" s="8">
        <f t="shared" ref="E2:E65" si="0">C2-solver_opt</f>
        <v>-3.5074331911071255</v>
      </c>
      <c r="F2" s="8">
        <f>ABS(E2)</f>
        <v>3.5074331911071255</v>
      </c>
      <c r="G2" s="8">
        <f>F2^2</f>
        <v>12.302087590079914</v>
      </c>
      <c r="H2" s="5">
        <f>F2/C2</f>
        <v>0.10021237688877502</v>
      </c>
    </row>
    <row r="3" spans="1:11" ht="15.75" customHeight="1">
      <c r="A3" s="4">
        <v>2</v>
      </c>
      <c r="B3" s="3">
        <v>21552</v>
      </c>
      <c r="C3" s="4">
        <v>32</v>
      </c>
      <c r="D3" s="15">
        <f t="shared" ref="D3:D66" si="1">_xlfn.FORECAST.LINEAR(A3,$C$2:$C$366,$A$2:$A$366)</f>
        <v>38.526517744550539</v>
      </c>
      <c r="E3" s="8">
        <f t="shared" si="0"/>
        <v>-6.5074331911071255</v>
      </c>
      <c r="F3" s="8">
        <f t="shared" ref="F3:F66" si="2">ABS(E3)</f>
        <v>6.5074331911071255</v>
      </c>
      <c r="G3" s="8">
        <f t="shared" ref="G3:G66" si="3">F3^2</f>
        <v>42.346686736722667</v>
      </c>
      <c r="H3" s="5">
        <f t="shared" ref="H3:H66" si="4">F3/C3</f>
        <v>0.20335728722209767</v>
      </c>
    </row>
    <row r="4" spans="1:11" ht="15.75" customHeight="1">
      <c r="A4" s="4">
        <v>3</v>
      </c>
      <c r="B4" s="3">
        <v>21553</v>
      </c>
      <c r="C4" s="4">
        <v>30</v>
      </c>
      <c r="D4" s="15">
        <f t="shared" si="1"/>
        <v>38.545602297993952</v>
      </c>
      <c r="E4" s="8">
        <f t="shared" si="0"/>
        <v>-8.5074331911071255</v>
      </c>
      <c r="F4" s="8">
        <f t="shared" si="2"/>
        <v>8.5074331911071255</v>
      </c>
      <c r="G4" s="8">
        <f t="shared" si="3"/>
        <v>72.376419501151162</v>
      </c>
      <c r="H4" s="5">
        <f t="shared" si="4"/>
        <v>0.28358110637023753</v>
      </c>
    </row>
    <row r="5" spans="1:11" ht="15.75" customHeight="1">
      <c r="A5" s="4">
        <v>4</v>
      </c>
      <c r="B5" s="3">
        <v>21554</v>
      </c>
      <c r="C5" s="4">
        <v>31</v>
      </c>
      <c r="D5" s="15">
        <f t="shared" si="1"/>
        <v>38.564686851437365</v>
      </c>
      <c r="E5" s="8">
        <f t="shared" si="0"/>
        <v>-7.5074331911071255</v>
      </c>
      <c r="F5" s="8">
        <f t="shared" si="2"/>
        <v>7.5074331911071255</v>
      </c>
      <c r="G5" s="8">
        <f t="shared" si="3"/>
        <v>56.361553118936918</v>
      </c>
      <c r="H5" s="5">
        <f t="shared" si="4"/>
        <v>0.24217526422926211</v>
      </c>
    </row>
    <row r="6" spans="1:11" ht="15.75" customHeight="1">
      <c r="A6" s="4">
        <v>5</v>
      </c>
      <c r="B6" s="3">
        <v>21555</v>
      </c>
      <c r="C6" s="4">
        <v>44</v>
      </c>
      <c r="D6" s="15">
        <f t="shared" si="1"/>
        <v>38.583771404880778</v>
      </c>
      <c r="E6" s="8">
        <f t="shared" si="0"/>
        <v>5.4925668088928745</v>
      </c>
      <c r="F6" s="8">
        <f t="shared" si="2"/>
        <v>5.4925668088928745</v>
      </c>
      <c r="G6" s="8">
        <f t="shared" si="3"/>
        <v>30.168290150151655</v>
      </c>
      <c r="H6" s="5">
        <f t="shared" si="4"/>
        <v>0.12483106383847442</v>
      </c>
      <c r="J6" s="6" t="s">
        <v>7</v>
      </c>
      <c r="K6" s="7">
        <f>AVERAGE(F2:F366)</f>
        <v>6.3139334725858101</v>
      </c>
    </row>
    <row r="7" spans="1:11" ht="15.75" customHeight="1">
      <c r="A7" s="4">
        <v>6</v>
      </c>
      <c r="B7" s="3">
        <v>21556</v>
      </c>
      <c r="C7" s="4">
        <v>29</v>
      </c>
      <c r="D7" s="15">
        <f t="shared" si="1"/>
        <v>38.602855958324191</v>
      </c>
      <c r="E7" s="8">
        <f t="shared" si="0"/>
        <v>-9.5074331911071255</v>
      </c>
      <c r="F7" s="8">
        <f t="shared" si="2"/>
        <v>9.5074331911071255</v>
      </c>
      <c r="G7" s="8">
        <f t="shared" si="3"/>
        <v>90.391285883365413</v>
      </c>
      <c r="H7" s="5">
        <f t="shared" si="4"/>
        <v>0.32784252383128021</v>
      </c>
      <c r="J7" s="2" t="s">
        <v>8</v>
      </c>
      <c r="K7" s="8">
        <f>AVERAGE(G2:G366)</f>
        <v>65.913376516430887</v>
      </c>
    </row>
    <row r="8" spans="1:11" ht="15.75" customHeight="1">
      <c r="A8" s="4">
        <v>7</v>
      </c>
      <c r="B8" s="3">
        <v>21557</v>
      </c>
      <c r="C8" s="4">
        <v>45</v>
      </c>
      <c r="D8" s="15">
        <f t="shared" si="1"/>
        <v>38.621940511767598</v>
      </c>
      <c r="E8" s="8">
        <f t="shared" si="0"/>
        <v>6.4925668088928745</v>
      </c>
      <c r="F8" s="8">
        <f t="shared" si="2"/>
        <v>6.4925668088928745</v>
      </c>
      <c r="G8" s="8">
        <f t="shared" si="3"/>
        <v>42.153423767937404</v>
      </c>
      <c r="H8" s="5">
        <f t="shared" si="4"/>
        <v>0.14427926241984165</v>
      </c>
      <c r="J8" s="2" t="s">
        <v>9</v>
      </c>
      <c r="K8" s="5">
        <f>AVERAGE(H2:H366)</f>
        <v>0.144827690913063</v>
      </c>
    </row>
    <row r="9" spans="1:11" ht="15.75" customHeight="1">
      <c r="A9" s="4">
        <v>8</v>
      </c>
      <c r="B9" s="3">
        <v>21558</v>
      </c>
      <c r="C9" s="4">
        <v>43</v>
      </c>
      <c r="D9" s="15">
        <f t="shared" si="1"/>
        <v>38.641025065211011</v>
      </c>
      <c r="E9" s="8">
        <f t="shared" si="0"/>
        <v>4.4925668088928745</v>
      </c>
      <c r="F9" s="8">
        <f t="shared" si="2"/>
        <v>4.4925668088928745</v>
      </c>
      <c r="G9" s="8">
        <f t="shared" si="3"/>
        <v>20.183156532365906</v>
      </c>
      <c r="H9" s="5">
        <f t="shared" si="4"/>
        <v>0.10447829788122964</v>
      </c>
      <c r="J9" s="16" t="s">
        <v>10</v>
      </c>
      <c r="K9" s="17">
        <f>100%-K8</f>
        <v>0.85517230908693698</v>
      </c>
    </row>
    <row r="10" spans="1:11" ht="15.75" customHeight="1">
      <c r="A10" s="4">
        <v>9</v>
      </c>
      <c r="B10" s="3">
        <v>21559</v>
      </c>
      <c r="C10" s="4">
        <v>38</v>
      </c>
      <c r="D10" s="15">
        <f t="shared" si="1"/>
        <v>38.660109618654424</v>
      </c>
      <c r="E10" s="8">
        <f t="shared" si="0"/>
        <v>-0.50743319110712548</v>
      </c>
      <c r="F10" s="8">
        <f t="shared" si="2"/>
        <v>0.50743319110712548</v>
      </c>
      <c r="G10" s="8">
        <f t="shared" si="3"/>
        <v>0.25748844343716054</v>
      </c>
      <c r="H10" s="5">
        <f t="shared" si="4"/>
        <v>1.3353505029134882E-2</v>
      </c>
    </row>
    <row r="11" spans="1:11" ht="15.75" customHeight="1">
      <c r="A11" s="4">
        <v>10</v>
      </c>
      <c r="B11" s="3">
        <v>21560</v>
      </c>
      <c r="C11" s="4">
        <v>27</v>
      </c>
      <c r="D11" s="15">
        <f t="shared" si="1"/>
        <v>38.679194172097837</v>
      </c>
      <c r="E11" s="8">
        <f t="shared" si="0"/>
        <v>-11.507433191107125</v>
      </c>
      <c r="F11" s="8">
        <f t="shared" si="2"/>
        <v>11.507433191107125</v>
      </c>
      <c r="G11" s="8">
        <f t="shared" si="3"/>
        <v>132.42101864779391</v>
      </c>
      <c r="H11" s="5">
        <f t="shared" si="4"/>
        <v>0.42620122930026388</v>
      </c>
    </row>
    <row r="12" spans="1:11" ht="15.75" customHeight="1">
      <c r="A12" s="4">
        <v>11</v>
      </c>
      <c r="B12" s="3">
        <v>21561</v>
      </c>
      <c r="C12" s="4">
        <v>38</v>
      </c>
      <c r="D12" s="15">
        <f t="shared" si="1"/>
        <v>38.69827872554125</v>
      </c>
      <c r="E12" s="8">
        <f t="shared" si="0"/>
        <v>-0.50743319110712548</v>
      </c>
      <c r="F12" s="8">
        <f t="shared" si="2"/>
        <v>0.50743319110712548</v>
      </c>
      <c r="G12" s="8">
        <f t="shared" si="3"/>
        <v>0.25748844343716054</v>
      </c>
      <c r="H12" s="5">
        <f t="shared" si="4"/>
        <v>1.3353505029134882E-2</v>
      </c>
    </row>
    <row r="13" spans="1:11" ht="15.75" customHeight="1">
      <c r="A13" s="4">
        <v>12</v>
      </c>
      <c r="B13" s="3">
        <v>21562</v>
      </c>
      <c r="C13" s="4">
        <v>33</v>
      </c>
      <c r="D13" s="15">
        <f t="shared" si="1"/>
        <v>38.717363278984664</v>
      </c>
      <c r="E13" s="8">
        <f t="shared" si="0"/>
        <v>-5.5074331911071255</v>
      </c>
      <c r="F13" s="8">
        <f t="shared" si="2"/>
        <v>5.5074331911071255</v>
      </c>
      <c r="G13" s="8">
        <f t="shared" si="3"/>
        <v>30.331820354508416</v>
      </c>
      <c r="H13" s="5">
        <f t="shared" si="4"/>
        <v>0.16689191488203411</v>
      </c>
    </row>
    <row r="14" spans="1:11" ht="15.75" customHeight="1">
      <c r="A14" s="4">
        <v>13</v>
      </c>
      <c r="B14" s="3">
        <v>21563</v>
      </c>
      <c r="C14" s="4">
        <v>55</v>
      </c>
      <c r="D14" s="15">
        <f t="shared" si="1"/>
        <v>38.736447832428077</v>
      </c>
      <c r="E14" s="8">
        <f t="shared" si="0"/>
        <v>16.492566808892875</v>
      </c>
      <c r="F14" s="8">
        <f t="shared" si="2"/>
        <v>16.492566808892875</v>
      </c>
      <c r="G14" s="8">
        <f t="shared" si="3"/>
        <v>272.00475994579489</v>
      </c>
      <c r="H14" s="5">
        <f t="shared" si="4"/>
        <v>0.29986485107077954</v>
      </c>
    </row>
    <row r="15" spans="1:11" ht="15.75" customHeight="1">
      <c r="A15" s="4">
        <v>14</v>
      </c>
      <c r="B15" s="3">
        <v>21564</v>
      </c>
      <c r="C15" s="4">
        <v>47</v>
      </c>
      <c r="D15" s="15">
        <f t="shared" si="1"/>
        <v>38.75553238587149</v>
      </c>
      <c r="E15" s="8">
        <f t="shared" si="0"/>
        <v>8.4925668088928745</v>
      </c>
      <c r="F15" s="8">
        <f t="shared" si="2"/>
        <v>8.4925668088928745</v>
      </c>
      <c r="G15" s="8">
        <f t="shared" si="3"/>
        <v>72.123691003508895</v>
      </c>
      <c r="H15" s="5">
        <f t="shared" si="4"/>
        <v>0.18069291082750796</v>
      </c>
    </row>
    <row r="16" spans="1:11" ht="15.75" customHeight="1">
      <c r="A16" s="4">
        <v>15</v>
      </c>
      <c r="B16" s="3">
        <v>21565</v>
      </c>
      <c r="C16" s="4">
        <v>45</v>
      </c>
      <c r="D16" s="15">
        <f t="shared" si="1"/>
        <v>38.774616939314903</v>
      </c>
      <c r="E16" s="8">
        <f t="shared" si="0"/>
        <v>6.4925668088928745</v>
      </c>
      <c r="F16" s="8">
        <f t="shared" si="2"/>
        <v>6.4925668088928745</v>
      </c>
      <c r="G16" s="8">
        <f t="shared" si="3"/>
        <v>42.153423767937404</v>
      </c>
      <c r="H16" s="5">
        <f t="shared" si="4"/>
        <v>0.14427926241984165</v>
      </c>
    </row>
    <row r="17" spans="1:8" ht="15.75" customHeight="1">
      <c r="A17" s="4">
        <v>16</v>
      </c>
      <c r="B17" s="3">
        <v>21566</v>
      </c>
      <c r="C17" s="4">
        <v>37</v>
      </c>
      <c r="D17" s="15">
        <f t="shared" si="1"/>
        <v>38.793701492758316</v>
      </c>
      <c r="E17" s="8">
        <f t="shared" si="0"/>
        <v>-1.5074331911071255</v>
      </c>
      <c r="F17" s="8">
        <f t="shared" si="2"/>
        <v>1.5074331911071255</v>
      </c>
      <c r="G17" s="8">
        <f t="shared" si="3"/>
        <v>2.2723548256514117</v>
      </c>
      <c r="H17" s="5">
        <f t="shared" si="4"/>
        <v>4.0741437597489875E-2</v>
      </c>
    </row>
    <row r="18" spans="1:8" ht="15.75" customHeight="1">
      <c r="A18" s="4">
        <v>17</v>
      </c>
      <c r="B18" s="3">
        <v>21567</v>
      </c>
      <c r="C18" s="4">
        <v>50</v>
      </c>
      <c r="D18" s="15">
        <f t="shared" si="1"/>
        <v>38.81278604620173</v>
      </c>
      <c r="E18" s="8">
        <f t="shared" si="0"/>
        <v>11.492566808892875</v>
      </c>
      <c r="F18" s="8">
        <f t="shared" si="2"/>
        <v>11.492566808892875</v>
      </c>
      <c r="G18" s="8">
        <f t="shared" si="3"/>
        <v>132.07909185686614</v>
      </c>
      <c r="H18" s="5">
        <f t="shared" si="4"/>
        <v>0.2298513361778575</v>
      </c>
    </row>
    <row r="19" spans="1:8" ht="15.75" customHeight="1">
      <c r="A19" s="4">
        <v>18</v>
      </c>
      <c r="B19" s="3">
        <v>21568</v>
      </c>
      <c r="C19" s="4">
        <v>43</v>
      </c>
      <c r="D19" s="15">
        <f t="shared" si="1"/>
        <v>38.831870599645143</v>
      </c>
      <c r="E19" s="8">
        <f t="shared" si="0"/>
        <v>4.4925668088928745</v>
      </c>
      <c r="F19" s="8">
        <f t="shared" si="2"/>
        <v>4.4925668088928745</v>
      </c>
      <c r="G19" s="8">
        <f t="shared" si="3"/>
        <v>20.183156532365906</v>
      </c>
      <c r="H19" s="5">
        <f t="shared" si="4"/>
        <v>0.10447829788122964</v>
      </c>
    </row>
    <row r="20" spans="1:8" ht="15.75" customHeight="1">
      <c r="A20" s="4">
        <v>19</v>
      </c>
      <c r="B20" s="3">
        <v>21569</v>
      </c>
      <c r="C20" s="4">
        <v>41</v>
      </c>
      <c r="D20" s="15">
        <f t="shared" si="1"/>
        <v>38.850955153088549</v>
      </c>
      <c r="E20" s="8">
        <f t="shared" si="0"/>
        <v>2.4925668088928745</v>
      </c>
      <c r="F20" s="8">
        <f t="shared" si="2"/>
        <v>2.4925668088928745</v>
      </c>
      <c r="G20" s="8">
        <f t="shared" si="3"/>
        <v>6.2128892967944074</v>
      </c>
      <c r="H20" s="5">
        <f t="shared" si="4"/>
        <v>6.079431241202133E-2</v>
      </c>
    </row>
    <row r="21" spans="1:8" ht="15.75" customHeight="1">
      <c r="A21" s="4">
        <v>20</v>
      </c>
      <c r="B21" s="3">
        <v>21570</v>
      </c>
      <c r="C21" s="4">
        <v>52</v>
      </c>
      <c r="D21" s="15">
        <f t="shared" si="1"/>
        <v>38.870039706531962</v>
      </c>
      <c r="E21" s="8">
        <f t="shared" si="0"/>
        <v>13.492566808892875</v>
      </c>
      <c r="F21" s="8">
        <f t="shared" si="2"/>
        <v>13.492566808892875</v>
      </c>
      <c r="G21" s="8">
        <f t="shared" si="3"/>
        <v>182.04935909243764</v>
      </c>
      <c r="H21" s="5">
        <f t="shared" si="4"/>
        <v>0.25947243863255526</v>
      </c>
    </row>
    <row r="22" spans="1:8" ht="15.75" customHeight="1">
      <c r="A22" s="4">
        <v>21</v>
      </c>
      <c r="B22" s="3">
        <v>21571</v>
      </c>
      <c r="C22" s="4">
        <v>34</v>
      </c>
      <c r="D22" s="15">
        <f t="shared" si="1"/>
        <v>38.889124259975375</v>
      </c>
      <c r="E22" s="8">
        <f t="shared" si="0"/>
        <v>-4.5074331911071255</v>
      </c>
      <c r="F22" s="8">
        <f t="shared" si="2"/>
        <v>4.5074331911071255</v>
      </c>
      <c r="G22" s="8">
        <f t="shared" si="3"/>
        <v>20.316953972294165</v>
      </c>
      <c r="H22" s="5">
        <f t="shared" si="4"/>
        <v>0.13257156444432722</v>
      </c>
    </row>
    <row r="23" spans="1:8" ht="15.75" customHeight="1">
      <c r="A23" s="4">
        <v>22</v>
      </c>
      <c r="B23" s="3">
        <v>21572</v>
      </c>
      <c r="C23" s="4">
        <v>53</v>
      </c>
      <c r="D23" s="15">
        <f t="shared" si="1"/>
        <v>38.908208813418788</v>
      </c>
      <c r="E23" s="8">
        <f t="shared" si="0"/>
        <v>14.492566808892875</v>
      </c>
      <c r="F23" s="8">
        <f t="shared" si="2"/>
        <v>14.492566808892875</v>
      </c>
      <c r="G23" s="8">
        <f t="shared" si="3"/>
        <v>210.03449271022339</v>
      </c>
      <c r="H23" s="5">
        <f t="shared" si="4"/>
        <v>0.27344465677156365</v>
      </c>
    </row>
    <row r="24" spans="1:8" ht="15.75" customHeight="1">
      <c r="A24" s="4">
        <v>23</v>
      </c>
      <c r="B24" s="3">
        <v>21573</v>
      </c>
      <c r="C24" s="4">
        <v>39</v>
      </c>
      <c r="D24" s="15">
        <f t="shared" si="1"/>
        <v>38.927293366862202</v>
      </c>
      <c r="E24" s="8">
        <f t="shared" si="0"/>
        <v>0.49256680889287452</v>
      </c>
      <c r="F24" s="8">
        <f t="shared" si="2"/>
        <v>0.49256680889287452</v>
      </c>
      <c r="G24" s="8">
        <f t="shared" si="3"/>
        <v>0.24262206122290958</v>
      </c>
      <c r="H24" s="5">
        <f t="shared" si="4"/>
        <v>1.2629918176740373E-2</v>
      </c>
    </row>
    <row r="25" spans="1:8" ht="15.75" customHeight="1">
      <c r="A25" s="4">
        <v>24</v>
      </c>
      <c r="B25" s="3">
        <v>21574</v>
      </c>
      <c r="C25" s="4">
        <v>32</v>
      </c>
      <c r="D25" s="15">
        <f t="shared" si="1"/>
        <v>38.946377920305615</v>
      </c>
      <c r="E25" s="8">
        <f t="shared" si="0"/>
        <v>-6.5074331911071255</v>
      </c>
      <c r="F25" s="8">
        <f t="shared" si="2"/>
        <v>6.5074331911071255</v>
      </c>
      <c r="G25" s="8">
        <f t="shared" si="3"/>
        <v>42.346686736722667</v>
      </c>
      <c r="H25" s="5">
        <f t="shared" si="4"/>
        <v>0.20335728722209767</v>
      </c>
    </row>
    <row r="26" spans="1:8" ht="15.75" customHeight="1">
      <c r="A26" s="4">
        <v>25</v>
      </c>
      <c r="B26" s="3">
        <v>21575</v>
      </c>
      <c r="C26" s="4">
        <v>37</v>
      </c>
      <c r="D26" s="15">
        <f t="shared" si="1"/>
        <v>38.965462473749028</v>
      </c>
      <c r="E26" s="8">
        <f t="shared" si="0"/>
        <v>-1.5074331911071255</v>
      </c>
      <c r="F26" s="8">
        <f t="shared" si="2"/>
        <v>1.5074331911071255</v>
      </c>
      <c r="G26" s="8">
        <f t="shared" si="3"/>
        <v>2.2723548256514117</v>
      </c>
      <c r="H26" s="5">
        <f t="shared" si="4"/>
        <v>4.0741437597489875E-2</v>
      </c>
    </row>
    <row r="27" spans="1:8" ht="15.75" customHeight="1">
      <c r="A27" s="4">
        <v>26</v>
      </c>
      <c r="B27" s="3">
        <v>21576</v>
      </c>
      <c r="C27" s="4">
        <v>43</v>
      </c>
      <c r="D27" s="15">
        <f t="shared" si="1"/>
        <v>38.984547027192441</v>
      </c>
      <c r="E27" s="8">
        <f t="shared" si="0"/>
        <v>4.4925668088928745</v>
      </c>
      <c r="F27" s="8">
        <f t="shared" si="2"/>
        <v>4.4925668088928745</v>
      </c>
      <c r="G27" s="8">
        <f t="shared" si="3"/>
        <v>20.183156532365906</v>
      </c>
      <c r="H27" s="5">
        <f t="shared" si="4"/>
        <v>0.10447829788122964</v>
      </c>
    </row>
    <row r="28" spans="1:8" ht="15.75" customHeight="1">
      <c r="A28" s="4">
        <v>27</v>
      </c>
      <c r="B28" s="3">
        <v>21577</v>
      </c>
      <c r="C28" s="4">
        <v>39</v>
      </c>
      <c r="D28" s="15">
        <f t="shared" si="1"/>
        <v>39.003631580635854</v>
      </c>
      <c r="E28" s="8">
        <f t="shared" si="0"/>
        <v>0.49256680889287452</v>
      </c>
      <c r="F28" s="8">
        <f t="shared" si="2"/>
        <v>0.49256680889287452</v>
      </c>
      <c r="G28" s="8">
        <f t="shared" si="3"/>
        <v>0.24262206122290958</v>
      </c>
      <c r="H28" s="5">
        <f t="shared" si="4"/>
        <v>1.2629918176740373E-2</v>
      </c>
    </row>
    <row r="29" spans="1:8" ht="15.75" customHeight="1">
      <c r="A29" s="4">
        <v>28</v>
      </c>
      <c r="B29" s="3">
        <v>21578</v>
      </c>
      <c r="C29" s="4">
        <v>35</v>
      </c>
      <c r="D29" s="15">
        <f t="shared" si="1"/>
        <v>39.022716134079268</v>
      </c>
      <c r="E29" s="8">
        <f t="shared" si="0"/>
        <v>-3.5074331911071255</v>
      </c>
      <c r="F29" s="8">
        <f t="shared" si="2"/>
        <v>3.5074331911071255</v>
      </c>
      <c r="G29" s="8">
        <f t="shared" si="3"/>
        <v>12.302087590079914</v>
      </c>
      <c r="H29" s="5">
        <f t="shared" si="4"/>
        <v>0.10021237688877502</v>
      </c>
    </row>
    <row r="30" spans="1:8" ht="15.75" customHeight="1">
      <c r="A30" s="4">
        <v>29</v>
      </c>
      <c r="B30" s="3">
        <v>21579</v>
      </c>
      <c r="C30" s="4">
        <v>44</v>
      </c>
      <c r="D30" s="15">
        <f t="shared" si="1"/>
        <v>39.041800687522681</v>
      </c>
      <c r="E30" s="8">
        <f t="shared" si="0"/>
        <v>5.4925668088928745</v>
      </c>
      <c r="F30" s="8">
        <f t="shared" si="2"/>
        <v>5.4925668088928745</v>
      </c>
      <c r="G30" s="8">
        <f t="shared" si="3"/>
        <v>30.168290150151655</v>
      </c>
      <c r="H30" s="5">
        <f t="shared" si="4"/>
        <v>0.12483106383847442</v>
      </c>
    </row>
    <row r="31" spans="1:8" ht="15.75" customHeight="1">
      <c r="A31" s="4">
        <v>30</v>
      </c>
      <c r="B31" s="3">
        <v>21580</v>
      </c>
      <c r="C31" s="4">
        <v>38</v>
      </c>
      <c r="D31" s="15">
        <f t="shared" si="1"/>
        <v>39.060885240966094</v>
      </c>
      <c r="E31" s="8">
        <f t="shared" si="0"/>
        <v>-0.50743319110712548</v>
      </c>
      <c r="F31" s="8">
        <f t="shared" si="2"/>
        <v>0.50743319110712548</v>
      </c>
      <c r="G31" s="8">
        <f t="shared" si="3"/>
        <v>0.25748844343716054</v>
      </c>
      <c r="H31" s="5">
        <f t="shared" si="4"/>
        <v>1.3353505029134882E-2</v>
      </c>
    </row>
    <row r="32" spans="1:8" ht="15.75" customHeight="1">
      <c r="A32" s="4">
        <v>31</v>
      </c>
      <c r="B32" s="3">
        <v>21581</v>
      </c>
      <c r="C32" s="4">
        <v>24</v>
      </c>
      <c r="D32" s="15">
        <f t="shared" si="1"/>
        <v>39.079969794409507</v>
      </c>
      <c r="E32" s="8">
        <f t="shared" si="0"/>
        <v>-14.507433191107125</v>
      </c>
      <c r="F32" s="8">
        <f t="shared" si="2"/>
        <v>14.507433191107125</v>
      </c>
      <c r="G32" s="8">
        <f t="shared" si="3"/>
        <v>210.46561779443667</v>
      </c>
      <c r="H32" s="5">
        <f t="shared" si="4"/>
        <v>0.60447638296279693</v>
      </c>
    </row>
    <row r="33" spans="1:8" ht="15.75" customHeight="1">
      <c r="A33" s="4">
        <v>32</v>
      </c>
      <c r="B33" s="3">
        <v>21582</v>
      </c>
      <c r="C33" s="4">
        <v>23</v>
      </c>
      <c r="D33" s="15">
        <f t="shared" si="1"/>
        <v>39.099054347852913</v>
      </c>
      <c r="E33" s="8">
        <f t="shared" si="0"/>
        <v>-15.507433191107125</v>
      </c>
      <c r="F33" s="8">
        <f t="shared" si="2"/>
        <v>15.507433191107125</v>
      </c>
      <c r="G33" s="8">
        <f t="shared" si="3"/>
        <v>240.48048417665092</v>
      </c>
      <c r="H33" s="5">
        <f t="shared" si="4"/>
        <v>0.67423622570030983</v>
      </c>
    </row>
    <row r="34" spans="1:8" ht="15.75" customHeight="1">
      <c r="A34" s="4">
        <v>33</v>
      </c>
      <c r="B34" s="3">
        <v>21583</v>
      </c>
      <c r="C34" s="4">
        <v>31</v>
      </c>
      <c r="D34" s="15">
        <f t="shared" si="1"/>
        <v>39.118138901296327</v>
      </c>
      <c r="E34" s="8">
        <f t="shared" si="0"/>
        <v>-7.5074331911071255</v>
      </c>
      <c r="F34" s="8">
        <f t="shared" si="2"/>
        <v>7.5074331911071255</v>
      </c>
      <c r="G34" s="8">
        <f t="shared" si="3"/>
        <v>56.361553118936918</v>
      </c>
      <c r="H34" s="5">
        <f t="shared" si="4"/>
        <v>0.24217526422926211</v>
      </c>
    </row>
    <row r="35" spans="1:8" ht="15.75" customHeight="1">
      <c r="A35" s="4">
        <v>34</v>
      </c>
      <c r="B35" s="3">
        <v>21584</v>
      </c>
      <c r="C35" s="4">
        <v>44</v>
      </c>
      <c r="D35" s="15">
        <f t="shared" si="1"/>
        <v>39.13722345473974</v>
      </c>
      <c r="E35" s="8">
        <f t="shared" si="0"/>
        <v>5.4925668088928745</v>
      </c>
      <c r="F35" s="8">
        <f t="shared" si="2"/>
        <v>5.4925668088928745</v>
      </c>
      <c r="G35" s="8">
        <f t="shared" si="3"/>
        <v>30.168290150151655</v>
      </c>
      <c r="H35" s="5">
        <f t="shared" si="4"/>
        <v>0.12483106383847442</v>
      </c>
    </row>
    <row r="36" spans="1:8" ht="15.75" customHeight="1">
      <c r="A36" s="4">
        <v>35</v>
      </c>
      <c r="B36" s="3">
        <v>21585</v>
      </c>
      <c r="C36" s="4">
        <v>38</v>
      </c>
      <c r="D36" s="15">
        <f t="shared" si="1"/>
        <v>39.156308008183153</v>
      </c>
      <c r="E36" s="8">
        <f t="shared" si="0"/>
        <v>-0.50743319110712548</v>
      </c>
      <c r="F36" s="8">
        <f t="shared" si="2"/>
        <v>0.50743319110712548</v>
      </c>
      <c r="G36" s="8">
        <f t="shared" si="3"/>
        <v>0.25748844343716054</v>
      </c>
      <c r="H36" s="5">
        <f t="shared" si="4"/>
        <v>1.3353505029134882E-2</v>
      </c>
    </row>
    <row r="37" spans="1:8" ht="15.75" customHeight="1">
      <c r="A37" s="4">
        <v>36</v>
      </c>
      <c r="B37" s="3">
        <v>21586</v>
      </c>
      <c r="C37" s="4">
        <v>50</v>
      </c>
      <c r="D37" s="15">
        <f t="shared" si="1"/>
        <v>39.175392561626566</v>
      </c>
      <c r="E37" s="8">
        <f t="shared" si="0"/>
        <v>11.492566808892875</v>
      </c>
      <c r="F37" s="8">
        <f t="shared" si="2"/>
        <v>11.492566808892875</v>
      </c>
      <c r="G37" s="8">
        <f t="shared" si="3"/>
        <v>132.07909185686614</v>
      </c>
      <c r="H37" s="5">
        <f t="shared" si="4"/>
        <v>0.2298513361778575</v>
      </c>
    </row>
    <row r="38" spans="1:8" ht="15.75" customHeight="1">
      <c r="A38" s="4">
        <v>37</v>
      </c>
      <c r="B38" s="3">
        <v>21587</v>
      </c>
      <c r="C38" s="4">
        <v>38</v>
      </c>
      <c r="D38" s="15">
        <f t="shared" si="1"/>
        <v>39.194477115069979</v>
      </c>
      <c r="E38" s="8">
        <f t="shared" si="0"/>
        <v>-0.50743319110712548</v>
      </c>
      <c r="F38" s="8">
        <f t="shared" si="2"/>
        <v>0.50743319110712548</v>
      </c>
      <c r="G38" s="8">
        <f t="shared" si="3"/>
        <v>0.25748844343716054</v>
      </c>
      <c r="H38" s="5">
        <f t="shared" si="4"/>
        <v>1.3353505029134882E-2</v>
      </c>
    </row>
    <row r="39" spans="1:8" ht="15.75" customHeight="1">
      <c r="A39" s="4">
        <v>38</v>
      </c>
      <c r="B39" s="3">
        <v>21588</v>
      </c>
      <c r="C39" s="4">
        <v>51</v>
      </c>
      <c r="D39" s="15">
        <f t="shared" si="1"/>
        <v>39.213561668513393</v>
      </c>
      <c r="E39" s="8">
        <f t="shared" si="0"/>
        <v>12.492566808892875</v>
      </c>
      <c r="F39" s="8">
        <f t="shared" si="2"/>
        <v>12.492566808892875</v>
      </c>
      <c r="G39" s="8">
        <f t="shared" si="3"/>
        <v>156.06422547465189</v>
      </c>
      <c r="H39" s="5">
        <f t="shared" si="4"/>
        <v>0.24495229037044852</v>
      </c>
    </row>
    <row r="40" spans="1:8" ht="15.75" customHeight="1">
      <c r="A40" s="4">
        <v>39</v>
      </c>
      <c r="B40" s="3">
        <v>21589</v>
      </c>
      <c r="C40" s="4">
        <v>31</v>
      </c>
      <c r="D40" s="15">
        <f t="shared" si="1"/>
        <v>39.232646221956806</v>
      </c>
      <c r="E40" s="8">
        <f t="shared" si="0"/>
        <v>-7.5074331911071255</v>
      </c>
      <c r="F40" s="8">
        <f t="shared" si="2"/>
        <v>7.5074331911071255</v>
      </c>
      <c r="G40" s="8">
        <f t="shared" si="3"/>
        <v>56.361553118936918</v>
      </c>
      <c r="H40" s="5">
        <f t="shared" si="4"/>
        <v>0.24217526422926211</v>
      </c>
    </row>
    <row r="41" spans="1:8" ht="15.75" customHeight="1">
      <c r="A41" s="4">
        <v>40</v>
      </c>
      <c r="B41" s="3">
        <v>21590</v>
      </c>
      <c r="C41" s="4">
        <v>31</v>
      </c>
      <c r="D41" s="15">
        <f t="shared" si="1"/>
        <v>39.251730775400219</v>
      </c>
      <c r="E41" s="8">
        <f t="shared" si="0"/>
        <v>-7.5074331911071255</v>
      </c>
      <c r="F41" s="8">
        <f t="shared" si="2"/>
        <v>7.5074331911071255</v>
      </c>
      <c r="G41" s="8">
        <f t="shared" si="3"/>
        <v>56.361553118936918</v>
      </c>
      <c r="H41" s="5">
        <f t="shared" si="4"/>
        <v>0.24217526422926211</v>
      </c>
    </row>
    <row r="42" spans="1:8" ht="15.75" customHeight="1">
      <c r="A42" s="4">
        <v>41</v>
      </c>
      <c r="B42" s="3">
        <v>21591</v>
      </c>
      <c r="C42" s="4">
        <v>51</v>
      </c>
      <c r="D42" s="15">
        <f t="shared" si="1"/>
        <v>39.270815328843632</v>
      </c>
      <c r="E42" s="8">
        <f t="shared" si="0"/>
        <v>12.492566808892875</v>
      </c>
      <c r="F42" s="8">
        <f t="shared" si="2"/>
        <v>12.492566808892875</v>
      </c>
      <c r="G42" s="8">
        <f t="shared" si="3"/>
        <v>156.06422547465189</v>
      </c>
      <c r="H42" s="5">
        <f t="shared" si="4"/>
        <v>0.24495229037044852</v>
      </c>
    </row>
    <row r="43" spans="1:8" ht="15.75" customHeight="1">
      <c r="A43" s="4">
        <v>42</v>
      </c>
      <c r="B43" s="3">
        <v>21592</v>
      </c>
      <c r="C43" s="4">
        <v>36</v>
      </c>
      <c r="D43" s="15">
        <f t="shared" si="1"/>
        <v>39.289899882287045</v>
      </c>
      <c r="E43" s="8">
        <f t="shared" si="0"/>
        <v>-2.5074331911071255</v>
      </c>
      <c r="F43" s="8">
        <f t="shared" si="2"/>
        <v>2.5074331911071255</v>
      </c>
      <c r="G43" s="8">
        <f t="shared" si="3"/>
        <v>6.2872212078656622</v>
      </c>
      <c r="H43" s="5">
        <f t="shared" si="4"/>
        <v>6.9650921975197927E-2</v>
      </c>
    </row>
    <row r="44" spans="1:8" ht="15.75" customHeight="1">
      <c r="A44" s="4">
        <v>43</v>
      </c>
      <c r="B44" s="3">
        <v>21593</v>
      </c>
      <c r="C44" s="4">
        <v>45</v>
      </c>
      <c r="D44" s="15">
        <f t="shared" si="1"/>
        <v>39.308984435730459</v>
      </c>
      <c r="E44" s="8">
        <f t="shared" si="0"/>
        <v>6.4925668088928745</v>
      </c>
      <c r="F44" s="8">
        <f t="shared" si="2"/>
        <v>6.4925668088928745</v>
      </c>
      <c r="G44" s="8">
        <f t="shared" si="3"/>
        <v>42.153423767937404</v>
      </c>
      <c r="H44" s="5">
        <f t="shared" si="4"/>
        <v>0.14427926241984165</v>
      </c>
    </row>
    <row r="45" spans="1:8" ht="15.75" customHeight="1">
      <c r="A45" s="4">
        <v>44</v>
      </c>
      <c r="B45" s="3">
        <v>21594</v>
      </c>
      <c r="C45" s="4">
        <v>51</v>
      </c>
      <c r="D45" s="15">
        <f t="shared" si="1"/>
        <v>39.328068989173865</v>
      </c>
      <c r="E45" s="8">
        <f t="shared" si="0"/>
        <v>12.492566808892875</v>
      </c>
      <c r="F45" s="8">
        <f t="shared" si="2"/>
        <v>12.492566808892875</v>
      </c>
      <c r="G45" s="8">
        <f t="shared" si="3"/>
        <v>156.06422547465189</v>
      </c>
      <c r="H45" s="5">
        <f t="shared" si="4"/>
        <v>0.24495229037044852</v>
      </c>
    </row>
    <row r="46" spans="1:8" ht="15.75" customHeight="1">
      <c r="A46" s="4">
        <v>45</v>
      </c>
      <c r="B46" s="3">
        <v>21595</v>
      </c>
      <c r="C46" s="4">
        <v>34</v>
      </c>
      <c r="D46" s="15">
        <f t="shared" si="1"/>
        <v>39.347153542617278</v>
      </c>
      <c r="E46" s="8">
        <f t="shared" si="0"/>
        <v>-4.5074331911071255</v>
      </c>
      <c r="F46" s="8">
        <f t="shared" si="2"/>
        <v>4.5074331911071255</v>
      </c>
      <c r="G46" s="8">
        <f t="shared" si="3"/>
        <v>20.316953972294165</v>
      </c>
      <c r="H46" s="5">
        <f t="shared" si="4"/>
        <v>0.13257156444432722</v>
      </c>
    </row>
    <row r="47" spans="1:8" ht="15.75" customHeight="1">
      <c r="A47" s="4">
        <v>46</v>
      </c>
      <c r="B47" s="3">
        <v>21596</v>
      </c>
      <c r="C47" s="4">
        <v>52</v>
      </c>
      <c r="D47" s="15">
        <f t="shared" si="1"/>
        <v>39.366238096060691</v>
      </c>
      <c r="E47" s="8">
        <f t="shared" si="0"/>
        <v>13.492566808892875</v>
      </c>
      <c r="F47" s="8">
        <f t="shared" si="2"/>
        <v>13.492566808892875</v>
      </c>
      <c r="G47" s="8">
        <f t="shared" si="3"/>
        <v>182.04935909243764</v>
      </c>
      <c r="H47" s="5">
        <f t="shared" si="4"/>
        <v>0.25947243863255526</v>
      </c>
    </row>
    <row r="48" spans="1:8" ht="15.75" customHeight="1">
      <c r="A48" s="4">
        <v>47</v>
      </c>
      <c r="B48" s="3">
        <v>21597</v>
      </c>
      <c r="C48" s="4">
        <v>47</v>
      </c>
      <c r="D48" s="15">
        <f t="shared" si="1"/>
        <v>39.385322649504104</v>
      </c>
      <c r="E48" s="8">
        <f t="shared" si="0"/>
        <v>8.4925668088928745</v>
      </c>
      <c r="F48" s="8">
        <f t="shared" si="2"/>
        <v>8.4925668088928745</v>
      </c>
      <c r="G48" s="8">
        <f t="shared" si="3"/>
        <v>72.123691003508895</v>
      </c>
      <c r="H48" s="5">
        <f t="shared" si="4"/>
        <v>0.18069291082750796</v>
      </c>
    </row>
    <row r="49" spans="1:8" ht="15.75" customHeight="1">
      <c r="A49" s="4">
        <v>48</v>
      </c>
      <c r="B49" s="3">
        <v>21598</v>
      </c>
      <c r="C49" s="4">
        <v>45</v>
      </c>
      <c r="D49" s="15">
        <f t="shared" si="1"/>
        <v>39.404407202947517</v>
      </c>
      <c r="E49" s="8">
        <f t="shared" si="0"/>
        <v>6.4925668088928745</v>
      </c>
      <c r="F49" s="8">
        <f t="shared" si="2"/>
        <v>6.4925668088928745</v>
      </c>
      <c r="G49" s="8">
        <f t="shared" si="3"/>
        <v>42.153423767937404</v>
      </c>
      <c r="H49" s="5">
        <f t="shared" si="4"/>
        <v>0.14427926241984165</v>
      </c>
    </row>
    <row r="50" spans="1:8" ht="15.75" customHeight="1">
      <c r="A50" s="4">
        <v>49</v>
      </c>
      <c r="B50" s="3">
        <v>21599</v>
      </c>
      <c r="C50" s="4">
        <v>46</v>
      </c>
      <c r="D50" s="15">
        <f t="shared" si="1"/>
        <v>39.423491756390931</v>
      </c>
      <c r="E50" s="8">
        <f t="shared" si="0"/>
        <v>7.4925668088928745</v>
      </c>
      <c r="F50" s="8">
        <f t="shared" si="2"/>
        <v>7.4925668088928745</v>
      </c>
      <c r="G50" s="8">
        <f t="shared" si="3"/>
        <v>56.138557385723153</v>
      </c>
      <c r="H50" s="5">
        <f t="shared" si="4"/>
        <v>0.16288188714984511</v>
      </c>
    </row>
    <row r="51" spans="1:8" ht="15.75" customHeight="1">
      <c r="A51" s="4">
        <v>50</v>
      </c>
      <c r="B51" s="3">
        <v>21600</v>
      </c>
      <c r="C51" s="4">
        <v>39</v>
      </c>
      <c r="D51" s="15">
        <f t="shared" si="1"/>
        <v>39.442576309834344</v>
      </c>
      <c r="E51" s="8">
        <f t="shared" si="0"/>
        <v>0.49256680889287452</v>
      </c>
      <c r="F51" s="8">
        <f t="shared" si="2"/>
        <v>0.49256680889287452</v>
      </c>
      <c r="G51" s="8">
        <f t="shared" si="3"/>
        <v>0.24262206122290958</v>
      </c>
      <c r="H51" s="5">
        <f t="shared" si="4"/>
        <v>1.2629918176740373E-2</v>
      </c>
    </row>
    <row r="52" spans="1:8" ht="15.75" customHeight="1">
      <c r="A52" s="4">
        <v>51</v>
      </c>
      <c r="B52" s="3">
        <v>21601</v>
      </c>
      <c r="C52" s="4">
        <v>48</v>
      </c>
      <c r="D52" s="15">
        <f t="shared" si="1"/>
        <v>39.461660863277757</v>
      </c>
      <c r="E52" s="8">
        <f t="shared" si="0"/>
        <v>9.4925668088928745</v>
      </c>
      <c r="F52" s="8">
        <f t="shared" si="2"/>
        <v>9.4925668088928745</v>
      </c>
      <c r="G52" s="8">
        <f t="shared" si="3"/>
        <v>90.108824621294644</v>
      </c>
      <c r="H52" s="5">
        <f t="shared" si="4"/>
        <v>0.19776180851860156</v>
      </c>
    </row>
    <row r="53" spans="1:8" ht="15.75" customHeight="1">
      <c r="A53" s="4">
        <v>52</v>
      </c>
      <c r="B53" s="3">
        <v>21602</v>
      </c>
      <c r="C53" s="4">
        <v>37</v>
      </c>
      <c r="D53" s="15">
        <f t="shared" si="1"/>
        <v>39.48074541672117</v>
      </c>
      <c r="E53" s="8">
        <f t="shared" si="0"/>
        <v>-1.5074331911071255</v>
      </c>
      <c r="F53" s="8">
        <f t="shared" si="2"/>
        <v>1.5074331911071255</v>
      </c>
      <c r="G53" s="8">
        <f t="shared" si="3"/>
        <v>2.2723548256514117</v>
      </c>
      <c r="H53" s="5">
        <f t="shared" si="4"/>
        <v>4.0741437597489875E-2</v>
      </c>
    </row>
    <row r="54" spans="1:8" ht="15.75" customHeight="1">
      <c r="A54" s="4">
        <v>53</v>
      </c>
      <c r="B54" s="3">
        <v>21603</v>
      </c>
      <c r="C54" s="4">
        <v>35</v>
      </c>
      <c r="D54" s="15">
        <f t="shared" si="1"/>
        <v>39.499829970164583</v>
      </c>
      <c r="E54" s="8">
        <f t="shared" si="0"/>
        <v>-3.5074331911071255</v>
      </c>
      <c r="F54" s="8">
        <f t="shared" si="2"/>
        <v>3.5074331911071255</v>
      </c>
      <c r="G54" s="8">
        <f t="shared" si="3"/>
        <v>12.302087590079914</v>
      </c>
      <c r="H54" s="5">
        <f t="shared" si="4"/>
        <v>0.10021237688877502</v>
      </c>
    </row>
    <row r="55" spans="1:8" ht="15.75" customHeight="1">
      <c r="A55" s="4">
        <v>54</v>
      </c>
      <c r="B55" s="3">
        <v>21604</v>
      </c>
      <c r="C55" s="4">
        <v>52</v>
      </c>
      <c r="D55" s="15">
        <f t="shared" si="1"/>
        <v>39.518914523607997</v>
      </c>
      <c r="E55" s="8">
        <f t="shared" si="0"/>
        <v>13.492566808892875</v>
      </c>
      <c r="F55" s="8">
        <f t="shared" si="2"/>
        <v>13.492566808892875</v>
      </c>
      <c r="G55" s="8">
        <f t="shared" si="3"/>
        <v>182.04935909243764</v>
      </c>
      <c r="H55" s="5">
        <f t="shared" si="4"/>
        <v>0.25947243863255526</v>
      </c>
    </row>
    <row r="56" spans="1:8" ht="15.75" customHeight="1">
      <c r="A56" s="4">
        <v>55</v>
      </c>
      <c r="B56" s="3">
        <v>21605</v>
      </c>
      <c r="C56" s="4">
        <v>42</v>
      </c>
      <c r="D56" s="15">
        <f t="shared" si="1"/>
        <v>39.53799907705141</v>
      </c>
      <c r="E56" s="8">
        <f t="shared" si="0"/>
        <v>3.4925668088928745</v>
      </c>
      <c r="F56" s="8">
        <f t="shared" si="2"/>
        <v>3.4925668088928745</v>
      </c>
      <c r="G56" s="8">
        <f t="shared" si="3"/>
        <v>12.198022914580157</v>
      </c>
      <c r="H56" s="5">
        <f t="shared" si="4"/>
        <v>8.3156352592687485E-2</v>
      </c>
    </row>
    <row r="57" spans="1:8" ht="15.75" customHeight="1">
      <c r="A57" s="4">
        <v>56</v>
      </c>
      <c r="B57" s="3">
        <v>21606</v>
      </c>
      <c r="C57" s="4">
        <v>45</v>
      </c>
      <c r="D57" s="15">
        <f t="shared" si="1"/>
        <v>39.557083630494816</v>
      </c>
      <c r="E57" s="8">
        <f t="shared" si="0"/>
        <v>6.4925668088928745</v>
      </c>
      <c r="F57" s="8">
        <f t="shared" si="2"/>
        <v>6.4925668088928745</v>
      </c>
      <c r="G57" s="8">
        <f t="shared" si="3"/>
        <v>42.153423767937404</v>
      </c>
      <c r="H57" s="5">
        <f t="shared" si="4"/>
        <v>0.14427926241984165</v>
      </c>
    </row>
    <row r="58" spans="1:8" ht="15.75" customHeight="1">
      <c r="A58" s="4">
        <v>57</v>
      </c>
      <c r="B58" s="3">
        <v>21607</v>
      </c>
      <c r="C58" s="4">
        <v>39</v>
      </c>
      <c r="D58" s="15">
        <f t="shared" si="1"/>
        <v>39.576168183938229</v>
      </c>
      <c r="E58" s="8">
        <f t="shared" si="0"/>
        <v>0.49256680889287452</v>
      </c>
      <c r="F58" s="8">
        <f t="shared" si="2"/>
        <v>0.49256680889287452</v>
      </c>
      <c r="G58" s="8">
        <f t="shared" si="3"/>
        <v>0.24262206122290958</v>
      </c>
      <c r="H58" s="5">
        <f t="shared" si="4"/>
        <v>1.2629918176740373E-2</v>
      </c>
    </row>
    <row r="59" spans="1:8" ht="15.75" customHeight="1">
      <c r="A59" s="4">
        <v>58</v>
      </c>
      <c r="B59" s="3">
        <v>21608</v>
      </c>
      <c r="C59" s="4">
        <v>37</v>
      </c>
      <c r="D59" s="15">
        <f t="shared" si="1"/>
        <v>39.595252737381642</v>
      </c>
      <c r="E59" s="8">
        <f t="shared" si="0"/>
        <v>-1.5074331911071255</v>
      </c>
      <c r="F59" s="8">
        <f t="shared" si="2"/>
        <v>1.5074331911071255</v>
      </c>
      <c r="G59" s="8">
        <f t="shared" si="3"/>
        <v>2.2723548256514117</v>
      </c>
      <c r="H59" s="5">
        <f t="shared" si="4"/>
        <v>4.0741437597489875E-2</v>
      </c>
    </row>
    <row r="60" spans="1:8" ht="15.75" customHeight="1">
      <c r="A60" s="4">
        <v>59</v>
      </c>
      <c r="B60" s="3">
        <v>21609</v>
      </c>
      <c r="C60" s="4">
        <v>30</v>
      </c>
      <c r="D60" s="15">
        <f t="shared" si="1"/>
        <v>39.614337290825056</v>
      </c>
      <c r="E60" s="8">
        <f t="shared" si="0"/>
        <v>-8.5074331911071255</v>
      </c>
      <c r="F60" s="8">
        <f t="shared" si="2"/>
        <v>8.5074331911071255</v>
      </c>
      <c r="G60" s="8">
        <f t="shared" si="3"/>
        <v>72.376419501151162</v>
      </c>
      <c r="H60" s="5">
        <f t="shared" si="4"/>
        <v>0.28358110637023753</v>
      </c>
    </row>
    <row r="61" spans="1:8" ht="15.75" customHeight="1">
      <c r="A61" s="4">
        <v>60</v>
      </c>
      <c r="B61" s="3">
        <v>21610</v>
      </c>
      <c r="C61" s="4">
        <v>35</v>
      </c>
      <c r="D61" s="15">
        <f t="shared" si="1"/>
        <v>39.633421844268469</v>
      </c>
      <c r="E61" s="8">
        <f t="shared" si="0"/>
        <v>-3.5074331911071255</v>
      </c>
      <c r="F61" s="8">
        <f t="shared" si="2"/>
        <v>3.5074331911071255</v>
      </c>
      <c r="G61" s="8">
        <f t="shared" si="3"/>
        <v>12.302087590079914</v>
      </c>
      <c r="H61" s="5">
        <f t="shared" si="4"/>
        <v>0.10021237688877502</v>
      </c>
    </row>
    <row r="62" spans="1:8" ht="15.75" customHeight="1">
      <c r="A62" s="4">
        <v>61</v>
      </c>
      <c r="B62" s="3">
        <v>21611</v>
      </c>
      <c r="C62" s="4">
        <v>28</v>
      </c>
      <c r="D62" s="15">
        <f t="shared" si="1"/>
        <v>39.652506397711882</v>
      </c>
      <c r="E62" s="8">
        <f t="shared" si="0"/>
        <v>-10.507433191107125</v>
      </c>
      <c r="F62" s="8">
        <f t="shared" si="2"/>
        <v>10.507433191107125</v>
      </c>
      <c r="G62" s="8">
        <f t="shared" si="3"/>
        <v>110.40615226557966</v>
      </c>
      <c r="H62" s="5">
        <f t="shared" si="4"/>
        <v>0.37526547111096875</v>
      </c>
    </row>
    <row r="63" spans="1:8" ht="15.75" customHeight="1">
      <c r="A63" s="4">
        <v>62</v>
      </c>
      <c r="B63" s="3">
        <v>21612</v>
      </c>
      <c r="C63" s="4">
        <v>45</v>
      </c>
      <c r="D63" s="15">
        <f t="shared" si="1"/>
        <v>39.671590951155295</v>
      </c>
      <c r="E63" s="8">
        <f t="shared" si="0"/>
        <v>6.4925668088928745</v>
      </c>
      <c r="F63" s="8">
        <f t="shared" si="2"/>
        <v>6.4925668088928745</v>
      </c>
      <c r="G63" s="8">
        <f t="shared" si="3"/>
        <v>42.153423767937404</v>
      </c>
      <c r="H63" s="5">
        <f t="shared" si="4"/>
        <v>0.14427926241984165</v>
      </c>
    </row>
    <row r="64" spans="1:8" ht="15.75" customHeight="1">
      <c r="A64" s="4">
        <v>63</v>
      </c>
      <c r="B64" s="3">
        <v>21613</v>
      </c>
      <c r="C64" s="4">
        <v>34</v>
      </c>
      <c r="D64" s="15">
        <f t="shared" si="1"/>
        <v>39.690675504598708</v>
      </c>
      <c r="E64" s="8">
        <f t="shared" si="0"/>
        <v>-4.5074331911071255</v>
      </c>
      <c r="F64" s="8">
        <f t="shared" si="2"/>
        <v>4.5074331911071255</v>
      </c>
      <c r="G64" s="8">
        <f t="shared" si="3"/>
        <v>20.316953972294165</v>
      </c>
      <c r="H64" s="5">
        <f t="shared" si="4"/>
        <v>0.13257156444432722</v>
      </c>
    </row>
    <row r="65" spans="1:8" ht="15.75" customHeight="1">
      <c r="A65" s="4">
        <v>64</v>
      </c>
      <c r="B65" s="3">
        <v>21614</v>
      </c>
      <c r="C65" s="4">
        <v>36</v>
      </c>
      <c r="D65" s="15">
        <f t="shared" si="1"/>
        <v>39.709760058042121</v>
      </c>
      <c r="E65" s="8">
        <f t="shared" si="0"/>
        <v>-2.5074331911071255</v>
      </c>
      <c r="F65" s="8">
        <f t="shared" si="2"/>
        <v>2.5074331911071255</v>
      </c>
      <c r="G65" s="8">
        <f t="shared" si="3"/>
        <v>6.2872212078656622</v>
      </c>
      <c r="H65" s="5">
        <f t="shared" si="4"/>
        <v>6.9650921975197927E-2</v>
      </c>
    </row>
    <row r="66" spans="1:8" ht="15.75" customHeight="1">
      <c r="A66" s="4">
        <v>65</v>
      </c>
      <c r="B66" s="3">
        <v>21615</v>
      </c>
      <c r="C66" s="4">
        <v>50</v>
      </c>
      <c r="D66" s="15">
        <f t="shared" si="1"/>
        <v>39.728844611485535</v>
      </c>
      <c r="E66" s="8">
        <f t="shared" ref="E66:E129" si="5">C66-solver_opt</f>
        <v>11.492566808892875</v>
      </c>
      <c r="F66" s="8">
        <f t="shared" si="2"/>
        <v>11.492566808892875</v>
      </c>
      <c r="G66" s="8">
        <f t="shared" si="3"/>
        <v>132.07909185686614</v>
      </c>
      <c r="H66" s="5">
        <f t="shared" si="4"/>
        <v>0.2298513361778575</v>
      </c>
    </row>
    <row r="67" spans="1:8" ht="15.75" customHeight="1">
      <c r="A67" s="4">
        <v>66</v>
      </c>
      <c r="B67" s="3">
        <v>21616</v>
      </c>
      <c r="C67" s="4">
        <v>44</v>
      </c>
      <c r="D67" s="15">
        <f t="shared" ref="D67:D130" si="6">_xlfn.FORECAST.LINEAR(A67,$C$2:$C$366,$A$2:$A$366)</f>
        <v>39.747929164928948</v>
      </c>
      <c r="E67" s="8">
        <f t="shared" si="5"/>
        <v>5.4925668088928745</v>
      </c>
      <c r="F67" s="8">
        <f t="shared" ref="F67:F130" si="7">ABS(E67)</f>
        <v>5.4925668088928745</v>
      </c>
      <c r="G67" s="8">
        <f t="shared" ref="G67:G130" si="8">F67^2</f>
        <v>30.168290150151655</v>
      </c>
      <c r="H67" s="5">
        <f t="shared" ref="H67:H130" si="9">F67/C67</f>
        <v>0.12483106383847442</v>
      </c>
    </row>
    <row r="68" spans="1:8" ht="15.75" customHeight="1">
      <c r="A68" s="4">
        <v>67</v>
      </c>
      <c r="B68" s="3">
        <v>21617</v>
      </c>
      <c r="C68" s="4">
        <v>39</v>
      </c>
      <c r="D68" s="15">
        <f t="shared" si="6"/>
        <v>39.767013718372361</v>
      </c>
      <c r="E68" s="8">
        <f t="shared" si="5"/>
        <v>0.49256680889287452</v>
      </c>
      <c r="F68" s="8">
        <f t="shared" si="7"/>
        <v>0.49256680889287452</v>
      </c>
      <c r="G68" s="8">
        <f t="shared" si="8"/>
        <v>0.24262206122290958</v>
      </c>
      <c r="H68" s="5">
        <f t="shared" si="9"/>
        <v>1.2629918176740373E-2</v>
      </c>
    </row>
    <row r="69" spans="1:8" ht="15.75" customHeight="1">
      <c r="A69" s="4">
        <v>68</v>
      </c>
      <c r="B69" s="3">
        <v>21618</v>
      </c>
      <c r="C69" s="4">
        <v>32</v>
      </c>
      <c r="D69" s="15">
        <f t="shared" si="6"/>
        <v>39.786098271815774</v>
      </c>
      <c r="E69" s="8">
        <f t="shared" si="5"/>
        <v>-6.5074331911071255</v>
      </c>
      <c r="F69" s="8">
        <f t="shared" si="7"/>
        <v>6.5074331911071255</v>
      </c>
      <c r="G69" s="8">
        <f t="shared" si="8"/>
        <v>42.346686736722667</v>
      </c>
      <c r="H69" s="5">
        <f t="shared" si="9"/>
        <v>0.20335728722209767</v>
      </c>
    </row>
    <row r="70" spans="1:8" ht="15.75" customHeight="1">
      <c r="A70" s="4">
        <v>69</v>
      </c>
      <c r="B70" s="3">
        <v>21619</v>
      </c>
      <c r="C70" s="4">
        <v>39</v>
      </c>
      <c r="D70" s="15">
        <f t="shared" si="6"/>
        <v>39.80518282525918</v>
      </c>
      <c r="E70" s="8">
        <f t="shared" si="5"/>
        <v>0.49256680889287452</v>
      </c>
      <c r="F70" s="8">
        <f t="shared" si="7"/>
        <v>0.49256680889287452</v>
      </c>
      <c r="G70" s="8">
        <f t="shared" si="8"/>
        <v>0.24262206122290958</v>
      </c>
      <c r="H70" s="5">
        <f t="shared" si="9"/>
        <v>1.2629918176740373E-2</v>
      </c>
    </row>
    <row r="71" spans="1:8" ht="15.75" customHeight="1">
      <c r="A71" s="4">
        <v>70</v>
      </c>
      <c r="B71" s="3">
        <v>21620</v>
      </c>
      <c r="C71" s="4">
        <v>45</v>
      </c>
      <c r="D71" s="15">
        <f t="shared" si="6"/>
        <v>39.824267378702594</v>
      </c>
      <c r="E71" s="8">
        <f t="shared" si="5"/>
        <v>6.4925668088928745</v>
      </c>
      <c r="F71" s="8">
        <f t="shared" si="7"/>
        <v>6.4925668088928745</v>
      </c>
      <c r="G71" s="8">
        <f t="shared" si="8"/>
        <v>42.153423767937404</v>
      </c>
      <c r="H71" s="5">
        <f t="shared" si="9"/>
        <v>0.14427926241984165</v>
      </c>
    </row>
    <row r="72" spans="1:8" ht="15.75" customHeight="1">
      <c r="A72" s="4">
        <v>71</v>
      </c>
      <c r="B72" s="3">
        <v>21621</v>
      </c>
      <c r="C72" s="4">
        <v>43</v>
      </c>
      <c r="D72" s="15">
        <f t="shared" si="6"/>
        <v>39.843351932146007</v>
      </c>
      <c r="E72" s="8">
        <f t="shared" si="5"/>
        <v>4.4925668088928745</v>
      </c>
      <c r="F72" s="8">
        <f t="shared" si="7"/>
        <v>4.4925668088928745</v>
      </c>
      <c r="G72" s="8">
        <f t="shared" si="8"/>
        <v>20.183156532365906</v>
      </c>
      <c r="H72" s="5">
        <f t="shared" si="9"/>
        <v>0.10447829788122964</v>
      </c>
    </row>
    <row r="73" spans="1:8" ht="15.75" customHeight="1">
      <c r="A73" s="4">
        <v>72</v>
      </c>
      <c r="B73" s="3">
        <v>21622</v>
      </c>
      <c r="C73" s="4">
        <v>39</v>
      </c>
      <c r="D73" s="15">
        <f t="shared" si="6"/>
        <v>39.86243648558942</v>
      </c>
      <c r="E73" s="8">
        <f t="shared" si="5"/>
        <v>0.49256680889287452</v>
      </c>
      <c r="F73" s="8">
        <f t="shared" si="7"/>
        <v>0.49256680889287452</v>
      </c>
      <c r="G73" s="8">
        <f t="shared" si="8"/>
        <v>0.24262206122290958</v>
      </c>
      <c r="H73" s="5">
        <f t="shared" si="9"/>
        <v>1.2629918176740373E-2</v>
      </c>
    </row>
    <row r="74" spans="1:8" ht="15.75" customHeight="1">
      <c r="A74" s="4">
        <v>73</v>
      </c>
      <c r="B74" s="3">
        <v>21623</v>
      </c>
      <c r="C74" s="4">
        <v>31</v>
      </c>
      <c r="D74" s="15">
        <f t="shared" si="6"/>
        <v>39.881521039032833</v>
      </c>
      <c r="E74" s="8">
        <f t="shared" si="5"/>
        <v>-7.5074331911071255</v>
      </c>
      <c r="F74" s="8">
        <f t="shared" si="7"/>
        <v>7.5074331911071255</v>
      </c>
      <c r="G74" s="8">
        <f t="shared" si="8"/>
        <v>56.361553118936918</v>
      </c>
      <c r="H74" s="5">
        <f t="shared" si="9"/>
        <v>0.24217526422926211</v>
      </c>
    </row>
    <row r="75" spans="1:8" ht="15.75" customHeight="1">
      <c r="A75" s="4">
        <v>74</v>
      </c>
      <c r="B75" s="3">
        <v>21624</v>
      </c>
      <c r="C75" s="4">
        <v>27</v>
      </c>
      <c r="D75" s="15">
        <f t="shared" si="6"/>
        <v>39.900605592476246</v>
      </c>
      <c r="E75" s="8">
        <f t="shared" si="5"/>
        <v>-11.507433191107125</v>
      </c>
      <c r="F75" s="8">
        <f t="shared" si="7"/>
        <v>11.507433191107125</v>
      </c>
      <c r="G75" s="8">
        <f t="shared" si="8"/>
        <v>132.42101864779391</v>
      </c>
      <c r="H75" s="5">
        <f t="shared" si="9"/>
        <v>0.42620122930026388</v>
      </c>
    </row>
    <row r="76" spans="1:8" ht="15.75" customHeight="1">
      <c r="A76" s="4">
        <v>75</v>
      </c>
      <c r="B76" s="3">
        <v>21625</v>
      </c>
      <c r="C76" s="4">
        <v>30</v>
      </c>
      <c r="D76" s="15">
        <f t="shared" si="6"/>
        <v>39.91969014591966</v>
      </c>
      <c r="E76" s="8">
        <f t="shared" si="5"/>
        <v>-8.5074331911071255</v>
      </c>
      <c r="F76" s="8">
        <f t="shared" si="7"/>
        <v>8.5074331911071255</v>
      </c>
      <c r="G76" s="8">
        <f t="shared" si="8"/>
        <v>72.376419501151162</v>
      </c>
      <c r="H76" s="5">
        <f t="shared" si="9"/>
        <v>0.28358110637023753</v>
      </c>
    </row>
    <row r="77" spans="1:8" ht="15.75" customHeight="1">
      <c r="A77" s="4">
        <v>76</v>
      </c>
      <c r="B77" s="3">
        <v>21626</v>
      </c>
      <c r="C77" s="4">
        <v>42</v>
      </c>
      <c r="D77" s="15">
        <f t="shared" si="6"/>
        <v>39.938774699363073</v>
      </c>
      <c r="E77" s="8">
        <f t="shared" si="5"/>
        <v>3.4925668088928745</v>
      </c>
      <c r="F77" s="8">
        <f t="shared" si="7"/>
        <v>3.4925668088928745</v>
      </c>
      <c r="G77" s="8">
        <f t="shared" si="8"/>
        <v>12.198022914580157</v>
      </c>
      <c r="H77" s="5">
        <f t="shared" si="9"/>
        <v>8.3156352592687485E-2</v>
      </c>
    </row>
    <row r="78" spans="1:8" ht="15.75" customHeight="1">
      <c r="A78" s="4">
        <v>77</v>
      </c>
      <c r="B78" s="3">
        <v>21627</v>
      </c>
      <c r="C78" s="4">
        <v>46</v>
      </c>
      <c r="D78" s="15">
        <f t="shared" si="6"/>
        <v>39.957859252806486</v>
      </c>
      <c r="E78" s="8">
        <f t="shared" si="5"/>
        <v>7.4925668088928745</v>
      </c>
      <c r="F78" s="8">
        <f t="shared" si="7"/>
        <v>7.4925668088928745</v>
      </c>
      <c r="G78" s="8">
        <f t="shared" si="8"/>
        <v>56.138557385723153</v>
      </c>
      <c r="H78" s="5">
        <f t="shared" si="9"/>
        <v>0.16288188714984511</v>
      </c>
    </row>
    <row r="79" spans="1:8" ht="15.75" customHeight="1">
      <c r="A79" s="4">
        <v>78</v>
      </c>
      <c r="B79" s="3">
        <v>21628</v>
      </c>
      <c r="C79" s="4">
        <v>41</v>
      </c>
      <c r="D79" s="15">
        <f t="shared" si="6"/>
        <v>39.976943806249899</v>
      </c>
      <c r="E79" s="8">
        <f t="shared" si="5"/>
        <v>2.4925668088928745</v>
      </c>
      <c r="F79" s="8">
        <f t="shared" si="7"/>
        <v>2.4925668088928745</v>
      </c>
      <c r="G79" s="8">
        <f t="shared" si="8"/>
        <v>6.2128892967944074</v>
      </c>
      <c r="H79" s="5">
        <f t="shared" si="9"/>
        <v>6.079431241202133E-2</v>
      </c>
    </row>
    <row r="80" spans="1:8" ht="15.75" customHeight="1">
      <c r="A80" s="4">
        <v>79</v>
      </c>
      <c r="B80" s="3">
        <v>21629</v>
      </c>
      <c r="C80" s="4">
        <v>36</v>
      </c>
      <c r="D80" s="15">
        <f t="shared" si="6"/>
        <v>39.996028359693312</v>
      </c>
      <c r="E80" s="8">
        <f t="shared" si="5"/>
        <v>-2.5074331911071255</v>
      </c>
      <c r="F80" s="8">
        <f t="shared" si="7"/>
        <v>2.5074331911071255</v>
      </c>
      <c r="G80" s="8">
        <f t="shared" si="8"/>
        <v>6.2872212078656622</v>
      </c>
      <c r="H80" s="5">
        <f t="shared" si="9"/>
        <v>6.9650921975197927E-2</v>
      </c>
    </row>
    <row r="81" spans="1:8" ht="15.75" customHeight="1">
      <c r="A81" s="4">
        <v>80</v>
      </c>
      <c r="B81" s="3">
        <v>21630</v>
      </c>
      <c r="C81" s="4">
        <v>45</v>
      </c>
      <c r="D81" s="15">
        <f t="shared" si="6"/>
        <v>40.015112913136726</v>
      </c>
      <c r="E81" s="8">
        <f t="shared" si="5"/>
        <v>6.4925668088928745</v>
      </c>
      <c r="F81" s="8">
        <f t="shared" si="7"/>
        <v>6.4925668088928745</v>
      </c>
      <c r="G81" s="8">
        <f t="shared" si="8"/>
        <v>42.153423767937404</v>
      </c>
      <c r="H81" s="5">
        <f t="shared" si="9"/>
        <v>0.14427926241984165</v>
      </c>
    </row>
    <row r="82" spans="1:8" ht="15.75" customHeight="1">
      <c r="A82" s="4">
        <v>81</v>
      </c>
      <c r="B82" s="3">
        <v>21631</v>
      </c>
      <c r="C82" s="4">
        <v>46</v>
      </c>
      <c r="D82" s="15">
        <f t="shared" si="6"/>
        <v>40.034197466580132</v>
      </c>
      <c r="E82" s="8">
        <f t="shared" si="5"/>
        <v>7.4925668088928745</v>
      </c>
      <c r="F82" s="8">
        <f t="shared" si="7"/>
        <v>7.4925668088928745</v>
      </c>
      <c r="G82" s="8">
        <f t="shared" si="8"/>
        <v>56.138557385723153</v>
      </c>
      <c r="H82" s="5">
        <f t="shared" si="9"/>
        <v>0.16288188714984511</v>
      </c>
    </row>
    <row r="83" spans="1:8" ht="15.75" customHeight="1">
      <c r="A83" s="4">
        <v>82</v>
      </c>
      <c r="B83" s="3">
        <v>21632</v>
      </c>
      <c r="C83" s="4">
        <v>43</v>
      </c>
      <c r="D83" s="15">
        <f t="shared" si="6"/>
        <v>40.053282020023545</v>
      </c>
      <c r="E83" s="8">
        <f t="shared" si="5"/>
        <v>4.4925668088928745</v>
      </c>
      <c r="F83" s="8">
        <f t="shared" si="7"/>
        <v>4.4925668088928745</v>
      </c>
      <c r="G83" s="8">
        <f t="shared" si="8"/>
        <v>20.183156532365906</v>
      </c>
      <c r="H83" s="5">
        <f t="shared" si="9"/>
        <v>0.10447829788122964</v>
      </c>
    </row>
    <row r="84" spans="1:8" ht="15.75" customHeight="1">
      <c r="A84" s="4">
        <v>83</v>
      </c>
      <c r="B84" s="3">
        <v>21633</v>
      </c>
      <c r="C84" s="4">
        <v>38</v>
      </c>
      <c r="D84" s="15">
        <f t="shared" si="6"/>
        <v>40.072366573466958</v>
      </c>
      <c r="E84" s="8">
        <f t="shared" si="5"/>
        <v>-0.50743319110712548</v>
      </c>
      <c r="F84" s="8">
        <f t="shared" si="7"/>
        <v>0.50743319110712548</v>
      </c>
      <c r="G84" s="8">
        <f t="shared" si="8"/>
        <v>0.25748844343716054</v>
      </c>
      <c r="H84" s="5">
        <f t="shared" si="9"/>
        <v>1.3353505029134882E-2</v>
      </c>
    </row>
    <row r="85" spans="1:8" ht="15.75" customHeight="1">
      <c r="A85" s="4">
        <v>84</v>
      </c>
      <c r="B85" s="3">
        <v>21634</v>
      </c>
      <c r="C85" s="4">
        <v>34</v>
      </c>
      <c r="D85" s="15">
        <f t="shared" si="6"/>
        <v>40.091451126910371</v>
      </c>
      <c r="E85" s="8">
        <f t="shared" si="5"/>
        <v>-4.5074331911071255</v>
      </c>
      <c r="F85" s="8">
        <f t="shared" si="7"/>
        <v>4.5074331911071255</v>
      </c>
      <c r="G85" s="8">
        <f t="shared" si="8"/>
        <v>20.316953972294165</v>
      </c>
      <c r="H85" s="5">
        <f t="shared" si="9"/>
        <v>0.13257156444432722</v>
      </c>
    </row>
    <row r="86" spans="1:8" ht="15.75" customHeight="1">
      <c r="A86" s="4">
        <v>85</v>
      </c>
      <c r="B86" s="3">
        <v>21635</v>
      </c>
      <c r="C86" s="4">
        <v>35</v>
      </c>
      <c r="D86" s="15">
        <f t="shared" si="6"/>
        <v>40.110535680353784</v>
      </c>
      <c r="E86" s="8">
        <f t="shared" si="5"/>
        <v>-3.5074331911071255</v>
      </c>
      <c r="F86" s="8">
        <f t="shared" si="7"/>
        <v>3.5074331911071255</v>
      </c>
      <c r="G86" s="8">
        <f t="shared" si="8"/>
        <v>12.302087590079914</v>
      </c>
      <c r="H86" s="5">
        <f t="shared" si="9"/>
        <v>0.10021237688877502</v>
      </c>
    </row>
    <row r="87" spans="1:8" ht="15.75" customHeight="1">
      <c r="A87" s="4">
        <v>86</v>
      </c>
      <c r="B87" s="3">
        <v>21636</v>
      </c>
      <c r="C87" s="4">
        <v>56</v>
      </c>
      <c r="D87" s="15">
        <f t="shared" si="6"/>
        <v>40.129620233797198</v>
      </c>
      <c r="E87" s="8">
        <f t="shared" si="5"/>
        <v>17.492566808892875</v>
      </c>
      <c r="F87" s="8">
        <f t="shared" si="7"/>
        <v>17.492566808892875</v>
      </c>
      <c r="G87" s="8">
        <f t="shared" si="8"/>
        <v>305.98989356358067</v>
      </c>
      <c r="H87" s="5">
        <f t="shared" si="9"/>
        <v>0.31236726444451562</v>
      </c>
    </row>
    <row r="88" spans="1:8" ht="15.75" customHeight="1">
      <c r="A88" s="4">
        <v>87</v>
      </c>
      <c r="B88" s="3">
        <v>21637</v>
      </c>
      <c r="C88" s="4">
        <v>36</v>
      </c>
      <c r="D88" s="15">
        <f t="shared" si="6"/>
        <v>40.148704787240611</v>
      </c>
      <c r="E88" s="8">
        <f t="shared" si="5"/>
        <v>-2.5074331911071255</v>
      </c>
      <c r="F88" s="8">
        <f t="shared" si="7"/>
        <v>2.5074331911071255</v>
      </c>
      <c r="G88" s="8">
        <f t="shared" si="8"/>
        <v>6.2872212078656622</v>
      </c>
      <c r="H88" s="5">
        <f t="shared" si="9"/>
        <v>6.9650921975197927E-2</v>
      </c>
    </row>
    <row r="89" spans="1:8" ht="15.75" customHeight="1">
      <c r="A89" s="4">
        <v>88</v>
      </c>
      <c r="B89" s="3">
        <v>21638</v>
      </c>
      <c r="C89" s="4">
        <v>32</v>
      </c>
      <c r="D89" s="15">
        <f t="shared" si="6"/>
        <v>40.167789340684024</v>
      </c>
      <c r="E89" s="8">
        <f t="shared" si="5"/>
        <v>-6.5074331911071255</v>
      </c>
      <c r="F89" s="8">
        <f t="shared" si="7"/>
        <v>6.5074331911071255</v>
      </c>
      <c r="G89" s="8">
        <f t="shared" si="8"/>
        <v>42.346686736722667</v>
      </c>
      <c r="H89" s="5">
        <f t="shared" si="9"/>
        <v>0.20335728722209767</v>
      </c>
    </row>
    <row r="90" spans="1:8" ht="15.75" customHeight="1">
      <c r="A90" s="4">
        <v>89</v>
      </c>
      <c r="B90" s="3">
        <v>21639</v>
      </c>
      <c r="C90" s="4">
        <v>50</v>
      </c>
      <c r="D90" s="15">
        <f t="shared" si="6"/>
        <v>40.186873894127437</v>
      </c>
      <c r="E90" s="8">
        <f t="shared" si="5"/>
        <v>11.492566808892875</v>
      </c>
      <c r="F90" s="8">
        <f t="shared" si="7"/>
        <v>11.492566808892875</v>
      </c>
      <c r="G90" s="8">
        <f t="shared" si="8"/>
        <v>132.07909185686614</v>
      </c>
      <c r="H90" s="5">
        <f t="shared" si="9"/>
        <v>0.2298513361778575</v>
      </c>
    </row>
    <row r="91" spans="1:8" ht="15.75" customHeight="1">
      <c r="A91" s="4">
        <v>90</v>
      </c>
      <c r="B91" s="3">
        <v>21640</v>
      </c>
      <c r="C91" s="4">
        <v>41</v>
      </c>
      <c r="D91" s="15">
        <f t="shared" si="6"/>
        <v>40.20595844757085</v>
      </c>
      <c r="E91" s="8">
        <f t="shared" si="5"/>
        <v>2.4925668088928745</v>
      </c>
      <c r="F91" s="8">
        <f t="shared" si="7"/>
        <v>2.4925668088928745</v>
      </c>
      <c r="G91" s="8">
        <f t="shared" si="8"/>
        <v>6.2128892967944074</v>
      </c>
      <c r="H91" s="5">
        <f t="shared" si="9"/>
        <v>6.079431241202133E-2</v>
      </c>
    </row>
    <row r="92" spans="1:8" ht="15.75" customHeight="1">
      <c r="A92" s="4">
        <v>91</v>
      </c>
      <c r="B92" s="3">
        <v>21641</v>
      </c>
      <c r="C92" s="4">
        <v>39</v>
      </c>
      <c r="D92" s="15">
        <f t="shared" si="6"/>
        <v>40.225043001014264</v>
      </c>
      <c r="E92" s="8">
        <f t="shared" si="5"/>
        <v>0.49256680889287452</v>
      </c>
      <c r="F92" s="8">
        <f t="shared" si="7"/>
        <v>0.49256680889287452</v>
      </c>
      <c r="G92" s="8">
        <f t="shared" si="8"/>
        <v>0.24262206122290958</v>
      </c>
      <c r="H92" s="5">
        <f t="shared" si="9"/>
        <v>1.2629918176740373E-2</v>
      </c>
    </row>
    <row r="93" spans="1:8" ht="15.75" customHeight="1">
      <c r="A93" s="4">
        <v>92</v>
      </c>
      <c r="B93" s="3">
        <v>21642</v>
      </c>
      <c r="C93" s="4">
        <v>41</v>
      </c>
      <c r="D93" s="15">
        <f t="shared" si="6"/>
        <v>40.244127554457677</v>
      </c>
      <c r="E93" s="8">
        <f t="shared" si="5"/>
        <v>2.4925668088928745</v>
      </c>
      <c r="F93" s="8">
        <f t="shared" si="7"/>
        <v>2.4925668088928745</v>
      </c>
      <c r="G93" s="8">
        <f t="shared" si="8"/>
        <v>6.2128892967944074</v>
      </c>
      <c r="H93" s="5">
        <f t="shared" si="9"/>
        <v>6.079431241202133E-2</v>
      </c>
    </row>
    <row r="94" spans="1:8" ht="15.75" customHeight="1">
      <c r="A94" s="4">
        <v>93</v>
      </c>
      <c r="B94" s="3">
        <v>21643</v>
      </c>
      <c r="C94" s="4">
        <v>47</v>
      </c>
      <c r="D94" s="15">
        <f t="shared" si="6"/>
        <v>40.263212107901083</v>
      </c>
      <c r="E94" s="8">
        <f t="shared" si="5"/>
        <v>8.4925668088928745</v>
      </c>
      <c r="F94" s="8">
        <f t="shared" si="7"/>
        <v>8.4925668088928745</v>
      </c>
      <c r="G94" s="8">
        <f t="shared" si="8"/>
        <v>72.123691003508895</v>
      </c>
      <c r="H94" s="5">
        <f t="shared" si="9"/>
        <v>0.18069291082750796</v>
      </c>
    </row>
    <row r="95" spans="1:8" ht="15.75" customHeight="1">
      <c r="A95" s="4">
        <v>94</v>
      </c>
      <c r="B95" s="3">
        <v>21644</v>
      </c>
      <c r="C95" s="4">
        <v>34</v>
      </c>
      <c r="D95" s="15">
        <f t="shared" si="6"/>
        <v>40.282296661344496</v>
      </c>
      <c r="E95" s="8">
        <f t="shared" si="5"/>
        <v>-4.5074331911071255</v>
      </c>
      <c r="F95" s="8">
        <f t="shared" si="7"/>
        <v>4.5074331911071255</v>
      </c>
      <c r="G95" s="8">
        <f t="shared" si="8"/>
        <v>20.316953972294165</v>
      </c>
      <c r="H95" s="5">
        <f t="shared" si="9"/>
        <v>0.13257156444432722</v>
      </c>
    </row>
    <row r="96" spans="1:8" ht="15.75" customHeight="1">
      <c r="A96" s="4">
        <v>95</v>
      </c>
      <c r="B96" s="3">
        <v>21645</v>
      </c>
      <c r="C96" s="4">
        <v>36</v>
      </c>
      <c r="D96" s="15">
        <f t="shared" si="6"/>
        <v>40.301381214787909</v>
      </c>
      <c r="E96" s="8">
        <f t="shared" si="5"/>
        <v>-2.5074331911071255</v>
      </c>
      <c r="F96" s="8">
        <f t="shared" si="7"/>
        <v>2.5074331911071255</v>
      </c>
      <c r="G96" s="8">
        <f t="shared" si="8"/>
        <v>6.2872212078656622</v>
      </c>
      <c r="H96" s="5">
        <f t="shared" si="9"/>
        <v>6.9650921975197927E-2</v>
      </c>
    </row>
    <row r="97" spans="1:8" ht="15.75" customHeight="1">
      <c r="A97" s="4">
        <v>96</v>
      </c>
      <c r="B97" s="3">
        <v>21646</v>
      </c>
      <c r="C97" s="4">
        <v>33</v>
      </c>
      <c r="D97" s="15">
        <f t="shared" si="6"/>
        <v>40.320465768231323</v>
      </c>
      <c r="E97" s="8">
        <f t="shared" si="5"/>
        <v>-5.5074331911071255</v>
      </c>
      <c r="F97" s="8">
        <f t="shared" si="7"/>
        <v>5.5074331911071255</v>
      </c>
      <c r="G97" s="8">
        <f t="shared" si="8"/>
        <v>30.331820354508416</v>
      </c>
      <c r="H97" s="5">
        <f t="shared" si="9"/>
        <v>0.16689191488203411</v>
      </c>
    </row>
    <row r="98" spans="1:8" ht="15.75" customHeight="1">
      <c r="A98" s="4">
        <v>97</v>
      </c>
      <c r="B98" s="3">
        <v>21647</v>
      </c>
      <c r="C98" s="4">
        <v>35</v>
      </c>
      <c r="D98" s="15">
        <f t="shared" si="6"/>
        <v>40.339550321674736</v>
      </c>
      <c r="E98" s="8">
        <f t="shared" si="5"/>
        <v>-3.5074331911071255</v>
      </c>
      <c r="F98" s="8">
        <f t="shared" si="7"/>
        <v>3.5074331911071255</v>
      </c>
      <c r="G98" s="8">
        <f t="shared" si="8"/>
        <v>12.302087590079914</v>
      </c>
      <c r="H98" s="5">
        <f t="shared" si="9"/>
        <v>0.10021237688877502</v>
      </c>
    </row>
    <row r="99" spans="1:8" ht="15.75" customHeight="1">
      <c r="A99" s="4">
        <v>98</v>
      </c>
      <c r="B99" s="3">
        <v>21648</v>
      </c>
      <c r="C99" s="4">
        <v>38</v>
      </c>
      <c r="D99" s="15">
        <f t="shared" si="6"/>
        <v>40.358634875118149</v>
      </c>
      <c r="E99" s="8">
        <f t="shared" si="5"/>
        <v>-0.50743319110712548</v>
      </c>
      <c r="F99" s="8">
        <f t="shared" si="7"/>
        <v>0.50743319110712548</v>
      </c>
      <c r="G99" s="8">
        <f t="shared" si="8"/>
        <v>0.25748844343716054</v>
      </c>
      <c r="H99" s="5">
        <f t="shared" si="9"/>
        <v>1.3353505029134882E-2</v>
      </c>
    </row>
    <row r="100" spans="1:8" ht="15.75" customHeight="1">
      <c r="A100" s="4">
        <v>99</v>
      </c>
      <c r="B100" s="3">
        <v>21649</v>
      </c>
      <c r="C100" s="4">
        <v>38</v>
      </c>
      <c r="D100" s="15">
        <f t="shared" si="6"/>
        <v>40.377719428561562</v>
      </c>
      <c r="E100" s="8">
        <f t="shared" si="5"/>
        <v>-0.50743319110712548</v>
      </c>
      <c r="F100" s="8">
        <f t="shared" si="7"/>
        <v>0.50743319110712548</v>
      </c>
      <c r="G100" s="8">
        <f t="shared" si="8"/>
        <v>0.25748844343716054</v>
      </c>
      <c r="H100" s="5">
        <f t="shared" si="9"/>
        <v>1.3353505029134882E-2</v>
      </c>
    </row>
    <row r="101" spans="1:8" ht="15.75" customHeight="1">
      <c r="A101" s="4">
        <v>100</v>
      </c>
      <c r="B101" s="3">
        <v>21650</v>
      </c>
      <c r="C101" s="4">
        <v>34</v>
      </c>
      <c r="D101" s="15">
        <f t="shared" si="6"/>
        <v>40.396803982004975</v>
      </c>
      <c r="E101" s="8">
        <f t="shared" si="5"/>
        <v>-4.5074331911071255</v>
      </c>
      <c r="F101" s="8">
        <f t="shared" si="7"/>
        <v>4.5074331911071255</v>
      </c>
      <c r="G101" s="8">
        <f t="shared" si="8"/>
        <v>20.316953972294165</v>
      </c>
      <c r="H101" s="5">
        <f t="shared" si="9"/>
        <v>0.13257156444432722</v>
      </c>
    </row>
    <row r="102" spans="1:8" ht="15.75" customHeight="1">
      <c r="A102" s="4">
        <v>101</v>
      </c>
      <c r="B102" s="3">
        <v>21651</v>
      </c>
      <c r="C102" s="4">
        <v>53</v>
      </c>
      <c r="D102" s="15">
        <f t="shared" si="6"/>
        <v>40.415888535448389</v>
      </c>
      <c r="E102" s="8">
        <f t="shared" si="5"/>
        <v>14.492566808892875</v>
      </c>
      <c r="F102" s="8">
        <f t="shared" si="7"/>
        <v>14.492566808892875</v>
      </c>
      <c r="G102" s="8">
        <f t="shared" si="8"/>
        <v>210.03449271022339</v>
      </c>
      <c r="H102" s="5">
        <f t="shared" si="9"/>
        <v>0.27344465677156365</v>
      </c>
    </row>
    <row r="103" spans="1:8" ht="15.75" customHeight="1">
      <c r="A103" s="4">
        <v>102</v>
      </c>
      <c r="B103" s="3">
        <v>21652</v>
      </c>
      <c r="C103" s="4">
        <v>34</v>
      </c>
      <c r="D103" s="15">
        <f t="shared" si="6"/>
        <v>40.434973088891802</v>
      </c>
      <c r="E103" s="8">
        <f t="shared" si="5"/>
        <v>-4.5074331911071255</v>
      </c>
      <c r="F103" s="8">
        <f t="shared" si="7"/>
        <v>4.5074331911071255</v>
      </c>
      <c r="G103" s="8">
        <f t="shared" si="8"/>
        <v>20.316953972294165</v>
      </c>
      <c r="H103" s="5">
        <f t="shared" si="9"/>
        <v>0.13257156444432722</v>
      </c>
    </row>
    <row r="104" spans="1:8" ht="15.75" customHeight="1">
      <c r="A104" s="4">
        <v>103</v>
      </c>
      <c r="B104" s="3">
        <v>21653</v>
      </c>
      <c r="C104" s="4">
        <v>34</v>
      </c>
      <c r="D104" s="15">
        <f t="shared" si="6"/>
        <v>40.454057642335215</v>
      </c>
      <c r="E104" s="8">
        <f t="shared" si="5"/>
        <v>-4.5074331911071255</v>
      </c>
      <c r="F104" s="8">
        <f t="shared" si="7"/>
        <v>4.5074331911071255</v>
      </c>
      <c r="G104" s="8">
        <f t="shared" si="8"/>
        <v>20.316953972294165</v>
      </c>
      <c r="H104" s="5">
        <f t="shared" si="9"/>
        <v>0.13257156444432722</v>
      </c>
    </row>
    <row r="105" spans="1:8" ht="15.75" customHeight="1">
      <c r="A105" s="4">
        <v>104</v>
      </c>
      <c r="B105" s="3">
        <v>21654</v>
      </c>
      <c r="C105" s="4">
        <v>38</v>
      </c>
      <c r="D105" s="15">
        <f t="shared" si="6"/>
        <v>40.473142195778628</v>
      </c>
      <c r="E105" s="8">
        <f t="shared" si="5"/>
        <v>-0.50743319110712548</v>
      </c>
      <c r="F105" s="8">
        <f t="shared" si="7"/>
        <v>0.50743319110712548</v>
      </c>
      <c r="G105" s="8">
        <f t="shared" si="8"/>
        <v>0.25748844343716054</v>
      </c>
      <c r="H105" s="5">
        <f t="shared" si="9"/>
        <v>1.3353505029134882E-2</v>
      </c>
    </row>
    <row r="106" spans="1:8" ht="15.75" customHeight="1">
      <c r="A106" s="4">
        <v>105</v>
      </c>
      <c r="B106" s="3">
        <v>21655</v>
      </c>
      <c r="C106" s="4">
        <v>35</v>
      </c>
      <c r="D106" s="15">
        <f t="shared" si="6"/>
        <v>40.492226749222041</v>
      </c>
      <c r="E106" s="8">
        <f t="shared" si="5"/>
        <v>-3.5074331911071255</v>
      </c>
      <c r="F106" s="8">
        <f t="shared" si="7"/>
        <v>3.5074331911071255</v>
      </c>
      <c r="G106" s="8">
        <f t="shared" si="8"/>
        <v>12.302087590079914</v>
      </c>
      <c r="H106" s="5">
        <f t="shared" si="9"/>
        <v>0.10021237688877502</v>
      </c>
    </row>
    <row r="107" spans="1:8" ht="15.75" customHeight="1">
      <c r="A107" s="4">
        <v>106</v>
      </c>
      <c r="B107" s="3">
        <v>21656</v>
      </c>
      <c r="C107" s="4">
        <v>32</v>
      </c>
      <c r="D107" s="15">
        <f t="shared" si="6"/>
        <v>40.511311302665447</v>
      </c>
      <c r="E107" s="8">
        <f t="shared" si="5"/>
        <v>-6.5074331911071255</v>
      </c>
      <c r="F107" s="8">
        <f t="shared" si="7"/>
        <v>6.5074331911071255</v>
      </c>
      <c r="G107" s="8">
        <f t="shared" si="8"/>
        <v>42.346686736722667</v>
      </c>
      <c r="H107" s="5">
        <f t="shared" si="9"/>
        <v>0.20335728722209767</v>
      </c>
    </row>
    <row r="108" spans="1:8" ht="15.75" customHeight="1">
      <c r="A108" s="4">
        <v>107</v>
      </c>
      <c r="B108" s="3">
        <v>21657</v>
      </c>
      <c r="C108" s="4">
        <v>42</v>
      </c>
      <c r="D108" s="15">
        <f t="shared" si="6"/>
        <v>40.530395856108861</v>
      </c>
      <c r="E108" s="8">
        <f t="shared" si="5"/>
        <v>3.4925668088928745</v>
      </c>
      <c r="F108" s="8">
        <f t="shared" si="7"/>
        <v>3.4925668088928745</v>
      </c>
      <c r="G108" s="8">
        <f t="shared" si="8"/>
        <v>12.198022914580157</v>
      </c>
      <c r="H108" s="5">
        <f t="shared" si="9"/>
        <v>8.3156352592687485E-2</v>
      </c>
    </row>
    <row r="109" spans="1:8" ht="15.75" customHeight="1">
      <c r="A109" s="4">
        <v>108</v>
      </c>
      <c r="B109" s="3">
        <v>21658</v>
      </c>
      <c r="C109" s="4">
        <v>34</v>
      </c>
      <c r="D109" s="15">
        <f t="shared" si="6"/>
        <v>40.549480409552274</v>
      </c>
      <c r="E109" s="8">
        <f t="shared" si="5"/>
        <v>-4.5074331911071255</v>
      </c>
      <c r="F109" s="8">
        <f t="shared" si="7"/>
        <v>4.5074331911071255</v>
      </c>
      <c r="G109" s="8">
        <f t="shared" si="8"/>
        <v>20.316953972294165</v>
      </c>
      <c r="H109" s="5">
        <f t="shared" si="9"/>
        <v>0.13257156444432722</v>
      </c>
    </row>
    <row r="110" spans="1:8" ht="15.75" customHeight="1">
      <c r="A110" s="4">
        <v>109</v>
      </c>
      <c r="B110" s="3">
        <v>21659</v>
      </c>
      <c r="C110" s="4">
        <v>46</v>
      </c>
      <c r="D110" s="15">
        <f t="shared" si="6"/>
        <v>40.568564962995687</v>
      </c>
      <c r="E110" s="8">
        <f t="shared" si="5"/>
        <v>7.4925668088928745</v>
      </c>
      <c r="F110" s="8">
        <f t="shared" si="7"/>
        <v>7.4925668088928745</v>
      </c>
      <c r="G110" s="8">
        <f t="shared" si="8"/>
        <v>56.138557385723153</v>
      </c>
      <c r="H110" s="5">
        <f t="shared" si="9"/>
        <v>0.16288188714984511</v>
      </c>
    </row>
    <row r="111" spans="1:8" ht="15.75" customHeight="1">
      <c r="A111" s="4">
        <v>110</v>
      </c>
      <c r="B111" s="3">
        <v>21660</v>
      </c>
      <c r="C111" s="4">
        <v>30</v>
      </c>
      <c r="D111" s="15">
        <f t="shared" si="6"/>
        <v>40.5876495164391</v>
      </c>
      <c r="E111" s="8">
        <f t="shared" si="5"/>
        <v>-8.5074331911071255</v>
      </c>
      <c r="F111" s="8">
        <f t="shared" si="7"/>
        <v>8.5074331911071255</v>
      </c>
      <c r="G111" s="8">
        <f t="shared" si="8"/>
        <v>72.376419501151162</v>
      </c>
      <c r="H111" s="5">
        <f t="shared" si="9"/>
        <v>0.28358110637023753</v>
      </c>
    </row>
    <row r="112" spans="1:8" ht="15.75" customHeight="1">
      <c r="A112" s="4">
        <v>111</v>
      </c>
      <c r="B112" s="3">
        <v>21661</v>
      </c>
      <c r="C112" s="4">
        <v>46</v>
      </c>
      <c r="D112" s="15">
        <f t="shared" si="6"/>
        <v>40.606734069882513</v>
      </c>
      <c r="E112" s="8">
        <f t="shared" si="5"/>
        <v>7.4925668088928745</v>
      </c>
      <c r="F112" s="8">
        <f t="shared" si="7"/>
        <v>7.4925668088928745</v>
      </c>
      <c r="G112" s="8">
        <f t="shared" si="8"/>
        <v>56.138557385723153</v>
      </c>
      <c r="H112" s="5">
        <f t="shared" si="9"/>
        <v>0.16288188714984511</v>
      </c>
    </row>
    <row r="113" spans="1:8" ht="15.75" customHeight="1">
      <c r="A113" s="4">
        <v>112</v>
      </c>
      <c r="B113" s="3">
        <v>21662</v>
      </c>
      <c r="C113" s="4">
        <v>45</v>
      </c>
      <c r="D113" s="15">
        <f t="shared" si="6"/>
        <v>40.625818623325927</v>
      </c>
      <c r="E113" s="8">
        <f t="shared" si="5"/>
        <v>6.4925668088928745</v>
      </c>
      <c r="F113" s="8">
        <f t="shared" si="7"/>
        <v>6.4925668088928745</v>
      </c>
      <c r="G113" s="8">
        <f t="shared" si="8"/>
        <v>42.153423767937404</v>
      </c>
      <c r="H113" s="5">
        <f t="shared" si="9"/>
        <v>0.14427926241984165</v>
      </c>
    </row>
    <row r="114" spans="1:8" ht="15.75" customHeight="1">
      <c r="A114" s="4">
        <v>113</v>
      </c>
      <c r="B114" s="3">
        <v>21663</v>
      </c>
      <c r="C114" s="4">
        <v>54</v>
      </c>
      <c r="D114" s="15">
        <f t="shared" si="6"/>
        <v>40.64490317676934</v>
      </c>
      <c r="E114" s="8">
        <f t="shared" si="5"/>
        <v>15.492566808892875</v>
      </c>
      <c r="F114" s="8">
        <f t="shared" si="7"/>
        <v>15.492566808892875</v>
      </c>
      <c r="G114" s="8">
        <f t="shared" si="8"/>
        <v>240.01962632800914</v>
      </c>
      <c r="H114" s="5">
        <f t="shared" si="9"/>
        <v>0.28689938534986803</v>
      </c>
    </row>
    <row r="115" spans="1:8" ht="15.75" customHeight="1">
      <c r="A115" s="4">
        <v>114</v>
      </c>
      <c r="B115" s="3">
        <v>21664</v>
      </c>
      <c r="C115" s="4">
        <v>34</v>
      </c>
      <c r="D115" s="15">
        <f t="shared" si="6"/>
        <v>40.663987730212753</v>
      </c>
      <c r="E115" s="8">
        <f t="shared" si="5"/>
        <v>-4.5074331911071255</v>
      </c>
      <c r="F115" s="8">
        <f t="shared" si="7"/>
        <v>4.5074331911071255</v>
      </c>
      <c r="G115" s="8">
        <f t="shared" si="8"/>
        <v>20.316953972294165</v>
      </c>
      <c r="H115" s="5">
        <f t="shared" si="9"/>
        <v>0.13257156444432722</v>
      </c>
    </row>
    <row r="116" spans="1:8" ht="15.75" customHeight="1">
      <c r="A116" s="4">
        <v>115</v>
      </c>
      <c r="B116" s="3">
        <v>21665</v>
      </c>
      <c r="C116" s="4">
        <v>37</v>
      </c>
      <c r="D116" s="15">
        <f t="shared" si="6"/>
        <v>40.683072283656166</v>
      </c>
      <c r="E116" s="8">
        <f t="shared" si="5"/>
        <v>-1.5074331911071255</v>
      </c>
      <c r="F116" s="8">
        <f t="shared" si="7"/>
        <v>1.5074331911071255</v>
      </c>
      <c r="G116" s="8">
        <f t="shared" si="8"/>
        <v>2.2723548256514117</v>
      </c>
      <c r="H116" s="5">
        <f t="shared" si="9"/>
        <v>4.0741437597489875E-2</v>
      </c>
    </row>
    <row r="117" spans="1:8" ht="15.75" customHeight="1">
      <c r="A117" s="4">
        <v>116</v>
      </c>
      <c r="B117" s="3">
        <v>21666</v>
      </c>
      <c r="C117" s="4">
        <v>35</v>
      </c>
      <c r="D117" s="15">
        <f t="shared" si="6"/>
        <v>40.702156837099579</v>
      </c>
      <c r="E117" s="8">
        <f t="shared" si="5"/>
        <v>-3.5074331911071255</v>
      </c>
      <c r="F117" s="8">
        <f t="shared" si="7"/>
        <v>3.5074331911071255</v>
      </c>
      <c r="G117" s="8">
        <f t="shared" si="8"/>
        <v>12.302087590079914</v>
      </c>
      <c r="H117" s="5">
        <f t="shared" si="9"/>
        <v>0.10021237688877502</v>
      </c>
    </row>
    <row r="118" spans="1:8" ht="15.75" customHeight="1">
      <c r="A118" s="4">
        <v>117</v>
      </c>
      <c r="B118" s="3">
        <v>21667</v>
      </c>
      <c r="C118" s="4">
        <v>40</v>
      </c>
      <c r="D118" s="15">
        <f t="shared" si="6"/>
        <v>40.721241390542993</v>
      </c>
      <c r="E118" s="8">
        <f t="shared" si="5"/>
        <v>1.4925668088928745</v>
      </c>
      <c r="F118" s="8">
        <f t="shared" si="7"/>
        <v>1.4925668088928745</v>
      </c>
      <c r="G118" s="8">
        <f t="shared" si="8"/>
        <v>2.2277556790086588</v>
      </c>
      <c r="H118" s="5">
        <f t="shared" si="9"/>
        <v>3.7314170222321863E-2</v>
      </c>
    </row>
    <row r="119" spans="1:8" ht="15.75" customHeight="1">
      <c r="A119" s="4">
        <v>118</v>
      </c>
      <c r="B119" s="3">
        <v>21668</v>
      </c>
      <c r="C119" s="4">
        <v>42</v>
      </c>
      <c r="D119" s="15">
        <f t="shared" si="6"/>
        <v>40.740325943986406</v>
      </c>
      <c r="E119" s="8">
        <f t="shared" si="5"/>
        <v>3.4925668088928745</v>
      </c>
      <c r="F119" s="8">
        <f t="shared" si="7"/>
        <v>3.4925668088928745</v>
      </c>
      <c r="G119" s="8">
        <f t="shared" si="8"/>
        <v>12.198022914580157</v>
      </c>
      <c r="H119" s="5">
        <f t="shared" si="9"/>
        <v>8.3156352592687485E-2</v>
      </c>
    </row>
    <row r="120" spans="1:8" ht="15.75" customHeight="1">
      <c r="A120" s="4">
        <v>119</v>
      </c>
      <c r="B120" s="3">
        <v>21669</v>
      </c>
      <c r="C120" s="4">
        <v>58</v>
      </c>
      <c r="D120" s="15">
        <f t="shared" si="6"/>
        <v>40.759410497429812</v>
      </c>
      <c r="E120" s="8">
        <f t="shared" si="5"/>
        <v>19.492566808892875</v>
      </c>
      <c r="F120" s="8">
        <f t="shared" si="7"/>
        <v>19.492566808892875</v>
      </c>
      <c r="G120" s="8">
        <f t="shared" si="8"/>
        <v>379.96016079915216</v>
      </c>
      <c r="H120" s="5">
        <f t="shared" si="9"/>
        <v>0.3360787380843599</v>
      </c>
    </row>
    <row r="121" spans="1:8" ht="15.75" customHeight="1">
      <c r="A121" s="4">
        <v>120</v>
      </c>
      <c r="B121" s="3">
        <v>21670</v>
      </c>
      <c r="C121" s="4">
        <v>51</v>
      </c>
      <c r="D121" s="15">
        <f t="shared" si="6"/>
        <v>40.778495050873225</v>
      </c>
      <c r="E121" s="8">
        <f t="shared" si="5"/>
        <v>12.492566808892875</v>
      </c>
      <c r="F121" s="8">
        <f t="shared" si="7"/>
        <v>12.492566808892875</v>
      </c>
      <c r="G121" s="8">
        <f t="shared" si="8"/>
        <v>156.06422547465189</v>
      </c>
      <c r="H121" s="5">
        <f t="shared" si="9"/>
        <v>0.24495229037044852</v>
      </c>
    </row>
    <row r="122" spans="1:8" ht="15.75" customHeight="1">
      <c r="A122" s="4">
        <v>121</v>
      </c>
      <c r="B122" s="3">
        <v>21671</v>
      </c>
      <c r="C122" s="4">
        <v>32</v>
      </c>
      <c r="D122" s="15">
        <f t="shared" si="6"/>
        <v>40.797579604316638</v>
      </c>
      <c r="E122" s="8">
        <f t="shared" si="5"/>
        <v>-6.5074331911071255</v>
      </c>
      <c r="F122" s="8">
        <f t="shared" si="7"/>
        <v>6.5074331911071255</v>
      </c>
      <c r="G122" s="8">
        <f t="shared" si="8"/>
        <v>42.346686736722667</v>
      </c>
      <c r="H122" s="5">
        <f t="shared" si="9"/>
        <v>0.20335728722209767</v>
      </c>
    </row>
    <row r="123" spans="1:8" ht="15.75" customHeight="1">
      <c r="A123" s="4">
        <v>122</v>
      </c>
      <c r="B123" s="3">
        <v>21672</v>
      </c>
      <c r="C123" s="4">
        <v>35</v>
      </c>
      <c r="D123" s="15">
        <f t="shared" si="6"/>
        <v>40.816664157760052</v>
      </c>
      <c r="E123" s="8">
        <f t="shared" si="5"/>
        <v>-3.5074331911071255</v>
      </c>
      <c r="F123" s="8">
        <f t="shared" si="7"/>
        <v>3.5074331911071255</v>
      </c>
      <c r="G123" s="8">
        <f t="shared" si="8"/>
        <v>12.302087590079914</v>
      </c>
      <c r="H123" s="5">
        <f t="shared" si="9"/>
        <v>0.10021237688877502</v>
      </c>
    </row>
    <row r="124" spans="1:8" ht="15.75" customHeight="1">
      <c r="A124" s="4">
        <v>123</v>
      </c>
      <c r="B124" s="3">
        <v>21673</v>
      </c>
      <c r="C124" s="4">
        <v>38</v>
      </c>
      <c r="D124" s="15">
        <f t="shared" si="6"/>
        <v>40.835748711203465</v>
      </c>
      <c r="E124" s="8">
        <f t="shared" si="5"/>
        <v>-0.50743319110712548</v>
      </c>
      <c r="F124" s="8">
        <f t="shared" si="7"/>
        <v>0.50743319110712548</v>
      </c>
      <c r="G124" s="8">
        <f t="shared" si="8"/>
        <v>0.25748844343716054</v>
      </c>
      <c r="H124" s="5">
        <f t="shared" si="9"/>
        <v>1.3353505029134882E-2</v>
      </c>
    </row>
    <row r="125" spans="1:8" ht="15.75" customHeight="1">
      <c r="A125" s="4">
        <v>124</v>
      </c>
      <c r="B125" s="3">
        <v>21674</v>
      </c>
      <c r="C125" s="4">
        <v>33</v>
      </c>
      <c r="D125" s="15">
        <f t="shared" si="6"/>
        <v>40.854833264646878</v>
      </c>
      <c r="E125" s="8">
        <f t="shared" si="5"/>
        <v>-5.5074331911071255</v>
      </c>
      <c r="F125" s="8">
        <f t="shared" si="7"/>
        <v>5.5074331911071255</v>
      </c>
      <c r="G125" s="8">
        <f t="shared" si="8"/>
        <v>30.331820354508416</v>
      </c>
      <c r="H125" s="5">
        <f t="shared" si="9"/>
        <v>0.16689191488203411</v>
      </c>
    </row>
    <row r="126" spans="1:8" ht="15.75" customHeight="1">
      <c r="A126" s="4">
        <v>125</v>
      </c>
      <c r="B126" s="3">
        <v>21675</v>
      </c>
      <c r="C126" s="4">
        <v>39</v>
      </c>
      <c r="D126" s="15">
        <f t="shared" si="6"/>
        <v>40.873917818090291</v>
      </c>
      <c r="E126" s="8">
        <f t="shared" si="5"/>
        <v>0.49256680889287452</v>
      </c>
      <c r="F126" s="8">
        <f t="shared" si="7"/>
        <v>0.49256680889287452</v>
      </c>
      <c r="G126" s="8">
        <f t="shared" si="8"/>
        <v>0.24262206122290958</v>
      </c>
      <c r="H126" s="5">
        <f t="shared" si="9"/>
        <v>1.2629918176740373E-2</v>
      </c>
    </row>
    <row r="127" spans="1:8" ht="15.75" customHeight="1">
      <c r="A127" s="4">
        <v>126</v>
      </c>
      <c r="B127" s="3">
        <v>21676</v>
      </c>
      <c r="C127" s="4">
        <v>47</v>
      </c>
      <c r="D127" s="15">
        <f t="shared" si="6"/>
        <v>40.893002371533704</v>
      </c>
      <c r="E127" s="8">
        <f t="shared" si="5"/>
        <v>8.4925668088928745</v>
      </c>
      <c r="F127" s="8">
        <f t="shared" si="7"/>
        <v>8.4925668088928745</v>
      </c>
      <c r="G127" s="8">
        <f t="shared" si="8"/>
        <v>72.123691003508895</v>
      </c>
      <c r="H127" s="5">
        <f t="shared" si="9"/>
        <v>0.18069291082750796</v>
      </c>
    </row>
    <row r="128" spans="1:8" ht="15.75" customHeight="1">
      <c r="A128" s="4">
        <v>127</v>
      </c>
      <c r="B128" s="3">
        <v>21677</v>
      </c>
      <c r="C128" s="4">
        <v>38</v>
      </c>
      <c r="D128" s="15">
        <f t="shared" si="6"/>
        <v>40.912086924977118</v>
      </c>
      <c r="E128" s="8">
        <f t="shared" si="5"/>
        <v>-0.50743319110712548</v>
      </c>
      <c r="F128" s="8">
        <f t="shared" si="7"/>
        <v>0.50743319110712548</v>
      </c>
      <c r="G128" s="8">
        <f t="shared" si="8"/>
        <v>0.25748844343716054</v>
      </c>
      <c r="H128" s="5">
        <f t="shared" si="9"/>
        <v>1.3353505029134882E-2</v>
      </c>
    </row>
    <row r="129" spans="1:8" ht="15.75" customHeight="1">
      <c r="A129" s="4">
        <v>128</v>
      </c>
      <c r="B129" s="3">
        <v>21678</v>
      </c>
      <c r="C129" s="4">
        <v>52</v>
      </c>
      <c r="D129" s="15">
        <f t="shared" si="6"/>
        <v>40.931171478420531</v>
      </c>
      <c r="E129" s="8">
        <f t="shared" si="5"/>
        <v>13.492566808892875</v>
      </c>
      <c r="F129" s="8">
        <f t="shared" si="7"/>
        <v>13.492566808892875</v>
      </c>
      <c r="G129" s="8">
        <f t="shared" si="8"/>
        <v>182.04935909243764</v>
      </c>
      <c r="H129" s="5">
        <f t="shared" si="9"/>
        <v>0.25947243863255526</v>
      </c>
    </row>
    <row r="130" spans="1:8" ht="15.75" customHeight="1">
      <c r="A130" s="4">
        <v>129</v>
      </c>
      <c r="B130" s="3">
        <v>21679</v>
      </c>
      <c r="C130" s="4">
        <v>30</v>
      </c>
      <c r="D130" s="15">
        <f t="shared" si="6"/>
        <v>40.950256031863944</v>
      </c>
      <c r="E130" s="8">
        <f t="shared" ref="E130:E193" si="10">C130-solver_opt</f>
        <v>-8.5074331911071255</v>
      </c>
      <c r="F130" s="8">
        <f t="shared" si="7"/>
        <v>8.5074331911071255</v>
      </c>
      <c r="G130" s="8">
        <f t="shared" si="8"/>
        <v>72.376419501151162</v>
      </c>
      <c r="H130" s="5">
        <f t="shared" si="9"/>
        <v>0.28358110637023753</v>
      </c>
    </row>
    <row r="131" spans="1:8" ht="15.75" customHeight="1">
      <c r="A131" s="4">
        <v>130</v>
      </c>
      <c r="B131" s="3">
        <v>21680</v>
      </c>
      <c r="C131" s="4">
        <v>34</v>
      </c>
      <c r="D131" s="15">
        <f t="shared" ref="D131:D194" si="11">_xlfn.FORECAST.LINEAR(A131,$C$2:$C$366,$A$2:$A$366)</f>
        <v>40.96934058530735</v>
      </c>
      <c r="E131" s="8">
        <f t="shared" si="10"/>
        <v>-4.5074331911071255</v>
      </c>
      <c r="F131" s="8">
        <f t="shared" ref="F131:F194" si="12">ABS(E131)</f>
        <v>4.5074331911071255</v>
      </c>
      <c r="G131" s="8">
        <f t="shared" ref="G131:G194" si="13">F131^2</f>
        <v>20.316953972294165</v>
      </c>
      <c r="H131" s="5">
        <f t="shared" ref="H131:H194" si="14">F131/C131</f>
        <v>0.13257156444432722</v>
      </c>
    </row>
    <row r="132" spans="1:8" ht="15.75" customHeight="1">
      <c r="A132" s="4">
        <v>131</v>
      </c>
      <c r="B132" s="3">
        <v>21681</v>
      </c>
      <c r="C132" s="4">
        <v>40</v>
      </c>
      <c r="D132" s="15">
        <f t="shared" si="11"/>
        <v>40.988425138750763</v>
      </c>
      <c r="E132" s="8">
        <f t="shared" si="10"/>
        <v>1.4925668088928745</v>
      </c>
      <c r="F132" s="8">
        <f t="shared" si="12"/>
        <v>1.4925668088928745</v>
      </c>
      <c r="G132" s="8">
        <f t="shared" si="13"/>
        <v>2.2277556790086588</v>
      </c>
      <c r="H132" s="5">
        <f t="shared" si="14"/>
        <v>3.7314170222321863E-2</v>
      </c>
    </row>
    <row r="133" spans="1:8" ht="15.75" customHeight="1">
      <c r="A133" s="4">
        <v>132</v>
      </c>
      <c r="B133" s="3">
        <v>21682</v>
      </c>
      <c r="C133" s="4">
        <v>35</v>
      </c>
      <c r="D133" s="15">
        <f t="shared" si="11"/>
        <v>41.007509692194176</v>
      </c>
      <c r="E133" s="8">
        <f t="shared" si="10"/>
        <v>-3.5074331911071255</v>
      </c>
      <c r="F133" s="8">
        <f t="shared" si="12"/>
        <v>3.5074331911071255</v>
      </c>
      <c r="G133" s="8">
        <f t="shared" si="13"/>
        <v>12.302087590079914</v>
      </c>
      <c r="H133" s="5">
        <f t="shared" si="14"/>
        <v>0.10021237688877502</v>
      </c>
    </row>
    <row r="134" spans="1:8" ht="15.75" customHeight="1">
      <c r="A134" s="4">
        <v>133</v>
      </c>
      <c r="B134" s="3">
        <v>21683</v>
      </c>
      <c r="C134" s="4">
        <v>42</v>
      </c>
      <c r="D134" s="15">
        <f t="shared" si="11"/>
        <v>41.02659424563759</v>
      </c>
      <c r="E134" s="8">
        <f t="shared" si="10"/>
        <v>3.4925668088928745</v>
      </c>
      <c r="F134" s="8">
        <f t="shared" si="12"/>
        <v>3.4925668088928745</v>
      </c>
      <c r="G134" s="8">
        <f t="shared" si="13"/>
        <v>12.198022914580157</v>
      </c>
      <c r="H134" s="5">
        <f t="shared" si="14"/>
        <v>8.3156352592687485E-2</v>
      </c>
    </row>
    <row r="135" spans="1:8" ht="15.75" customHeight="1">
      <c r="A135" s="4">
        <v>134</v>
      </c>
      <c r="B135" s="3">
        <v>21684</v>
      </c>
      <c r="C135" s="4">
        <v>41</v>
      </c>
      <c r="D135" s="15">
        <f t="shared" si="11"/>
        <v>41.045678799081003</v>
      </c>
      <c r="E135" s="8">
        <f t="shared" si="10"/>
        <v>2.4925668088928745</v>
      </c>
      <c r="F135" s="8">
        <f t="shared" si="12"/>
        <v>2.4925668088928745</v>
      </c>
      <c r="G135" s="8">
        <f t="shared" si="13"/>
        <v>6.2128892967944074</v>
      </c>
      <c r="H135" s="5">
        <f t="shared" si="14"/>
        <v>6.079431241202133E-2</v>
      </c>
    </row>
    <row r="136" spans="1:8" ht="15.75" customHeight="1">
      <c r="A136" s="4">
        <v>135</v>
      </c>
      <c r="B136" s="3">
        <v>21685</v>
      </c>
      <c r="C136" s="4">
        <v>42</v>
      </c>
      <c r="D136" s="15">
        <f t="shared" si="11"/>
        <v>41.064763352524416</v>
      </c>
      <c r="E136" s="8">
        <f t="shared" si="10"/>
        <v>3.4925668088928745</v>
      </c>
      <c r="F136" s="8">
        <f t="shared" si="12"/>
        <v>3.4925668088928745</v>
      </c>
      <c r="G136" s="8">
        <f t="shared" si="13"/>
        <v>12.198022914580157</v>
      </c>
      <c r="H136" s="5">
        <f t="shared" si="14"/>
        <v>8.3156352592687485E-2</v>
      </c>
    </row>
    <row r="137" spans="1:8" ht="15.75" customHeight="1">
      <c r="A137" s="4">
        <v>136</v>
      </c>
      <c r="B137" s="3">
        <v>21686</v>
      </c>
      <c r="C137" s="4">
        <v>38</v>
      </c>
      <c r="D137" s="15">
        <f t="shared" si="11"/>
        <v>41.083847905967829</v>
      </c>
      <c r="E137" s="8">
        <f t="shared" si="10"/>
        <v>-0.50743319110712548</v>
      </c>
      <c r="F137" s="8">
        <f t="shared" si="12"/>
        <v>0.50743319110712548</v>
      </c>
      <c r="G137" s="8">
        <f t="shared" si="13"/>
        <v>0.25748844343716054</v>
      </c>
      <c r="H137" s="5">
        <f t="shared" si="14"/>
        <v>1.3353505029134882E-2</v>
      </c>
    </row>
    <row r="138" spans="1:8" ht="15.75" customHeight="1">
      <c r="A138" s="4">
        <v>137</v>
      </c>
      <c r="B138" s="3">
        <v>21687</v>
      </c>
      <c r="C138" s="4">
        <v>24</v>
      </c>
      <c r="D138" s="15">
        <f t="shared" si="11"/>
        <v>41.102932459411242</v>
      </c>
      <c r="E138" s="8">
        <f t="shared" si="10"/>
        <v>-14.507433191107125</v>
      </c>
      <c r="F138" s="8">
        <f t="shared" si="12"/>
        <v>14.507433191107125</v>
      </c>
      <c r="G138" s="8">
        <f t="shared" si="13"/>
        <v>210.46561779443667</v>
      </c>
      <c r="H138" s="5">
        <f t="shared" si="14"/>
        <v>0.60447638296279693</v>
      </c>
    </row>
    <row r="139" spans="1:8" ht="15.75" customHeight="1">
      <c r="A139" s="4">
        <v>138</v>
      </c>
      <c r="B139" s="3">
        <v>21688</v>
      </c>
      <c r="C139" s="4">
        <v>34</v>
      </c>
      <c r="D139" s="15">
        <f t="shared" si="11"/>
        <v>41.122017012854656</v>
      </c>
      <c r="E139" s="8">
        <f t="shared" si="10"/>
        <v>-4.5074331911071255</v>
      </c>
      <c r="F139" s="8">
        <f t="shared" si="12"/>
        <v>4.5074331911071255</v>
      </c>
      <c r="G139" s="8">
        <f t="shared" si="13"/>
        <v>20.316953972294165</v>
      </c>
      <c r="H139" s="5">
        <f t="shared" si="14"/>
        <v>0.13257156444432722</v>
      </c>
    </row>
    <row r="140" spans="1:8" ht="15.75" customHeight="1">
      <c r="A140" s="4">
        <v>139</v>
      </c>
      <c r="B140" s="3">
        <v>21689</v>
      </c>
      <c r="C140" s="4">
        <v>43</v>
      </c>
      <c r="D140" s="15">
        <f t="shared" si="11"/>
        <v>41.141101566298069</v>
      </c>
      <c r="E140" s="8">
        <f t="shared" si="10"/>
        <v>4.4925668088928745</v>
      </c>
      <c r="F140" s="8">
        <f t="shared" si="12"/>
        <v>4.4925668088928745</v>
      </c>
      <c r="G140" s="8">
        <f t="shared" si="13"/>
        <v>20.183156532365906</v>
      </c>
      <c r="H140" s="5">
        <f t="shared" si="14"/>
        <v>0.10447829788122964</v>
      </c>
    </row>
    <row r="141" spans="1:8" ht="15.75" customHeight="1">
      <c r="A141" s="4">
        <v>140</v>
      </c>
      <c r="B141" s="3">
        <v>21690</v>
      </c>
      <c r="C141" s="4">
        <v>36</v>
      </c>
      <c r="D141" s="15">
        <f t="shared" si="11"/>
        <v>41.160186119741482</v>
      </c>
      <c r="E141" s="8">
        <f t="shared" si="10"/>
        <v>-2.5074331911071255</v>
      </c>
      <c r="F141" s="8">
        <f t="shared" si="12"/>
        <v>2.5074331911071255</v>
      </c>
      <c r="G141" s="8">
        <f t="shared" si="13"/>
        <v>6.2872212078656622</v>
      </c>
      <c r="H141" s="5">
        <f t="shared" si="14"/>
        <v>6.9650921975197927E-2</v>
      </c>
    </row>
    <row r="142" spans="1:8" ht="15.75" customHeight="1">
      <c r="A142" s="4">
        <v>141</v>
      </c>
      <c r="B142" s="3">
        <v>21691</v>
      </c>
      <c r="C142" s="4">
        <v>55</v>
      </c>
      <c r="D142" s="15">
        <f t="shared" si="11"/>
        <v>41.179270673184895</v>
      </c>
      <c r="E142" s="8">
        <f t="shared" si="10"/>
        <v>16.492566808892875</v>
      </c>
      <c r="F142" s="8">
        <f t="shared" si="12"/>
        <v>16.492566808892875</v>
      </c>
      <c r="G142" s="8">
        <f t="shared" si="13"/>
        <v>272.00475994579489</v>
      </c>
      <c r="H142" s="5">
        <f t="shared" si="14"/>
        <v>0.29986485107077954</v>
      </c>
    </row>
    <row r="143" spans="1:8" ht="15.75" customHeight="1">
      <c r="A143" s="4">
        <v>142</v>
      </c>
      <c r="B143" s="3">
        <v>21692</v>
      </c>
      <c r="C143" s="4">
        <v>41</v>
      </c>
      <c r="D143" s="15">
        <f t="shared" si="11"/>
        <v>41.198355226628308</v>
      </c>
      <c r="E143" s="8">
        <f t="shared" si="10"/>
        <v>2.4925668088928745</v>
      </c>
      <c r="F143" s="8">
        <f t="shared" si="12"/>
        <v>2.4925668088928745</v>
      </c>
      <c r="G143" s="8">
        <f t="shared" si="13"/>
        <v>6.2128892967944074</v>
      </c>
      <c r="H143" s="5">
        <f t="shared" si="14"/>
        <v>6.079431241202133E-2</v>
      </c>
    </row>
    <row r="144" spans="1:8" ht="15.75" customHeight="1">
      <c r="A144" s="4">
        <v>143</v>
      </c>
      <c r="B144" s="3">
        <v>21693</v>
      </c>
      <c r="C144" s="4">
        <v>45</v>
      </c>
      <c r="D144" s="15">
        <f t="shared" si="11"/>
        <v>41.217439780071714</v>
      </c>
      <c r="E144" s="8">
        <f t="shared" si="10"/>
        <v>6.4925668088928745</v>
      </c>
      <c r="F144" s="8">
        <f t="shared" si="12"/>
        <v>6.4925668088928745</v>
      </c>
      <c r="G144" s="8">
        <f t="shared" si="13"/>
        <v>42.153423767937404</v>
      </c>
      <c r="H144" s="5">
        <f t="shared" si="14"/>
        <v>0.14427926241984165</v>
      </c>
    </row>
    <row r="145" spans="1:8" ht="15.75" customHeight="1">
      <c r="A145" s="4">
        <v>144</v>
      </c>
      <c r="B145" s="3">
        <v>21694</v>
      </c>
      <c r="C145" s="4">
        <v>41</v>
      </c>
      <c r="D145" s="15">
        <f t="shared" si="11"/>
        <v>41.236524333515128</v>
      </c>
      <c r="E145" s="8">
        <f t="shared" si="10"/>
        <v>2.4925668088928745</v>
      </c>
      <c r="F145" s="8">
        <f t="shared" si="12"/>
        <v>2.4925668088928745</v>
      </c>
      <c r="G145" s="8">
        <f t="shared" si="13"/>
        <v>6.2128892967944074</v>
      </c>
      <c r="H145" s="5">
        <f t="shared" si="14"/>
        <v>6.079431241202133E-2</v>
      </c>
    </row>
    <row r="146" spans="1:8" ht="15.75" customHeight="1">
      <c r="A146" s="4">
        <v>145</v>
      </c>
      <c r="B146" s="3">
        <v>21695</v>
      </c>
      <c r="C146" s="4">
        <v>37</v>
      </c>
      <c r="D146" s="15">
        <f t="shared" si="11"/>
        <v>41.255608886958541</v>
      </c>
      <c r="E146" s="8">
        <f t="shared" si="10"/>
        <v>-1.5074331911071255</v>
      </c>
      <c r="F146" s="8">
        <f t="shared" si="12"/>
        <v>1.5074331911071255</v>
      </c>
      <c r="G146" s="8">
        <f t="shared" si="13"/>
        <v>2.2723548256514117</v>
      </c>
      <c r="H146" s="5">
        <f t="shared" si="14"/>
        <v>4.0741437597489875E-2</v>
      </c>
    </row>
    <row r="147" spans="1:8" ht="15.75" customHeight="1">
      <c r="A147" s="4">
        <v>146</v>
      </c>
      <c r="B147" s="3">
        <v>21696</v>
      </c>
      <c r="C147" s="4">
        <v>43</v>
      </c>
      <c r="D147" s="15">
        <f t="shared" si="11"/>
        <v>41.274693440401954</v>
      </c>
      <c r="E147" s="8">
        <f t="shared" si="10"/>
        <v>4.4925668088928745</v>
      </c>
      <c r="F147" s="8">
        <f t="shared" si="12"/>
        <v>4.4925668088928745</v>
      </c>
      <c r="G147" s="8">
        <f t="shared" si="13"/>
        <v>20.183156532365906</v>
      </c>
      <c r="H147" s="5">
        <f t="shared" si="14"/>
        <v>0.10447829788122964</v>
      </c>
    </row>
    <row r="148" spans="1:8" ht="15.75" customHeight="1">
      <c r="A148" s="4">
        <v>147</v>
      </c>
      <c r="B148" s="3">
        <v>21697</v>
      </c>
      <c r="C148" s="4">
        <v>39</v>
      </c>
      <c r="D148" s="15">
        <f t="shared" si="11"/>
        <v>41.293777993845367</v>
      </c>
      <c r="E148" s="8">
        <f t="shared" si="10"/>
        <v>0.49256680889287452</v>
      </c>
      <c r="F148" s="8">
        <f t="shared" si="12"/>
        <v>0.49256680889287452</v>
      </c>
      <c r="G148" s="8">
        <f t="shared" si="13"/>
        <v>0.24262206122290958</v>
      </c>
      <c r="H148" s="5">
        <f t="shared" si="14"/>
        <v>1.2629918176740373E-2</v>
      </c>
    </row>
    <row r="149" spans="1:8" ht="15.75" customHeight="1">
      <c r="A149" s="4">
        <v>148</v>
      </c>
      <c r="B149" s="3">
        <v>21698</v>
      </c>
      <c r="C149" s="4">
        <v>33</v>
      </c>
      <c r="D149" s="15">
        <f t="shared" si="11"/>
        <v>41.31286254728878</v>
      </c>
      <c r="E149" s="8">
        <f t="shared" si="10"/>
        <v>-5.5074331911071255</v>
      </c>
      <c r="F149" s="8">
        <f t="shared" si="12"/>
        <v>5.5074331911071255</v>
      </c>
      <c r="G149" s="8">
        <f t="shared" si="13"/>
        <v>30.331820354508416</v>
      </c>
      <c r="H149" s="5">
        <f t="shared" si="14"/>
        <v>0.16689191488203411</v>
      </c>
    </row>
    <row r="150" spans="1:8" ht="15.75" customHeight="1">
      <c r="A150" s="4">
        <v>149</v>
      </c>
      <c r="B150" s="3">
        <v>21699</v>
      </c>
      <c r="C150" s="4">
        <v>43</v>
      </c>
      <c r="D150" s="15">
        <f t="shared" si="11"/>
        <v>41.331947100732194</v>
      </c>
      <c r="E150" s="8">
        <f t="shared" si="10"/>
        <v>4.4925668088928745</v>
      </c>
      <c r="F150" s="8">
        <f t="shared" si="12"/>
        <v>4.4925668088928745</v>
      </c>
      <c r="G150" s="8">
        <f t="shared" si="13"/>
        <v>20.183156532365906</v>
      </c>
      <c r="H150" s="5">
        <f t="shared" si="14"/>
        <v>0.10447829788122964</v>
      </c>
    </row>
    <row r="151" spans="1:8" ht="15.75" customHeight="1">
      <c r="A151" s="4">
        <v>150</v>
      </c>
      <c r="B151" s="3">
        <v>21700</v>
      </c>
      <c r="C151" s="4">
        <v>40</v>
      </c>
      <c r="D151" s="15">
        <f t="shared" si="11"/>
        <v>41.351031654175607</v>
      </c>
      <c r="E151" s="8">
        <f t="shared" si="10"/>
        <v>1.4925668088928745</v>
      </c>
      <c r="F151" s="8">
        <f t="shared" si="12"/>
        <v>1.4925668088928745</v>
      </c>
      <c r="G151" s="8">
        <f t="shared" si="13"/>
        <v>2.2277556790086588</v>
      </c>
      <c r="H151" s="5">
        <f t="shared" si="14"/>
        <v>3.7314170222321863E-2</v>
      </c>
    </row>
    <row r="152" spans="1:8" ht="15.75" customHeight="1">
      <c r="A152" s="4">
        <v>151</v>
      </c>
      <c r="B152" s="3">
        <v>21701</v>
      </c>
      <c r="C152" s="4">
        <v>38</v>
      </c>
      <c r="D152" s="15">
        <f t="shared" si="11"/>
        <v>41.37011620761902</v>
      </c>
      <c r="E152" s="8">
        <f t="shared" si="10"/>
        <v>-0.50743319110712548</v>
      </c>
      <c r="F152" s="8">
        <f t="shared" si="12"/>
        <v>0.50743319110712548</v>
      </c>
      <c r="G152" s="8">
        <f t="shared" si="13"/>
        <v>0.25748844343716054</v>
      </c>
      <c r="H152" s="5">
        <f t="shared" si="14"/>
        <v>1.3353505029134882E-2</v>
      </c>
    </row>
    <row r="153" spans="1:8" ht="15.75" customHeight="1">
      <c r="A153" s="4">
        <v>152</v>
      </c>
      <c r="B153" s="3">
        <v>21702</v>
      </c>
      <c r="C153" s="4">
        <v>45</v>
      </c>
      <c r="D153" s="15">
        <f t="shared" si="11"/>
        <v>41.389200761062433</v>
      </c>
      <c r="E153" s="8">
        <f t="shared" si="10"/>
        <v>6.4925668088928745</v>
      </c>
      <c r="F153" s="8">
        <f t="shared" si="12"/>
        <v>6.4925668088928745</v>
      </c>
      <c r="G153" s="8">
        <f t="shared" si="13"/>
        <v>42.153423767937404</v>
      </c>
      <c r="H153" s="5">
        <f t="shared" si="14"/>
        <v>0.14427926241984165</v>
      </c>
    </row>
    <row r="154" spans="1:8" ht="15.75" customHeight="1">
      <c r="A154" s="4">
        <v>153</v>
      </c>
      <c r="B154" s="3">
        <v>21703</v>
      </c>
      <c r="C154" s="4">
        <v>46</v>
      </c>
      <c r="D154" s="15">
        <f t="shared" si="11"/>
        <v>41.408285314505846</v>
      </c>
      <c r="E154" s="8">
        <f t="shared" si="10"/>
        <v>7.4925668088928745</v>
      </c>
      <c r="F154" s="8">
        <f t="shared" si="12"/>
        <v>7.4925668088928745</v>
      </c>
      <c r="G154" s="8">
        <f t="shared" si="13"/>
        <v>56.138557385723153</v>
      </c>
      <c r="H154" s="5">
        <f t="shared" si="14"/>
        <v>0.16288188714984511</v>
      </c>
    </row>
    <row r="155" spans="1:8" ht="15.75" customHeight="1">
      <c r="A155" s="4">
        <v>154</v>
      </c>
      <c r="B155" s="3">
        <v>21704</v>
      </c>
      <c r="C155" s="4">
        <v>34</v>
      </c>
      <c r="D155" s="15">
        <f t="shared" si="11"/>
        <v>41.42736986794926</v>
      </c>
      <c r="E155" s="8">
        <f t="shared" si="10"/>
        <v>-4.5074331911071255</v>
      </c>
      <c r="F155" s="8">
        <f t="shared" si="12"/>
        <v>4.5074331911071255</v>
      </c>
      <c r="G155" s="8">
        <f t="shared" si="13"/>
        <v>20.316953972294165</v>
      </c>
      <c r="H155" s="5">
        <f t="shared" si="14"/>
        <v>0.13257156444432722</v>
      </c>
    </row>
    <row r="156" spans="1:8" ht="15.75" customHeight="1">
      <c r="A156" s="4">
        <v>155</v>
      </c>
      <c r="B156" s="3">
        <v>21705</v>
      </c>
      <c r="C156" s="4">
        <v>35</v>
      </c>
      <c r="D156" s="15">
        <f t="shared" si="11"/>
        <v>41.446454421392673</v>
      </c>
      <c r="E156" s="8">
        <f t="shared" si="10"/>
        <v>-3.5074331911071255</v>
      </c>
      <c r="F156" s="8">
        <f t="shared" si="12"/>
        <v>3.5074331911071255</v>
      </c>
      <c r="G156" s="8">
        <f t="shared" si="13"/>
        <v>12.302087590079914</v>
      </c>
      <c r="H156" s="5">
        <f t="shared" si="14"/>
        <v>0.10021237688877502</v>
      </c>
    </row>
    <row r="157" spans="1:8" ht="15.75" customHeight="1">
      <c r="A157" s="4">
        <v>156</v>
      </c>
      <c r="B157" s="3">
        <v>21706</v>
      </c>
      <c r="C157" s="4">
        <v>48</v>
      </c>
      <c r="D157" s="15">
        <f t="shared" si="11"/>
        <v>41.465538974836079</v>
      </c>
      <c r="E157" s="8">
        <f t="shared" si="10"/>
        <v>9.4925668088928745</v>
      </c>
      <c r="F157" s="8">
        <f t="shared" si="12"/>
        <v>9.4925668088928745</v>
      </c>
      <c r="G157" s="8">
        <f t="shared" si="13"/>
        <v>90.108824621294644</v>
      </c>
      <c r="H157" s="5">
        <f t="shared" si="14"/>
        <v>0.19776180851860156</v>
      </c>
    </row>
    <row r="158" spans="1:8" ht="15.75" customHeight="1">
      <c r="A158" s="4">
        <v>157</v>
      </c>
      <c r="B158" s="3">
        <v>21707</v>
      </c>
      <c r="C158" s="4">
        <v>51</v>
      </c>
      <c r="D158" s="15">
        <f t="shared" si="11"/>
        <v>41.484623528279492</v>
      </c>
      <c r="E158" s="8">
        <f t="shared" si="10"/>
        <v>12.492566808892875</v>
      </c>
      <c r="F158" s="8">
        <f t="shared" si="12"/>
        <v>12.492566808892875</v>
      </c>
      <c r="G158" s="8">
        <f t="shared" si="13"/>
        <v>156.06422547465189</v>
      </c>
      <c r="H158" s="5">
        <f t="shared" si="14"/>
        <v>0.24495229037044852</v>
      </c>
    </row>
    <row r="159" spans="1:8" ht="15.75" customHeight="1">
      <c r="A159" s="4">
        <v>158</v>
      </c>
      <c r="B159" s="3">
        <v>21708</v>
      </c>
      <c r="C159" s="4">
        <v>36</v>
      </c>
      <c r="D159" s="15">
        <f t="shared" si="11"/>
        <v>41.503708081722905</v>
      </c>
      <c r="E159" s="8">
        <f t="shared" si="10"/>
        <v>-2.5074331911071255</v>
      </c>
      <c r="F159" s="8">
        <f t="shared" si="12"/>
        <v>2.5074331911071255</v>
      </c>
      <c r="G159" s="8">
        <f t="shared" si="13"/>
        <v>6.2872212078656622</v>
      </c>
      <c r="H159" s="5">
        <f t="shared" si="14"/>
        <v>6.9650921975197927E-2</v>
      </c>
    </row>
    <row r="160" spans="1:8" ht="15.75" customHeight="1">
      <c r="A160" s="4">
        <v>159</v>
      </c>
      <c r="B160" s="3">
        <v>21709</v>
      </c>
      <c r="C160" s="4">
        <v>33</v>
      </c>
      <c r="D160" s="15">
        <f t="shared" si="11"/>
        <v>41.522792635166319</v>
      </c>
      <c r="E160" s="8">
        <f t="shared" si="10"/>
        <v>-5.5074331911071255</v>
      </c>
      <c r="F160" s="8">
        <f t="shared" si="12"/>
        <v>5.5074331911071255</v>
      </c>
      <c r="G160" s="8">
        <f t="shared" si="13"/>
        <v>30.331820354508416</v>
      </c>
      <c r="H160" s="5">
        <f t="shared" si="14"/>
        <v>0.16689191488203411</v>
      </c>
    </row>
    <row r="161" spans="1:8" ht="15.75" customHeight="1">
      <c r="A161" s="4">
        <v>160</v>
      </c>
      <c r="B161" s="3">
        <v>21710</v>
      </c>
      <c r="C161" s="4">
        <v>46</v>
      </c>
      <c r="D161" s="15">
        <f t="shared" si="11"/>
        <v>41.541877188609732</v>
      </c>
      <c r="E161" s="8">
        <f t="shared" si="10"/>
        <v>7.4925668088928745</v>
      </c>
      <c r="F161" s="8">
        <f t="shared" si="12"/>
        <v>7.4925668088928745</v>
      </c>
      <c r="G161" s="8">
        <f t="shared" si="13"/>
        <v>56.138557385723153</v>
      </c>
      <c r="H161" s="5">
        <f t="shared" si="14"/>
        <v>0.16288188714984511</v>
      </c>
    </row>
    <row r="162" spans="1:8" ht="15.75" customHeight="1">
      <c r="A162" s="4">
        <v>161</v>
      </c>
      <c r="B162" s="3">
        <v>21711</v>
      </c>
      <c r="C162" s="4">
        <v>42</v>
      </c>
      <c r="D162" s="15">
        <f t="shared" si="11"/>
        <v>41.560961742053145</v>
      </c>
      <c r="E162" s="8">
        <f t="shared" si="10"/>
        <v>3.4925668088928745</v>
      </c>
      <c r="F162" s="8">
        <f t="shared" si="12"/>
        <v>3.4925668088928745</v>
      </c>
      <c r="G162" s="8">
        <f t="shared" si="13"/>
        <v>12.198022914580157</v>
      </c>
      <c r="H162" s="5">
        <f t="shared" si="14"/>
        <v>8.3156352592687485E-2</v>
      </c>
    </row>
    <row r="163" spans="1:8" ht="15.75" customHeight="1">
      <c r="A163" s="4">
        <v>162</v>
      </c>
      <c r="B163" s="3">
        <v>21712</v>
      </c>
      <c r="C163" s="4">
        <v>48</v>
      </c>
      <c r="D163" s="15">
        <f t="shared" si="11"/>
        <v>41.580046295496558</v>
      </c>
      <c r="E163" s="8">
        <f t="shared" si="10"/>
        <v>9.4925668088928745</v>
      </c>
      <c r="F163" s="8">
        <f t="shared" si="12"/>
        <v>9.4925668088928745</v>
      </c>
      <c r="G163" s="8">
        <f t="shared" si="13"/>
        <v>90.108824621294644</v>
      </c>
      <c r="H163" s="5">
        <f t="shared" si="14"/>
        <v>0.19776180851860156</v>
      </c>
    </row>
    <row r="164" spans="1:8" ht="15.75" customHeight="1">
      <c r="A164" s="4">
        <v>163</v>
      </c>
      <c r="B164" s="3">
        <v>21713</v>
      </c>
      <c r="C164" s="4">
        <v>34</v>
      </c>
      <c r="D164" s="15">
        <f t="shared" si="11"/>
        <v>41.599130848939971</v>
      </c>
      <c r="E164" s="8">
        <f t="shared" si="10"/>
        <v>-4.5074331911071255</v>
      </c>
      <c r="F164" s="8">
        <f t="shared" si="12"/>
        <v>4.5074331911071255</v>
      </c>
      <c r="G164" s="8">
        <f t="shared" si="13"/>
        <v>20.316953972294165</v>
      </c>
      <c r="H164" s="5">
        <f t="shared" si="14"/>
        <v>0.13257156444432722</v>
      </c>
    </row>
    <row r="165" spans="1:8" ht="15.75" customHeight="1">
      <c r="A165" s="4">
        <v>164</v>
      </c>
      <c r="B165" s="3">
        <v>21714</v>
      </c>
      <c r="C165" s="4">
        <v>41</v>
      </c>
      <c r="D165" s="15">
        <f t="shared" si="11"/>
        <v>41.618215402383385</v>
      </c>
      <c r="E165" s="8">
        <f t="shared" si="10"/>
        <v>2.4925668088928745</v>
      </c>
      <c r="F165" s="8">
        <f t="shared" si="12"/>
        <v>2.4925668088928745</v>
      </c>
      <c r="G165" s="8">
        <f t="shared" si="13"/>
        <v>6.2128892967944074</v>
      </c>
      <c r="H165" s="5">
        <f t="shared" si="14"/>
        <v>6.079431241202133E-2</v>
      </c>
    </row>
    <row r="166" spans="1:8" ht="15.75" customHeight="1">
      <c r="A166" s="4">
        <v>165</v>
      </c>
      <c r="B166" s="3">
        <v>21715</v>
      </c>
      <c r="C166" s="4">
        <v>35</v>
      </c>
      <c r="D166" s="15">
        <f t="shared" si="11"/>
        <v>41.637299955826798</v>
      </c>
      <c r="E166" s="8">
        <f t="shared" si="10"/>
        <v>-3.5074331911071255</v>
      </c>
      <c r="F166" s="8">
        <f t="shared" si="12"/>
        <v>3.5074331911071255</v>
      </c>
      <c r="G166" s="8">
        <f t="shared" si="13"/>
        <v>12.302087590079914</v>
      </c>
      <c r="H166" s="5">
        <f t="shared" si="14"/>
        <v>0.10021237688877502</v>
      </c>
    </row>
    <row r="167" spans="1:8" ht="15.75" customHeight="1">
      <c r="A167" s="4">
        <v>166</v>
      </c>
      <c r="B167" s="3">
        <v>21716</v>
      </c>
      <c r="C167" s="4">
        <v>40</v>
      </c>
      <c r="D167" s="15">
        <f t="shared" si="11"/>
        <v>41.656384509270211</v>
      </c>
      <c r="E167" s="8">
        <f t="shared" si="10"/>
        <v>1.4925668088928745</v>
      </c>
      <c r="F167" s="8">
        <f t="shared" si="12"/>
        <v>1.4925668088928745</v>
      </c>
      <c r="G167" s="8">
        <f t="shared" si="13"/>
        <v>2.2277556790086588</v>
      </c>
      <c r="H167" s="5">
        <f t="shared" si="14"/>
        <v>3.7314170222321863E-2</v>
      </c>
    </row>
    <row r="168" spans="1:8" ht="15.75" customHeight="1">
      <c r="A168" s="4">
        <v>167</v>
      </c>
      <c r="B168" s="3">
        <v>21717</v>
      </c>
      <c r="C168" s="4">
        <v>34</v>
      </c>
      <c r="D168" s="15">
        <f t="shared" si="11"/>
        <v>41.675469062713624</v>
      </c>
      <c r="E168" s="8">
        <f t="shared" si="10"/>
        <v>-4.5074331911071255</v>
      </c>
      <c r="F168" s="8">
        <f t="shared" si="12"/>
        <v>4.5074331911071255</v>
      </c>
      <c r="G168" s="8">
        <f t="shared" si="13"/>
        <v>20.316953972294165</v>
      </c>
      <c r="H168" s="5">
        <f t="shared" si="14"/>
        <v>0.13257156444432722</v>
      </c>
    </row>
    <row r="169" spans="1:8" ht="15.75" customHeight="1">
      <c r="A169" s="4">
        <v>168</v>
      </c>
      <c r="B169" s="3">
        <v>21718</v>
      </c>
      <c r="C169" s="4">
        <v>30</v>
      </c>
      <c r="D169" s="15">
        <f t="shared" si="11"/>
        <v>41.69455361615703</v>
      </c>
      <c r="E169" s="8">
        <f t="shared" si="10"/>
        <v>-8.5074331911071255</v>
      </c>
      <c r="F169" s="8">
        <f t="shared" si="12"/>
        <v>8.5074331911071255</v>
      </c>
      <c r="G169" s="8">
        <f t="shared" si="13"/>
        <v>72.376419501151162</v>
      </c>
      <c r="H169" s="5">
        <f t="shared" si="14"/>
        <v>0.28358110637023753</v>
      </c>
    </row>
    <row r="170" spans="1:8" ht="15.75" customHeight="1">
      <c r="A170" s="4">
        <v>169</v>
      </c>
      <c r="B170" s="3">
        <v>21719</v>
      </c>
      <c r="C170" s="4">
        <v>36</v>
      </c>
      <c r="D170" s="15">
        <f t="shared" si="11"/>
        <v>41.713638169600443</v>
      </c>
      <c r="E170" s="8">
        <f t="shared" si="10"/>
        <v>-2.5074331911071255</v>
      </c>
      <c r="F170" s="8">
        <f t="shared" si="12"/>
        <v>2.5074331911071255</v>
      </c>
      <c r="G170" s="8">
        <f t="shared" si="13"/>
        <v>6.2872212078656622</v>
      </c>
      <c r="H170" s="5">
        <f t="shared" si="14"/>
        <v>6.9650921975197927E-2</v>
      </c>
    </row>
    <row r="171" spans="1:8" ht="15.75" customHeight="1">
      <c r="A171" s="4">
        <v>170</v>
      </c>
      <c r="B171" s="3">
        <v>21720</v>
      </c>
      <c r="C171" s="4">
        <v>40</v>
      </c>
      <c r="D171" s="15">
        <f t="shared" si="11"/>
        <v>41.732722723043857</v>
      </c>
      <c r="E171" s="8">
        <f t="shared" si="10"/>
        <v>1.4925668088928745</v>
      </c>
      <c r="F171" s="8">
        <f t="shared" si="12"/>
        <v>1.4925668088928745</v>
      </c>
      <c r="G171" s="8">
        <f t="shared" si="13"/>
        <v>2.2277556790086588</v>
      </c>
      <c r="H171" s="5">
        <f t="shared" si="14"/>
        <v>3.7314170222321863E-2</v>
      </c>
    </row>
    <row r="172" spans="1:8" ht="15.75" customHeight="1">
      <c r="A172" s="4">
        <v>171</v>
      </c>
      <c r="B172" s="3">
        <v>21721</v>
      </c>
      <c r="C172" s="4">
        <v>39</v>
      </c>
      <c r="D172" s="15">
        <f t="shared" si="11"/>
        <v>41.75180727648727</v>
      </c>
      <c r="E172" s="8">
        <f t="shared" si="10"/>
        <v>0.49256680889287452</v>
      </c>
      <c r="F172" s="8">
        <f t="shared" si="12"/>
        <v>0.49256680889287452</v>
      </c>
      <c r="G172" s="8">
        <f t="shared" si="13"/>
        <v>0.24262206122290958</v>
      </c>
      <c r="H172" s="5">
        <f t="shared" si="14"/>
        <v>1.2629918176740373E-2</v>
      </c>
    </row>
    <row r="173" spans="1:8" ht="15.75" customHeight="1">
      <c r="A173" s="4">
        <v>172</v>
      </c>
      <c r="B173" s="3">
        <v>21722</v>
      </c>
      <c r="C173" s="4">
        <v>45</v>
      </c>
      <c r="D173" s="15">
        <f t="shared" si="11"/>
        <v>41.770891829930683</v>
      </c>
      <c r="E173" s="8">
        <f t="shared" si="10"/>
        <v>6.4925668088928745</v>
      </c>
      <c r="F173" s="8">
        <f t="shared" si="12"/>
        <v>6.4925668088928745</v>
      </c>
      <c r="G173" s="8">
        <f t="shared" si="13"/>
        <v>42.153423767937404</v>
      </c>
      <c r="H173" s="5">
        <f t="shared" si="14"/>
        <v>0.14427926241984165</v>
      </c>
    </row>
    <row r="174" spans="1:8" ht="15.75" customHeight="1">
      <c r="A174" s="4">
        <v>173</v>
      </c>
      <c r="B174" s="3">
        <v>21723</v>
      </c>
      <c r="C174" s="4">
        <v>38</v>
      </c>
      <c r="D174" s="15">
        <f t="shared" si="11"/>
        <v>41.789976383374096</v>
      </c>
      <c r="E174" s="8">
        <f t="shared" si="10"/>
        <v>-0.50743319110712548</v>
      </c>
      <c r="F174" s="8">
        <f t="shared" si="12"/>
        <v>0.50743319110712548</v>
      </c>
      <c r="G174" s="8">
        <f t="shared" si="13"/>
        <v>0.25748844343716054</v>
      </c>
      <c r="H174" s="5">
        <f t="shared" si="14"/>
        <v>1.3353505029134882E-2</v>
      </c>
    </row>
    <row r="175" spans="1:8" ht="15.75" customHeight="1">
      <c r="A175" s="4">
        <v>174</v>
      </c>
      <c r="B175" s="3">
        <v>21724</v>
      </c>
      <c r="C175" s="4">
        <v>47</v>
      </c>
      <c r="D175" s="15">
        <f t="shared" si="11"/>
        <v>41.809060936817509</v>
      </c>
      <c r="E175" s="8">
        <f t="shared" si="10"/>
        <v>8.4925668088928745</v>
      </c>
      <c r="F175" s="8">
        <f t="shared" si="12"/>
        <v>8.4925668088928745</v>
      </c>
      <c r="G175" s="8">
        <f t="shared" si="13"/>
        <v>72.123691003508895</v>
      </c>
      <c r="H175" s="5">
        <f t="shared" si="14"/>
        <v>0.18069291082750796</v>
      </c>
    </row>
    <row r="176" spans="1:8" ht="15.75" customHeight="1">
      <c r="A176" s="4">
        <v>175</v>
      </c>
      <c r="B176" s="3">
        <v>21725</v>
      </c>
      <c r="C176" s="4">
        <v>33</v>
      </c>
      <c r="D176" s="15">
        <f t="shared" si="11"/>
        <v>41.828145490260923</v>
      </c>
      <c r="E176" s="8">
        <f t="shared" si="10"/>
        <v>-5.5074331911071255</v>
      </c>
      <c r="F176" s="8">
        <f t="shared" si="12"/>
        <v>5.5074331911071255</v>
      </c>
      <c r="G176" s="8">
        <f t="shared" si="13"/>
        <v>30.331820354508416</v>
      </c>
      <c r="H176" s="5">
        <f t="shared" si="14"/>
        <v>0.16689191488203411</v>
      </c>
    </row>
    <row r="177" spans="1:8" ht="15.75" customHeight="1">
      <c r="A177" s="4">
        <v>176</v>
      </c>
      <c r="B177" s="3">
        <v>21726</v>
      </c>
      <c r="C177" s="4">
        <v>30</v>
      </c>
      <c r="D177" s="15">
        <f t="shared" si="11"/>
        <v>41.847230043704336</v>
      </c>
      <c r="E177" s="8">
        <f t="shared" si="10"/>
        <v>-8.5074331911071255</v>
      </c>
      <c r="F177" s="8">
        <f t="shared" si="12"/>
        <v>8.5074331911071255</v>
      </c>
      <c r="G177" s="8">
        <f t="shared" si="13"/>
        <v>72.376419501151162</v>
      </c>
      <c r="H177" s="5">
        <f t="shared" si="14"/>
        <v>0.28358110637023753</v>
      </c>
    </row>
    <row r="178" spans="1:8" ht="15.75" customHeight="1">
      <c r="A178" s="4">
        <v>177</v>
      </c>
      <c r="B178" s="3">
        <v>21727</v>
      </c>
      <c r="C178" s="4">
        <v>42</v>
      </c>
      <c r="D178" s="15">
        <f t="shared" si="11"/>
        <v>41.866314597147749</v>
      </c>
      <c r="E178" s="8">
        <f t="shared" si="10"/>
        <v>3.4925668088928745</v>
      </c>
      <c r="F178" s="8">
        <f t="shared" si="12"/>
        <v>3.4925668088928745</v>
      </c>
      <c r="G178" s="8">
        <f t="shared" si="13"/>
        <v>12.198022914580157</v>
      </c>
      <c r="H178" s="5">
        <f t="shared" si="14"/>
        <v>8.3156352592687485E-2</v>
      </c>
    </row>
    <row r="179" spans="1:8" ht="15.75" customHeight="1">
      <c r="A179" s="4">
        <v>178</v>
      </c>
      <c r="B179" s="3">
        <v>21728</v>
      </c>
      <c r="C179" s="4">
        <v>43</v>
      </c>
      <c r="D179" s="15">
        <f t="shared" si="11"/>
        <v>41.885399150591162</v>
      </c>
      <c r="E179" s="8">
        <f t="shared" si="10"/>
        <v>4.4925668088928745</v>
      </c>
      <c r="F179" s="8">
        <f t="shared" si="12"/>
        <v>4.4925668088928745</v>
      </c>
      <c r="G179" s="8">
        <f t="shared" si="13"/>
        <v>20.183156532365906</v>
      </c>
      <c r="H179" s="5">
        <f t="shared" si="14"/>
        <v>0.10447829788122964</v>
      </c>
    </row>
    <row r="180" spans="1:8" ht="15.75" customHeight="1">
      <c r="A180" s="4">
        <v>179</v>
      </c>
      <c r="B180" s="3">
        <v>21729</v>
      </c>
      <c r="C180" s="4">
        <v>41</v>
      </c>
      <c r="D180" s="15">
        <f t="shared" si="11"/>
        <v>41.904483704034575</v>
      </c>
      <c r="E180" s="8">
        <f t="shared" si="10"/>
        <v>2.4925668088928745</v>
      </c>
      <c r="F180" s="8">
        <f t="shared" si="12"/>
        <v>2.4925668088928745</v>
      </c>
      <c r="G180" s="8">
        <f t="shared" si="13"/>
        <v>6.2128892967944074</v>
      </c>
      <c r="H180" s="5">
        <f t="shared" si="14"/>
        <v>6.079431241202133E-2</v>
      </c>
    </row>
    <row r="181" spans="1:8" ht="15.75" customHeight="1">
      <c r="A181" s="4">
        <v>180</v>
      </c>
      <c r="B181" s="3">
        <v>21730</v>
      </c>
      <c r="C181" s="4">
        <v>41</v>
      </c>
      <c r="D181" s="15">
        <f t="shared" si="11"/>
        <v>41.923568257477982</v>
      </c>
      <c r="E181" s="8">
        <f t="shared" si="10"/>
        <v>2.4925668088928745</v>
      </c>
      <c r="F181" s="8">
        <f t="shared" si="12"/>
        <v>2.4925668088928745</v>
      </c>
      <c r="G181" s="8">
        <f t="shared" si="13"/>
        <v>6.2128892967944074</v>
      </c>
      <c r="H181" s="5">
        <f t="shared" si="14"/>
        <v>6.079431241202133E-2</v>
      </c>
    </row>
    <row r="182" spans="1:8" ht="15.75" customHeight="1">
      <c r="A182" s="4">
        <v>181</v>
      </c>
      <c r="B182" s="3">
        <v>21731</v>
      </c>
      <c r="C182" s="4">
        <v>59</v>
      </c>
      <c r="D182" s="15">
        <f t="shared" si="11"/>
        <v>41.942652810921395</v>
      </c>
      <c r="E182" s="8">
        <f t="shared" si="10"/>
        <v>20.492566808892875</v>
      </c>
      <c r="F182" s="8">
        <f t="shared" si="12"/>
        <v>20.492566808892875</v>
      </c>
      <c r="G182" s="8">
        <f t="shared" si="13"/>
        <v>419.94529441693788</v>
      </c>
      <c r="H182" s="5">
        <f t="shared" si="14"/>
        <v>0.34733164082869278</v>
      </c>
    </row>
    <row r="183" spans="1:8" ht="15.75" customHeight="1">
      <c r="A183" s="4">
        <v>182</v>
      </c>
      <c r="B183" s="3">
        <v>21732</v>
      </c>
      <c r="C183" s="4">
        <v>43</v>
      </c>
      <c r="D183" s="15">
        <f t="shared" si="11"/>
        <v>41.961737364364808</v>
      </c>
      <c r="E183" s="8">
        <f t="shared" si="10"/>
        <v>4.4925668088928745</v>
      </c>
      <c r="F183" s="8">
        <f t="shared" si="12"/>
        <v>4.4925668088928745</v>
      </c>
      <c r="G183" s="8">
        <f t="shared" si="13"/>
        <v>20.183156532365906</v>
      </c>
      <c r="H183" s="5">
        <f t="shared" si="14"/>
        <v>0.10447829788122964</v>
      </c>
    </row>
    <row r="184" spans="1:8" ht="15.75" customHeight="1">
      <c r="A184" s="4">
        <v>183</v>
      </c>
      <c r="B184" s="3">
        <v>21733</v>
      </c>
      <c r="C184" s="4">
        <v>45</v>
      </c>
      <c r="D184" s="15">
        <f t="shared" si="11"/>
        <v>41.980821917808221</v>
      </c>
      <c r="E184" s="8">
        <f t="shared" si="10"/>
        <v>6.4925668088928745</v>
      </c>
      <c r="F184" s="8">
        <f t="shared" si="12"/>
        <v>6.4925668088928745</v>
      </c>
      <c r="G184" s="8">
        <f t="shared" si="13"/>
        <v>42.153423767937404</v>
      </c>
      <c r="H184" s="5">
        <f t="shared" si="14"/>
        <v>0.14427926241984165</v>
      </c>
    </row>
    <row r="185" spans="1:8" ht="15.75" customHeight="1">
      <c r="A185" s="4">
        <v>184</v>
      </c>
      <c r="B185" s="3">
        <v>21734</v>
      </c>
      <c r="C185" s="4">
        <v>38</v>
      </c>
      <c r="D185" s="15">
        <f t="shared" si="11"/>
        <v>41.999906471251634</v>
      </c>
      <c r="E185" s="8">
        <f t="shared" si="10"/>
        <v>-0.50743319110712548</v>
      </c>
      <c r="F185" s="8">
        <f t="shared" si="12"/>
        <v>0.50743319110712548</v>
      </c>
      <c r="G185" s="8">
        <f t="shared" si="13"/>
        <v>0.25748844343716054</v>
      </c>
      <c r="H185" s="5">
        <f t="shared" si="14"/>
        <v>1.3353505029134882E-2</v>
      </c>
    </row>
    <row r="186" spans="1:8" ht="15.75" customHeight="1">
      <c r="A186" s="4">
        <v>185</v>
      </c>
      <c r="B186" s="3">
        <v>21735</v>
      </c>
      <c r="C186" s="4">
        <v>37</v>
      </c>
      <c r="D186" s="15">
        <f t="shared" si="11"/>
        <v>42.018991024695048</v>
      </c>
      <c r="E186" s="8">
        <f t="shared" si="10"/>
        <v>-1.5074331911071255</v>
      </c>
      <c r="F186" s="8">
        <f t="shared" si="12"/>
        <v>1.5074331911071255</v>
      </c>
      <c r="G186" s="8">
        <f t="shared" si="13"/>
        <v>2.2723548256514117</v>
      </c>
      <c r="H186" s="5">
        <f t="shared" si="14"/>
        <v>4.0741437597489875E-2</v>
      </c>
    </row>
    <row r="187" spans="1:8" ht="15.75" customHeight="1">
      <c r="A187" s="4">
        <v>186</v>
      </c>
      <c r="B187" s="3">
        <v>21736</v>
      </c>
      <c r="C187" s="4">
        <v>45</v>
      </c>
      <c r="D187" s="15">
        <f t="shared" si="11"/>
        <v>42.038075578138461</v>
      </c>
      <c r="E187" s="8">
        <f t="shared" si="10"/>
        <v>6.4925668088928745</v>
      </c>
      <c r="F187" s="8">
        <f t="shared" si="12"/>
        <v>6.4925668088928745</v>
      </c>
      <c r="G187" s="8">
        <f t="shared" si="13"/>
        <v>42.153423767937404</v>
      </c>
      <c r="H187" s="5">
        <f t="shared" si="14"/>
        <v>0.14427926241984165</v>
      </c>
    </row>
    <row r="188" spans="1:8" ht="15.75" customHeight="1">
      <c r="A188" s="4">
        <v>187</v>
      </c>
      <c r="B188" s="3">
        <v>21737</v>
      </c>
      <c r="C188" s="4">
        <v>42</v>
      </c>
      <c r="D188" s="15">
        <f t="shared" si="11"/>
        <v>42.057160131581874</v>
      </c>
      <c r="E188" s="8">
        <f t="shared" si="10"/>
        <v>3.4925668088928745</v>
      </c>
      <c r="F188" s="8">
        <f t="shared" si="12"/>
        <v>3.4925668088928745</v>
      </c>
      <c r="G188" s="8">
        <f t="shared" si="13"/>
        <v>12.198022914580157</v>
      </c>
      <c r="H188" s="5">
        <f t="shared" si="14"/>
        <v>8.3156352592687485E-2</v>
      </c>
    </row>
    <row r="189" spans="1:8" ht="15.75" customHeight="1">
      <c r="A189" s="4">
        <v>188</v>
      </c>
      <c r="B189" s="3">
        <v>21738</v>
      </c>
      <c r="C189" s="4">
        <v>57</v>
      </c>
      <c r="D189" s="15">
        <f t="shared" si="11"/>
        <v>42.076244685025287</v>
      </c>
      <c r="E189" s="8">
        <f t="shared" si="10"/>
        <v>18.492566808892875</v>
      </c>
      <c r="F189" s="8">
        <f t="shared" si="12"/>
        <v>18.492566808892875</v>
      </c>
      <c r="G189" s="8">
        <f t="shared" si="13"/>
        <v>341.97502718136639</v>
      </c>
      <c r="H189" s="5">
        <f t="shared" si="14"/>
        <v>0.3244309966472434</v>
      </c>
    </row>
    <row r="190" spans="1:8" ht="15.75" customHeight="1">
      <c r="A190" s="4">
        <v>189</v>
      </c>
      <c r="B190" s="3">
        <v>21739</v>
      </c>
      <c r="C190" s="4">
        <v>46</v>
      </c>
      <c r="D190" s="15">
        <f t="shared" si="11"/>
        <v>42.0953292384687</v>
      </c>
      <c r="E190" s="8">
        <f t="shared" si="10"/>
        <v>7.4925668088928745</v>
      </c>
      <c r="F190" s="8">
        <f t="shared" si="12"/>
        <v>7.4925668088928745</v>
      </c>
      <c r="G190" s="8">
        <f t="shared" si="13"/>
        <v>56.138557385723153</v>
      </c>
      <c r="H190" s="5">
        <f t="shared" si="14"/>
        <v>0.16288188714984511</v>
      </c>
    </row>
    <row r="191" spans="1:8" ht="15.75" customHeight="1">
      <c r="A191" s="4">
        <v>190</v>
      </c>
      <c r="B191" s="3">
        <v>21740</v>
      </c>
      <c r="C191" s="4">
        <v>51</v>
      </c>
      <c r="D191" s="15">
        <f t="shared" si="11"/>
        <v>42.114413791912114</v>
      </c>
      <c r="E191" s="8">
        <f t="shared" si="10"/>
        <v>12.492566808892875</v>
      </c>
      <c r="F191" s="8">
        <f t="shared" si="12"/>
        <v>12.492566808892875</v>
      </c>
      <c r="G191" s="8">
        <f t="shared" si="13"/>
        <v>156.06422547465189</v>
      </c>
      <c r="H191" s="5">
        <f t="shared" si="14"/>
        <v>0.24495229037044852</v>
      </c>
    </row>
    <row r="192" spans="1:8" ht="15.75" customHeight="1">
      <c r="A192" s="4">
        <v>191</v>
      </c>
      <c r="B192" s="3">
        <v>21741</v>
      </c>
      <c r="C192" s="4">
        <v>41</v>
      </c>
      <c r="D192" s="15">
        <f t="shared" si="11"/>
        <v>42.133498345355527</v>
      </c>
      <c r="E192" s="8">
        <f t="shared" si="10"/>
        <v>2.4925668088928745</v>
      </c>
      <c r="F192" s="8">
        <f t="shared" si="12"/>
        <v>2.4925668088928745</v>
      </c>
      <c r="G192" s="8">
        <f t="shared" si="13"/>
        <v>6.2128892967944074</v>
      </c>
      <c r="H192" s="5">
        <f t="shared" si="14"/>
        <v>6.079431241202133E-2</v>
      </c>
    </row>
    <row r="193" spans="1:8" ht="15.75" customHeight="1">
      <c r="A193" s="4">
        <v>192</v>
      </c>
      <c r="B193" s="3">
        <v>21742</v>
      </c>
      <c r="C193" s="4">
        <v>47</v>
      </c>
      <c r="D193" s="15">
        <f t="shared" si="11"/>
        <v>42.15258289879894</v>
      </c>
      <c r="E193" s="8">
        <f t="shared" si="10"/>
        <v>8.4925668088928745</v>
      </c>
      <c r="F193" s="8">
        <f t="shared" si="12"/>
        <v>8.4925668088928745</v>
      </c>
      <c r="G193" s="8">
        <f t="shared" si="13"/>
        <v>72.123691003508895</v>
      </c>
      <c r="H193" s="5">
        <f t="shared" si="14"/>
        <v>0.18069291082750796</v>
      </c>
    </row>
    <row r="194" spans="1:8" ht="15.75" customHeight="1">
      <c r="A194" s="4">
        <v>193</v>
      </c>
      <c r="B194" s="3">
        <v>21743</v>
      </c>
      <c r="C194" s="4">
        <v>26</v>
      </c>
      <c r="D194" s="15">
        <f t="shared" si="11"/>
        <v>42.171667452242346</v>
      </c>
      <c r="E194" s="8">
        <f t="shared" ref="E194:E257" si="15">C194-solver_opt</f>
        <v>-12.507433191107125</v>
      </c>
      <c r="F194" s="8">
        <f t="shared" si="12"/>
        <v>12.507433191107125</v>
      </c>
      <c r="G194" s="8">
        <f t="shared" si="13"/>
        <v>156.43588503000817</v>
      </c>
      <c r="H194" s="5">
        <f t="shared" si="14"/>
        <v>0.48105512273488943</v>
      </c>
    </row>
    <row r="195" spans="1:8" ht="15.75" customHeight="1">
      <c r="A195" s="4">
        <v>194</v>
      </c>
      <c r="B195" s="3">
        <v>21744</v>
      </c>
      <c r="C195" s="4">
        <v>35</v>
      </c>
      <c r="D195" s="15">
        <f t="shared" ref="D195:D258" si="16">_xlfn.FORECAST.LINEAR(A195,$C$2:$C$366,$A$2:$A$366)</f>
        <v>42.190752005685759</v>
      </c>
      <c r="E195" s="8">
        <f t="shared" si="15"/>
        <v>-3.5074331911071255</v>
      </c>
      <c r="F195" s="8">
        <f t="shared" ref="F195:F258" si="17">ABS(E195)</f>
        <v>3.5074331911071255</v>
      </c>
      <c r="G195" s="8">
        <f t="shared" ref="G195:G258" si="18">F195^2</f>
        <v>12.302087590079914</v>
      </c>
      <c r="H195" s="5">
        <f t="shared" ref="H195:H258" si="19">F195/C195</f>
        <v>0.10021237688877502</v>
      </c>
    </row>
    <row r="196" spans="1:8" ht="15.75" customHeight="1">
      <c r="A196" s="4">
        <v>195</v>
      </c>
      <c r="B196" s="3">
        <v>21745</v>
      </c>
      <c r="C196" s="4">
        <v>44</v>
      </c>
      <c r="D196" s="15">
        <f t="shared" si="16"/>
        <v>42.209836559129172</v>
      </c>
      <c r="E196" s="8">
        <f t="shared" si="15"/>
        <v>5.4925668088928745</v>
      </c>
      <c r="F196" s="8">
        <f t="shared" si="17"/>
        <v>5.4925668088928745</v>
      </c>
      <c r="G196" s="8">
        <f t="shared" si="18"/>
        <v>30.168290150151655</v>
      </c>
      <c r="H196" s="5">
        <f t="shared" si="19"/>
        <v>0.12483106383847442</v>
      </c>
    </row>
    <row r="197" spans="1:8" ht="15.75" customHeight="1">
      <c r="A197" s="4">
        <v>196</v>
      </c>
      <c r="B197" s="3">
        <v>21746</v>
      </c>
      <c r="C197" s="4">
        <v>41</v>
      </c>
      <c r="D197" s="15">
        <f t="shared" si="16"/>
        <v>42.228921112572586</v>
      </c>
      <c r="E197" s="8">
        <f t="shared" si="15"/>
        <v>2.4925668088928745</v>
      </c>
      <c r="F197" s="8">
        <f t="shared" si="17"/>
        <v>2.4925668088928745</v>
      </c>
      <c r="G197" s="8">
        <f t="shared" si="18"/>
        <v>6.2128892967944074</v>
      </c>
      <c r="H197" s="5">
        <f t="shared" si="19"/>
        <v>6.079431241202133E-2</v>
      </c>
    </row>
    <row r="198" spans="1:8" ht="15.75" customHeight="1">
      <c r="A198" s="4">
        <v>197</v>
      </c>
      <c r="B198" s="3">
        <v>21747</v>
      </c>
      <c r="C198" s="4">
        <v>42</v>
      </c>
      <c r="D198" s="15">
        <f t="shared" si="16"/>
        <v>42.248005666015999</v>
      </c>
      <c r="E198" s="8">
        <f t="shared" si="15"/>
        <v>3.4925668088928745</v>
      </c>
      <c r="F198" s="8">
        <f t="shared" si="17"/>
        <v>3.4925668088928745</v>
      </c>
      <c r="G198" s="8">
        <f t="shared" si="18"/>
        <v>12.198022914580157</v>
      </c>
      <c r="H198" s="5">
        <f t="shared" si="19"/>
        <v>8.3156352592687485E-2</v>
      </c>
    </row>
    <row r="199" spans="1:8" ht="15.75" customHeight="1">
      <c r="A199" s="4">
        <v>198</v>
      </c>
      <c r="B199" s="3">
        <v>21748</v>
      </c>
      <c r="C199" s="4">
        <v>36</v>
      </c>
      <c r="D199" s="15">
        <f t="shared" si="16"/>
        <v>42.267090219459412</v>
      </c>
      <c r="E199" s="8">
        <f t="shared" si="15"/>
        <v>-2.5074331911071255</v>
      </c>
      <c r="F199" s="8">
        <f t="shared" si="17"/>
        <v>2.5074331911071255</v>
      </c>
      <c r="G199" s="8">
        <f t="shared" si="18"/>
        <v>6.2872212078656622</v>
      </c>
      <c r="H199" s="5">
        <f t="shared" si="19"/>
        <v>6.9650921975197927E-2</v>
      </c>
    </row>
    <row r="200" spans="1:8" ht="15.75" customHeight="1">
      <c r="A200" s="4">
        <v>199</v>
      </c>
      <c r="B200" s="3">
        <v>21749</v>
      </c>
      <c r="C200" s="4">
        <v>45</v>
      </c>
      <c r="D200" s="15">
        <f t="shared" si="16"/>
        <v>42.286174772902825</v>
      </c>
      <c r="E200" s="8">
        <f t="shared" si="15"/>
        <v>6.4925668088928745</v>
      </c>
      <c r="F200" s="8">
        <f t="shared" si="17"/>
        <v>6.4925668088928745</v>
      </c>
      <c r="G200" s="8">
        <f t="shared" si="18"/>
        <v>42.153423767937404</v>
      </c>
      <c r="H200" s="5">
        <f t="shared" si="19"/>
        <v>0.14427926241984165</v>
      </c>
    </row>
    <row r="201" spans="1:8" ht="15.75" customHeight="1">
      <c r="A201" s="4">
        <v>200</v>
      </c>
      <c r="B201" s="3">
        <v>21750</v>
      </c>
      <c r="C201" s="4">
        <v>45</v>
      </c>
      <c r="D201" s="15">
        <f t="shared" si="16"/>
        <v>42.305259326346238</v>
      </c>
      <c r="E201" s="8">
        <f t="shared" si="15"/>
        <v>6.4925668088928745</v>
      </c>
      <c r="F201" s="8">
        <f t="shared" si="17"/>
        <v>6.4925668088928745</v>
      </c>
      <c r="G201" s="8">
        <f t="shared" si="18"/>
        <v>42.153423767937404</v>
      </c>
      <c r="H201" s="5">
        <f t="shared" si="19"/>
        <v>0.14427926241984165</v>
      </c>
    </row>
    <row r="202" spans="1:8" ht="15.75" customHeight="1">
      <c r="A202" s="4">
        <v>201</v>
      </c>
      <c r="B202" s="3">
        <v>21751</v>
      </c>
      <c r="C202" s="4">
        <v>45</v>
      </c>
      <c r="D202" s="15">
        <f t="shared" si="16"/>
        <v>42.324343879789652</v>
      </c>
      <c r="E202" s="8">
        <f t="shared" si="15"/>
        <v>6.4925668088928745</v>
      </c>
      <c r="F202" s="8">
        <f t="shared" si="17"/>
        <v>6.4925668088928745</v>
      </c>
      <c r="G202" s="8">
        <f t="shared" si="18"/>
        <v>42.153423767937404</v>
      </c>
      <c r="H202" s="5">
        <f t="shared" si="19"/>
        <v>0.14427926241984165</v>
      </c>
    </row>
    <row r="203" spans="1:8" ht="15.75" customHeight="1">
      <c r="A203" s="4">
        <v>202</v>
      </c>
      <c r="B203" s="3">
        <v>21752</v>
      </c>
      <c r="C203" s="4">
        <v>47</v>
      </c>
      <c r="D203" s="15">
        <f t="shared" si="16"/>
        <v>42.343428433233065</v>
      </c>
      <c r="E203" s="8">
        <f t="shared" si="15"/>
        <v>8.4925668088928745</v>
      </c>
      <c r="F203" s="8">
        <f t="shared" si="17"/>
        <v>8.4925668088928745</v>
      </c>
      <c r="G203" s="8">
        <f t="shared" si="18"/>
        <v>72.123691003508895</v>
      </c>
      <c r="H203" s="5">
        <f t="shared" si="19"/>
        <v>0.18069291082750796</v>
      </c>
    </row>
    <row r="204" spans="1:8" ht="15.75" customHeight="1">
      <c r="A204" s="4">
        <v>203</v>
      </c>
      <c r="B204" s="3">
        <v>21753</v>
      </c>
      <c r="C204" s="4">
        <v>38</v>
      </c>
      <c r="D204" s="15">
        <f t="shared" si="16"/>
        <v>42.362512986676478</v>
      </c>
      <c r="E204" s="8">
        <f t="shared" si="15"/>
        <v>-0.50743319110712548</v>
      </c>
      <c r="F204" s="8">
        <f t="shared" si="17"/>
        <v>0.50743319110712548</v>
      </c>
      <c r="G204" s="8">
        <f t="shared" si="18"/>
        <v>0.25748844343716054</v>
      </c>
      <c r="H204" s="5">
        <f t="shared" si="19"/>
        <v>1.3353505029134882E-2</v>
      </c>
    </row>
    <row r="205" spans="1:8" ht="15.75" customHeight="1">
      <c r="A205" s="4">
        <v>204</v>
      </c>
      <c r="B205" s="3">
        <v>21754</v>
      </c>
      <c r="C205" s="4">
        <v>42</v>
      </c>
      <c r="D205" s="15">
        <f t="shared" si="16"/>
        <v>42.381597540119891</v>
      </c>
      <c r="E205" s="8">
        <f t="shared" si="15"/>
        <v>3.4925668088928745</v>
      </c>
      <c r="F205" s="8">
        <f t="shared" si="17"/>
        <v>3.4925668088928745</v>
      </c>
      <c r="G205" s="8">
        <f t="shared" si="18"/>
        <v>12.198022914580157</v>
      </c>
      <c r="H205" s="5">
        <f t="shared" si="19"/>
        <v>8.3156352592687485E-2</v>
      </c>
    </row>
    <row r="206" spans="1:8" ht="15.75" customHeight="1">
      <c r="A206" s="4">
        <v>205</v>
      </c>
      <c r="B206" s="3">
        <v>21755</v>
      </c>
      <c r="C206" s="4">
        <v>35</v>
      </c>
      <c r="D206" s="15">
        <f t="shared" si="16"/>
        <v>42.400682093563304</v>
      </c>
      <c r="E206" s="8">
        <f t="shared" si="15"/>
        <v>-3.5074331911071255</v>
      </c>
      <c r="F206" s="8">
        <f t="shared" si="17"/>
        <v>3.5074331911071255</v>
      </c>
      <c r="G206" s="8">
        <f t="shared" si="18"/>
        <v>12.302087590079914</v>
      </c>
      <c r="H206" s="5">
        <f t="shared" si="19"/>
        <v>0.10021237688877502</v>
      </c>
    </row>
    <row r="207" spans="1:8" ht="15.75" customHeight="1">
      <c r="A207" s="4">
        <v>206</v>
      </c>
      <c r="B207" s="3">
        <v>21756</v>
      </c>
      <c r="C207" s="4">
        <v>36</v>
      </c>
      <c r="D207" s="15">
        <f t="shared" si="16"/>
        <v>42.419766647006711</v>
      </c>
      <c r="E207" s="8">
        <f t="shared" si="15"/>
        <v>-2.5074331911071255</v>
      </c>
      <c r="F207" s="8">
        <f t="shared" si="17"/>
        <v>2.5074331911071255</v>
      </c>
      <c r="G207" s="8">
        <f t="shared" si="18"/>
        <v>6.2872212078656622</v>
      </c>
      <c r="H207" s="5">
        <f t="shared" si="19"/>
        <v>6.9650921975197927E-2</v>
      </c>
    </row>
    <row r="208" spans="1:8" ht="15.75" customHeight="1">
      <c r="A208" s="4">
        <v>207</v>
      </c>
      <c r="B208" s="3">
        <v>21757</v>
      </c>
      <c r="C208" s="4">
        <v>39</v>
      </c>
      <c r="D208" s="15">
        <f t="shared" si="16"/>
        <v>42.438851200450124</v>
      </c>
      <c r="E208" s="8">
        <f t="shared" si="15"/>
        <v>0.49256680889287452</v>
      </c>
      <c r="F208" s="8">
        <f t="shared" si="17"/>
        <v>0.49256680889287452</v>
      </c>
      <c r="G208" s="8">
        <f t="shared" si="18"/>
        <v>0.24262206122290958</v>
      </c>
      <c r="H208" s="5">
        <f t="shared" si="19"/>
        <v>1.2629918176740373E-2</v>
      </c>
    </row>
    <row r="209" spans="1:8" ht="15.75" customHeight="1">
      <c r="A209" s="4">
        <v>208</v>
      </c>
      <c r="B209" s="3">
        <v>21758</v>
      </c>
      <c r="C209" s="4">
        <v>45</v>
      </c>
      <c r="D209" s="15">
        <f t="shared" si="16"/>
        <v>42.457935753893537</v>
      </c>
      <c r="E209" s="8">
        <f t="shared" si="15"/>
        <v>6.4925668088928745</v>
      </c>
      <c r="F209" s="8">
        <f t="shared" si="17"/>
        <v>6.4925668088928745</v>
      </c>
      <c r="G209" s="8">
        <f t="shared" si="18"/>
        <v>42.153423767937404</v>
      </c>
      <c r="H209" s="5">
        <f t="shared" si="19"/>
        <v>0.14427926241984165</v>
      </c>
    </row>
    <row r="210" spans="1:8" ht="15.75" customHeight="1">
      <c r="A210" s="4">
        <v>209</v>
      </c>
      <c r="B210" s="3">
        <v>21759</v>
      </c>
      <c r="C210" s="4">
        <v>43</v>
      </c>
      <c r="D210" s="15">
        <f t="shared" si="16"/>
        <v>42.47702030733695</v>
      </c>
      <c r="E210" s="8">
        <f t="shared" si="15"/>
        <v>4.4925668088928745</v>
      </c>
      <c r="F210" s="8">
        <f t="shared" si="17"/>
        <v>4.4925668088928745</v>
      </c>
      <c r="G210" s="8">
        <f t="shared" si="18"/>
        <v>20.183156532365906</v>
      </c>
      <c r="H210" s="5">
        <f t="shared" si="19"/>
        <v>0.10447829788122964</v>
      </c>
    </row>
    <row r="211" spans="1:8" ht="15.75" customHeight="1">
      <c r="A211" s="4">
        <v>210</v>
      </c>
      <c r="B211" s="3">
        <v>21760</v>
      </c>
      <c r="C211" s="4">
        <v>47</v>
      </c>
      <c r="D211" s="15">
        <f t="shared" si="16"/>
        <v>42.496104860780363</v>
      </c>
      <c r="E211" s="8">
        <f t="shared" si="15"/>
        <v>8.4925668088928745</v>
      </c>
      <c r="F211" s="8">
        <f t="shared" si="17"/>
        <v>8.4925668088928745</v>
      </c>
      <c r="G211" s="8">
        <f t="shared" si="18"/>
        <v>72.123691003508895</v>
      </c>
      <c r="H211" s="5">
        <f t="shared" si="19"/>
        <v>0.18069291082750796</v>
      </c>
    </row>
    <row r="212" spans="1:8" ht="15.75" customHeight="1">
      <c r="A212" s="4">
        <v>211</v>
      </c>
      <c r="B212" s="3">
        <v>21761</v>
      </c>
      <c r="C212" s="4">
        <v>36</v>
      </c>
      <c r="D212" s="15">
        <f t="shared" si="16"/>
        <v>42.515189414223777</v>
      </c>
      <c r="E212" s="8">
        <f t="shared" si="15"/>
        <v>-2.5074331911071255</v>
      </c>
      <c r="F212" s="8">
        <f t="shared" si="17"/>
        <v>2.5074331911071255</v>
      </c>
      <c r="G212" s="8">
        <f t="shared" si="18"/>
        <v>6.2872212078656622</v>
      </c>
      <c r="H212" s="5">
        <f t="shared" si="19"/>
        <v>6.9650921975197927E-2</v>
      </c>
    </row>
    <row r="213" spans="1:8" ht="15.75" customHeight="1">
      <c r="A213" s="4">
        <v>212</v>
      </c>
      <c r="B213" s="3">
        <v>21762</v>
      </c>
      <c r="C213" s="4">
        <v>41</v>
      </c>
      <c r="D213" s="15">
        <f t="shared" si="16"/>
        <v>42.53427396766719</v>
      </c>
      <c r="E213" s="8">
        <f t="shared" si="15"/>
        <v>2.4925668088928745</v>
      </c>
      <c r="F213" s="8">
        <f t="shared" si="17"/>
        <v>2.4925668088928745</v>
      </c>
      <c r="G213" s="8">
        <f t="shared" si="18"/>
        <v>6.2128892967944074</v>
      </c>
      <c r="H213" s="5">
        <f t="shared" si="19"/>
        <v>6.079431241202133E-2</v>
      </c>
    </row>
    <row r="214" spans="1:8" ht="15.75" customHeight="1">
      <c r="A214" s="4">
        <v>213</v>
      </c>
      <c r="B214" s="3">
        <v>21763</v>
      </c>
      <c r="C214" s="4">
        <v>50</v>
      </c>
      <c r="D214" s="15">
        <f t="shared" si="16"/>
        <v>42.553358521110603</v>
      </c>
      <c r="E214" s="8">
        <f t="shared" si="15"/>
        <v>11.492566808892875</v>
      </c>
      <c r="F214" s="8">
        <f t="shared" si="17"/>
        <v>11.492566808892875</v>
      </c>
      <c r="G214" s="8">
        <f t="shared" si="18"/>
        <v>132.07909185686614</v>
      </c>
      <c r="H214" s="5">
        <f t="shared" si="19"/>
        <v>0.2298513361778575</v>
      </c>
    </row>
    <row r="215" spans="1:8" ht="15.75" customHeight="1">
      <c r="A215" s="4">
        <v>214</v>
      </c>
      <c r="B215" s="3">
        <v>21764</v>
      </c>
      <c r="C215" s="4">
        <v>39</v>
      </c>
      <c r="D215" s="15">
        <f t="shared" si="16"/>
        <v>42.572443074554016</v>
      </c>
      <c r="E215" s="8">
        <f t="shared" si="15"/>
        <v>0.49256680889287452</v>
      </c>
      <c r="F215" s="8">
        <f t="shared" si="17"/>
        <v>0.49256680889287452</v>
      </c>
      <c r="G215" s="8">
        <f t="shared" si="18"/>
        <v>0.24262206122290958</v>
      </c>
      <c r="H215" s="5">
        <f t="shared" si="19"/>
        <v>1.2629918176740373E-2</v>
      </c>
    </row>
    <row r="216" spans="1:8" ht="15.75" customHeight="1">
      <c r="A216" s="4">
        <v>215</v>
      </c>
      <c r="B216" s="3">
        <v>21765</v>
      </c>
      <c r="C216" s="4">
        <v>41</v>
      </c>
      <c r="D216" s="15">
        <f t="shared" si="16"/>
        <v>42.591527627997429</v>
      </c>
      <c r="E216" s="8">
        <f t="shared" si="15"/>
        <v>2.4925668088928745</v>
      </c>
      <c r="F216" s="8">
        <f t="shared" si="17"/>
        <v>2.4925668088928745</v>
      </c>
      <c r="G216" s="8">
        <f t="shared" si="18"/>
        <v>6.2128892967944074</v>
      </c>
      <c r="H216" s="5">
        <f t="shared" si="19"/>
        <v>6.079431241202133E-2</v>
      </c>
    </row>
    <row r="217" spans="1:8" ht="15.75" customHeight="1">
      <c r="A217" s="4">
        <v>216</v>
      </c>
      <c r="B217" s="3">
        <v>21766</v>
      </c>
      <c r="C217" s="4">
        <v>46</v>
      </c>
      <c r="D217" s="15">
        <f t="shared" si="16"/>
        <v>42.610612181440843</v>
      </c>
      <c r="E217" s="8">
        <f t="shared" si="15"/>
        <v>7.4925668088928745</v>
      </c>
      <c r="F217" s="8">
        <f t="shared" si="17"/>
        <v>7.4925668088928745</v>
      </c>
      <c r="G217" s="8">
        <f t="shared" si="18"/>
        <v>56.138557385723153</v>
      </c>
      <c r="H217" s="5">
        <f t="shared" si="19"/>
        <v>0.16288188714984511</v>
      </c>
    </row>
    <row r="218" spans="1:8" ht="15.75" customHeight="1">
      <c r="A218" s="4">
        <v>217</v>
      </c>
      <c r="B218" s="3">
        <v>21767</v>
      </c>
      <c r="C218" s="4">
        <v>64</v>
      </c>
      <c r="D218" s="15">
        <f t="shared" si="16"/>
        <v>42.629696734884249</v>
      </c>
      <c r="E218" s="8">
        <f t="shared" si="15"/>
        <v>25.492566808892875</v>
      </c>
      <c r="F218" s="8">
        <f t="shared" si="17"/>
        <v>25.492566808892875</v>
      </c>
      <c r="G218" s="8">
        <f t="shared" si="18"/>
        <v>649.8709625058666</v>
      </c>
      <c r="H218" s="5">
        <f t="shared" si="19"/>
        <v>0.39832135638895116</v>
      </c>
    </row>
    <row r="219" spans="1:8" ht="15.75" customHeight="1">
      <c r="A219" s="4">
        <v>218</v>
      </c>
      <c r="B219" s="3">
        <v>21768</v>
      </c>
      <c r="C219" s="4">
        <v>45</v>
      </c>
      <c r="D219" s="15">
        <f t="shared" si="16"/>
        <v>42.648781288327662</v>
      </c>
      <c r="E219" s="8">
        <f t="shared" si="15"/>
        <v>6.4925668088928745</v>
      </c>
      <c r="F219" s="8">
        <f t="shared" si="17"/>
        <v>6.4925668088928745</v>
      </c>
      <c r="G219" s="8">
        <f t="shared" si="18"/>
        <v>42.153423767937404</v>
      </c>
      <c r="H219" s="5">
        <f t="shared" si="19"/>
        <v>0.14427926241984165</v>
      </c>
    </row>
    <row r="220" spans="1:8" ht="15.75" customHeight="1">
      <c r="A220" s="4">
        <v>219</v>
      </c>
      <c r="B220" s="3">
        <v>21769</v>
      </c>
      <c r="C220" s="4">
        <v>34</v>
      </c>
      <c r="D220" s="15">
        <f t="shared" si="16"/>
        <v>42.667865841771075</v>
      </c>
      <c r="E220" s="8">
        <f t="shared" si="15"/>
        <v>-4.5074331911071255</v>
      </c>
      <c r="F220" s="8">
        <f t="shared" si="17"/>
        <v>4.5074331911071255</v>
      </c>
      <c r="G220" s="8">
        <f t="shared" si="18"/>
        <v>20.316953972294165</v>
      </c>
      <c r="H220" s="5">
        <f t="shared" si="19"/>
        <v>0.13257156444432722</v>
      </c>
    </row>
    <row r="221" spans="1:8" ht="15.75" customHeight="1">
      <c r="A221" s="4">
        <v>220</v>
      </c>
      <c r="B221" s="3">
        <v>21770</v>
      </c>
      <c r="C221" s="4">
        <v>38</v>
      </c>
      <c r="D221" s="15">
        <f t="shared" si="16"/>
        <v>42.686950395214488</v>
      </c>
      <c r="E221" s="8">
        <f t="shared" si="15"/>
        <v>-0.50743319110712548</v>
      </c>
      <c r="F221" s="8">
        <f t="shared" si="17"/>
        <v>0.50743319110712548</v>
      </c>
      <c r="G221" s="8">
        <f t="shared" si="18"/>
        <v>0.25748844343716054</v>
      </c>
      <c r="H221" s="5">
        <f t="shared" si="19"/>
        <v>1.3353505029134882E-2</v>
      </c>
    </row>
    <row r="222" spans="1:8" ht="15.75" customHeight="1">
      <c r="A222" s="4">
        <v>221</v>
      </c>
      <c r="B222" s="3">
        <v>21771</v>
      </c>
      <c r="C222" s="4">
        <v>44</v>
      </c>
      <c r="D222" s="15">
        <f t="shared" si="16"/>
        <v>42.706034948657901</v>
      </c>
      <c r="E222" s="8">
        <f t="shared" si="15"/>
        <v>5.4925668088928745</v>
      </c>
      <c r="F222" s="8">
        <f t="shared" si="17"/>
        <v>5.4925668088928745</v>
      </c>
      <c r="G222" s="8">
        <f t="shared" si="18"/>
        <v>30.168290150151655</v>
      </c>
      <c r="H222" s="5">
        <f t="shared" si="19"/>
        <v>0.12483106383847442</v>
      </c>
    </row>
    <row r="223" spans="1:8" ht="15.75" customHeight="1">
      <c r="A223" s="4">
        <v>222</v>
      </c>
      <c r="B223" s="3">
        <v>21772</v>
      </c>
      <c r="C223" s="4">
        <v>48</v>
      </c>
      <c r="D223" s="15">
        <f t="shared" si="16"/>
        <v>42.725119502101315</v>
      </c>
      <c r="E223" s="8">
        <f t="shared" si="15"/>
        <v>9.4925668088928745</v>
      </c>
      <c r="F223" s="8">
        <f t="shared" si="17"/>
        <v>9.4925668088928745</v>
      </c>
      <c r="G223" s="8">
        <f t="shared" si="18"/>
        <v>90.108824621294644</v>
      </c>
      <c r="H223" s="5">
        <f t="shared" si="19"/>
        <v>0.19776180851860156</v>
      </c>
    </row>
    <row r="224" spans="1:8" ht="15.75" customHeight="1">
      <c r="A224" s="4">
        <v>223</v>
      </c>
      <c r="B224" s="3">
        <v>21773</v>
      </c>
      <c r="C224" s="4">
        <v>46</v>
      </c>
      <c r="D224" s="15">
        <f t="shared" si="16"/>
        <v>42.744204055544728</v>
      </c>
      <c r="E224" s="8">
        <f t="shared" si="15"/>
        <v>7.4925668088928745</v>
      </c>
      <c r="F224" s="8">
        <f t="shared" si="17"/>
        <v>7.4925668088928745</v>
      </c>
      <c r="G224" s="8">
        <f t="shared" si="18"/>
        <v>56.138557385723153</v>
      </c>
      <c r="H224" s="5">
        <f t="shared" si="19"/>
        <v>0.16288188714984511</v>
      </c>
    </row>
    <row r="225" spans="1:8" ht="15.75" customHeight="1">
      <c r="A225" s="4">
        <v>224</v>
      </c>
      <c r="B225" s="3">
        <v>21774</v>
      </c>
      <c r="C225" s="4">
        <v>44</v>
      </c>
      <c r="D225" s="15">
        <f t="shared" si="16"/>
        <v>42.763288608988141</v>
      </c>
      <c r="E225" s="8">
        <f t="shared" si="15"/>
        <v>5.4925668088928745</v>
      </c>
      <c r="F225" s="8">
        <f t="shared" si="17"/>
        <v>5.4925668088928745</v>
      </c>
      <c r="G225" s="8">
        <f t="shared" si="18"/>
        <v>30.168290150151655</v>
      </c>
      <c r="H225" s="5">
        <f t="shared" si="19"/>
        <v>0.12483106383847442</v>
      </c>
    </row>
    <row r="226" spans="1:8" ht="15.75" customHeight="1">
      <c r="A226" s="4">
        <v>225</v>
      </c>
      <c r="B226" s="3">
        <v>21775</v>
      </c>
      <c r="C226" s="4">
        <v>37</v>
      </c>
      <c r="D226" s="15">
        <f t="shared" si="16"/>
        <v>42.782373162431554</v>
      </c>
      <c r="E226" s="8">
        <f t="shared" si="15"/>
        <v>-1.5074331911071255</v>
      </c>
      <c r="F226" s="8">
        <f t="shared" si="17"/>
        <v>1.5074331911071255</v>
      </c>
      <c r="G226" s="8">
        <f t="shared" si="18"/>
        <v>2.2723548256514117</v>
      </c>
      <c r="H226" s="5">
        <f t="shared" si="19"/>
        <v>4.0741437597489875E-2</v>
      </c>
    </row>
    <row r="227" spans="1:8" ht="15.75" customHeight="1">
      <c r="A227" s="4">
        <v>226</v>
      </c>
      <c r="B227" s="3">
        <v>21776</v>
      </c>
      <c r="C227" s="4">
        <v>39</v>
      </c>
      <c r="D227" s="15">
        <f t="shared" si="16"/>
        <v>42.801457715874967</v>
      </c>
      <c r="E227" s="8">
        <f t="shared" si="15"/>
        <v>0.49256680889287452</v>
      </c>
      <c r="F227" s="8">
        <f t="shared" si="17"/>
        <v>0.49256680889287452</v>
      </c>
      <c r="G227" s="8">
        <f t="shared" si="18"/>
        <v>0.24262206122290958</v>
      </c>
      <c r="H227" s="5">
        <f t="shared" si="19"/>
        <v>1.2629918176740373E-2</v>
      </c>
    </row>
    <row r="228" spans="1:8" ht="15.75" customHeight="1">
      <c r="A228" s="4">
        <v>227</v>
      </c>
      <c r="B228" s="3">
        <v>21777</v>
      </c>
      <c r="C228" s="4">
        <v>44</v>
      </c>
      <c r="D228" s="15">
        <f t="shared" si="16"/>
        <v>42.820542269318381</v>
      </c>
      <c r="E228" s="8">
        <f t="shared" si="15"/>
        <v>5.4925668088928745</v>
      </c>
      <c r="F228" s="8">
        <f t="shared" si="17"/>
        <v>5.4925668088928745</v>
      </c>
      <c r="G228" s="8">
        <f t="shared" si="18"/>
        <v>30.168290150151655</v>
      </c>
      <c r="H228" s="5">
        <f t="shared" si="19"/>
        <v>0.12483106383847442</v>
      </c>
    </row>
    <row r="229" spans="1:8" ht="15.75" customHeight="1">
      <c r="A229" s="4">
        <v>228</v>
      </c>
      <c r="B229" s="3">
        <v>21778</v>
      </c>
      <c r="C229" s="4">
        <v>45</v>
      </c>
      <c r="D229" s="15">
        <f t="shared" si="16"/>
        <v>42.839626822761794</v>
      </c>
      <c r="E229" s="8">
        <f t="shared" si="15"/>
        <v>6.4925668088928745</v>
      </c>
      <c r="F229" s="8">
        <f t="shared" si="17"/>
        <v>6.4925668088928745</v>
      </c>
      <c r="G229" s="8">
        <f t="shared" si="18"/>
        <v>42.153423767937404</v>
      </c>
      <c r="H229" s="5">
        <f t="shared" si="19"/>
        <v>0.14427926241984165</v>
      </c>
    </row>
    <row r="230" spans="1:8" ht="15.75" customHeight="1">
      <c r="A230" s="4">
        <v>229</v>
      </c>
      <c r="B230" s="3">
        <v>21779</v>
      </c>
      <c r="C230" s="4">
        <v>33</v>
      </c>
      <c r="D230" s="15">
        <f t="shared" si="16"/>
        <v>42.858711376205207</v>
      </c>
      <c r="E230" s="8">
        <f t="shared" si="15"/>
        <v>-5.5074331911071255</v>
      </c>
      <c r="F230" s="8">
        <f t="shared" si="17"/>
        <v>5.5074331911071255</v>
      </c>
      <c r="G230" s="8">
        <f t="shared" si="18"/>
        <v>30.331820354508416</v>
      </c>
      <c r="H230" s="5">
        <f t="shared" si="19"/>
        <v>0.16689191488203411</v>
      </c>
    </row>
    <row r="231" spans="1:8" ht="15.75" customHeight="1">
      <c r="A231" s="4">
        <v>230</v>
      </c>
      <c r="B231" s="3">
        <v>21780</v>
      </c>
      <c r="C231" s="4">
        <v>44</v>
      </c>
      <c r="D231" s="15">
        <f t="shared" si="16"/>
        <v>42.877795929648613</v>
      </c>
      <c r="E231" s="8">
        <f t="shared" si="15"/>
        <v>5.4925668088928745</v>
      </c>
      <c r="F231" s="8">
        <f t="shared" si="17"/>
        <v>5.4925668088928745</v>
      </c>
      <c r="G231" s="8">
        <f t="shared" si="18"/>
        <v>30.168290150151655</v>
      </c>
      <c r="H231" s="5">
        <f t="shared" si="19"/>
        <v>0.12483106383847442</v>
      </c>
    </row>
    <row r="232" spans="1:8" ht="15.75" customHeight="1">
      <c r="A232" s="4">
        <v>231</v>
      </c>
      <c r="B232" s="3">
        <v>21781</v>
      </c>
      <c r="C232" s="4">
        <v>38</v>
      </c>
      <c r="D232" s="15">
        <f t="shared" si="16"/>
        <v>42.896880483092026</v>
      </c>
      <c r="E232" s="8">
        <f t="shared" si="15"/>
        <v>-0.50743319110712548</v>
      </c>
      <c r="F232" s="8">
        <f t="shared" si="17"/>
        <v>0.50743319110712548</v>
      </c>
      <c r="G232" s="8">
        <f t="shared" si="18"/>
        <v>0.25748844343716054</v>
      </c>
      <c r="H232" s="5">
        <f t="shared" si="19"/>
        <v>1.3353505029134882E-2</v>
      </c>
    </row>
    <row r="233" spans="1:8" ht="15.75" customHeight="1">
      <c r="A233" s="4">
        <v>232</v>
      </c>
      <c r="B233" s="3">
        <v>21782</v>
      </c>
      <c r="C233" s="4">
        <v>46</v>
      </c>
      <c r="D233" s="15">
        <f t="shared" si="16"/>
        <v>42.915965036535439</v>
      </c>
      <c r="E233" s="8">
        <f t="shared" si="15"/>
        <v>7.4925668088928745</v>
      </c>
      <c r="F233" s="8">
        <f t="shared" si="17"/>
        <v>7.4925668088928745</v>
      </c>
      <c r="G233" s="8">
        <f t="shared" si="18"/>
        <v>56.138557385723153</v>
      </c>
      <c r="H233" s="5">
        <f t="shared" si="19"/>
        <v>0.16288188714984511</v>
      </c>
    </row>
    <row r="234" spans="1:8" ht="15.75" customHeight="1">
      <c r="A234" s="4">
        <v>233</v>
      </c>
      <c r="B234" s="3">
        <v>21783</v>
      </c>
      <c r="C234" s="4">
        <v>46</v>
      </c>
      <c r="D234" s="15">
        <f t="shared" si="16"/>
        <v>42.935049589978853</v>
      </c>
      <c r="E234" s="8">
        <f t="shared" si="15"/>
        <v>7.4925668088928745</v>
      </c>
      <c r="F234" s="8">
        <f t="shared" si="17"/>
        <v>7.4925668088928745</v>
      </c>
      <c r="G234" s="8">
        <f t="shared" si="18"/>
        <v>56.138557385723153</v>
      </c>
      <c r="H234" s="5">
        <f t="shared" si="19"/>
        <v>0.16288188714984511</v>
      </c>
    </row>
    <row r="235" spans="1:8" ht="15.75" customHeight="1">
      <c r="A235" s="4">
        <v>234</v>
      </c>
      <c r="B235" s="3">
        <v>21784</v>
      </c>
      <c r="C235" s="4">
        <v>40</v>
      </c>
      <c r="D235" s="15">
        <f t="shared" si="16"/>
        <v>42.954134143422266</v>
      </c>
      <c r="E235" s="8">
        <f t="shared" si="15"/>
        <v>1.4925668088928745</v>
      </c>
      <c r="F235" s="8">
        <f t="shared" si="17"/>
        <v>1.4925668088928745</v>
      </c>
      <c r="G235" s="8">
        <f t="shared" si="18"/>
        <v>2.2277556790086588</v>
      </c>
      <c r="H235" s="5">
        <f t="shared" si="19"/>
        <v>3.7314170222321863E-2</v>
      </c>
    </row>
    <row r="236" spans="1:8" ht="15.75" customHeight="1">
      <c r="A236" s="4">
        <v>235</v>
      </c>
      <c r="B236" s="3">
        <v>21785</v>
      </c>
      <c r="C236" s="4">
        <v>39</v>
      </c>
      <c r="D236" s="15">
        <f t="shared" si="16"/>
        <v>42.973218696865679</v>
      </c>
      <c r="E236" s="8">
        <f t="shared" si="15"/>
        <v>0.49256680889287452</v>
      </c>
      <c r="F236" s="8">
        <f t="shared" si="17"/>
        <v>0.49256680889287452</v>
      </c>
      <c r="G236" s="8">
        <f t="shared" si="18"/>
        <v>0.24262206122290958</v>
      </c>
      <c r="H236" s="5">
        <f t="shared" si="19"/>
        <v>1.2629918176740373E-2</v>
      </c>
    </row>
    <row r="237" spans="1:8" ht="15.75" customHeight="1">
      <c r="A237" s="4">
        <v>236</v>
      </c>
      <c r="B237" s="3">
        <v>21786</v>
      </c>
      <c r="C237" s="4">
        <v>44</v>
      </c>
      <c r="D237" s="15">
        <f t="shared" si="16"/>
        <v>42.992303250309092</v>
      </c>
      <c r="E237" s="8">
        <f t="shared" si="15"/>
        <v>5.4925668088928745</v>
      </c>
      <c r="F237" s="8">
        <f t="shared" si="17"/>
        <v>5.4925668088928745</v>
      </c>
      <c r="G237" s="8">
        <f t="shared" si="18"/>
        <v>30.168290150151655</v>
      </c>
      <c r="H237" s="5">
        <f t="shared" si="19"/>
        <v>0.12483106383847442</v>
      </c>
    </row>
    <row r="238" spans="1:8" ht="15.75" customHeight="1">
      <c r="A238" s="4">
        <v>237</v>
      </c>
      <c r="B238" s="3">
        <v>21787</v>
      </c>
      <c r="C238" s="4">
        <v>48</v>
      </c>
      <c r="D238" s="15">
        <f t="shared" si="16"/>
        <v>43.011387803752505</v>
      </c>
      <c r="E238" s="8">
        <f t="shared" si="15"/>
        <v>9.4925668088928745</v>
      </c>
      <c r="F238" s="8">
        <f t="shared" si="17"/>
        <v>9.4925668088928745</v>
      </c>
      <c r="G238" s="8">
        <f t="shared" si="18"/>
        <v>90.108824621294644</v>
      </c>
      <c r="H238" s="5">
        <f t="shared" si="19"/>
        <v>0.19776180851860156</v>
      </c>
    </row>
    <row r="239" spans="1:8" ht="15.75" customHeight="1">
      <c r="A239" s="4">
        <v>238</v>
      </c>
      <c r="B239" s="3">
        <v>21788</v>
      </c>
      <c r="C239" s="4">
        <v>50</v>
      </c>
      <c r="D239" s="15">
        <f t="shared" si="16"/>
        <v>43.030472357195919</v>
      </c>
      <c r="E239" s="8">
        <f t="shared" si="15"/>
        <v>11.492566808892875</v>
      </c>
      <c r="F239" s="8">
        <f t="shared" si="17"/>
        <v>11.492566808892875</v>
      </c>
      <c r="G239" s="8">
        <f t="shared" si="18"/>
        <v>132.07909185686614</v>
      </c>
      <c r="H239" s="5">
        <f t="shared" si="19"/>
        <v>0.2298513361778575</v>
      </c>
    </row>
    <row r="240" spans="1:8" ht="15.75" customHeight="1">
      <c r="A240" s="4">
        <v>239</v>
      </c>
      <c r="B240" s="3">
        <v>21789</v>
      </c>
      <c r="C240" s="4">
        <v>41</v>
      </c>
      <c r="D240" s="15">
        <f t="shared" si="16"/>
        <v>43.049556910639332</v>
      </c>
      <c r="E240" s="8">
        <f t="shared" si="15"/>
        <v>2.4925668088928745</v>
      </c>
      <c r="F240" s="8">
        <f t="shared" si="17"/>
        <v>2.4925668088928745</v>
      </c>
      <c r="G240" s="8">
        <f t="shared" si="18"/>
        <v>6.2128892967944074</v>
      </c>
      <c r="H240" s="5">
        <f t="shared" si="19"/>
        <v>6.079431241202133E-2</v>
      </c>
    </row>
    <row r="241" spans="1:8" ht="15.75" customHeight="1">
      <c r="A241" s="4">
        <v>240</v>
      </c>
      <c r="B241" s="3">
        <v>21790</v>
      </c>
      <c r="C241" s="4">
        <v>42</v>
      </c>
      <c r="D241" s="15">
        <f t="shared" si="16"/>
        <v>43.068641464082745</v>
      </c>
      <c r="E241" s="8">
        <f t="shared" si="15"/>
        <v>3.4925668088928745</v>
      </c>
      <c r="F241" s="8">
        <f t="shared" si="17"/>
        <v>3.4925668088928745</v>
      </c>
      <c r="G241" s="8">
        <f t="shared" si="18"/>
        <v>12.198022914580157</v>
      </c>
      <c r="H241" s="5">
        <f t="shared" si="19"/>
        <v>8.3156352592687485E-2</v>
      </c>
    </row>
    <row r="242" spans="1:8" ht="15.75" customHeight="1">
      <c r="A242" s="4">
        <v>241</v>
      </c>
      <c r="B242" s="3">
        <v>21791</v>
      </c>
      <c r="C242" s="4">
        <v>51</v>
      </c>
      <c r="D242" s="15">
        <f t="shared" si="16"/>
        <v>43.087726017526158</v>
      </c>
      <c r="E242" s="8">
        <f t="shared" si="15"/>
        <v>12.492566808892875</v>
      </c>
      <c r="F242" s="8">
        <f t="shared" si="17"/>
        <v>12.492566808892875</v>
      </c>
      <c r="G242" s="8">
        <f t="shared" si="18"/>
        <v>156.06422547465189</v>
      </c>
      <c r="H242" s="5">
        <f t="shared" si="19"/>
        <v>0.24495229037044852</v>
      </c>
    </row>
    <row r="243" spans="1:8" ht="15.75" customHeight="1">
      <c r="A243" s="4">
        <v>242</v>
      </c>
      <c r="B243" s="3">
        <v>21792</v>
      </c>
      <c r="C243" s="4">
        <v>41</v>
      </c>
      <c r="D243" s="15">
        <f t="shared" si="16"/>
        <v>43.106810570969571</v>
      </c>
      <c r="E243" s="8">
        <f t="shared" si="15"/>
        <v>2.4925668088928745</v>
      </c>
      <c r="F243" s="8">
        <f t="shared" si="17"/>
        <v>2.4925668088928745</v>
      </c>
      <c r="G243" s="8">
        <f t="shared" si="18"/>
        <v>6.2128892967944074</v>
      </c>
      <c r="H243" s="5">
        <f t="shared" si="19"/>
        <v>6.079431241202133E-2</v>
      </c>
    </row>
    <row r="244" spans="1:8" ht="15.75" customHeight="1">
      <c r="A244" s="4">
        <v>243</v>
      </c>
      <c r="B244" s="3">
        <v>21793</v>
      </c>
      <c r="C244" s="4">
        <v>44</v>
      </c>
      <c r="D244" s="15">
        <f t="shared" si="16"/>
        <v>43.125895124412978</v>
      </c>
      <c r="E244" s="8">
        <f t="shared" si="15"/>
        <v>5.4925668088928745</v>
      </c>
      <c r="F244" s="8">
        <f t="shared" si="17"/>
        <v>5.4925668088928745</v>
      </c>
      <c r="G244" s="8">
        <f t="shared" si="18"/>
        <v>30.168290150151655</v>
      </c>
      <c r="H244" s="5">
        <f t="shared" si="19"/>
        <v>0.12483106383847442</v>
      </c>
    </row>
    <row r="245" spans="1:8" ht="15.75" customHeight="1">
      <c r="A245" s="4">
        <v>244</v>
      </c>
      <c r="B245" s="3">
        <v>21794</v>
      </c>
      <c r="C245" s="4">
        <v>38</v>
      </c>
      <c r="D245" s="15">
        <f t="shared" si="16"/>
        <v>43.144979677856391</v>
      </c>
      <c r="E245" s="8">
        <f t="shared" si="15"/>
        <v>-0.50743319110712548</v>
      </c>
      <c r="F245" s="8">
        <f t="shared" si="17"/>
        <v>0.50743319110712548</v>
      </c>
      <c r="G245" s="8">
        <f t="shared" si="18"/>
        <v>0.25748844343716054</v>
      </c>
      <c r="H245" s="5">
        <f t="shared" si="19"/>
        <v>1.3353505029134882E-2</v>
      </c>
    </row>
    <row r="246" spans="1:8" ht="15.75" customHeight="1">
      <c r="A246" s="4">
        <v>245</v>
      </c>
      <c r="B246" s="3">
        <v>21795</v>
      </c>
      <c r="C246" s="4">
        <v>68</v>
      </c>
      <c r="D246" s="15">
        <f t="shared" si="16"/>
        <v>43.164064231299804</v>
      </c>
      <c r="E246" s="8">
        <f t="shared" si="15"/>
        <v>29.492566808892875</v>
      </c>
      <c r="F246" s="8">
        <f t="shared" si="17"/>
        <v>29.492566808892875</v>
      </c>
      <c r="G246" s="8">
        <f t="shared" si="18"/>
        <v>869.8114969770096</v>
      </c>
      <c r="H246" s="5">
        <f t="shared" si="19"/>
        <v>0.43371421777783636</v>
      </c>
    </row>
    <row r="247" spans="1:8" ht="15.75" customHeight="1">
      <c r="A247" s="4">
        <v>246</v>
      </c>
      <c r="B247" s="3">
        <v>21796</v>
      </c>
      <c r="C247" s="4">
        <v>40</v>
      </c>
      <c r="D247" s="15">
        <f t="shared" si="16"/>
        <v>43.183148784743217</v>
      </c>
      <c r="E247" s="8">
        <f t="shared" si="15"/>
        <v>1.4925668088928745</v>
      </c>
      <c r="F247" s="8">
        <f t="shared" si="17"/>
        <v>1.4925668088928745</v>
      </c>
      <c r="G247" s="8">
        <f t="shared" si="18"/>
        <v>2.2277556790086588</v>
      </c>
      <c r="H247" s="5">
        <f t="shared" si="19"/>
        <v>3.7314170222321863E-2</v>
      </c>
    </row>
    <row r="248" spans="1:8" ht="15.75" customHeight="1">
      <c r="A248" s="4">
        <v>247</v>
      </c>
      <c r="B248" s="3">
        <v>21797</v>
      </c>
      <c r="C248" s="4">
        <v>42</v>
      </c>
      <c r="D248" s="15">
        <f t="shared" si="16"/>
        <v>43.20223333818663</v>
      </c>
      <c r="E248" s="8">
        <f t="shared" si="15"/>
        <v>3.4925668088928745</v>
      </c>
      <c r="F248" s="8">
        <f t="shared" si="17"/>
        <v>3.4925668088928745</v>
      </c>
      <c r="G248" s="8">
        <f t="shared" si="18"/>
        <v>12.198022914580157</v>
      </c>
      <c r="H248" s="5">
        <f t="shared" si="19"/>
        <v>8.3156352592687485E-2</v>
      </c>
    </row>
    <row r="249" spans="1:8" ht="15.75" customHeight="1">
      <c r="A249" s="4">
        <v>248</v>
      </c>
      <c r="B249" s="3">
        <v>21798</v>
      </c>
      <c r="C249" s="4">
        <v>51</v>
      </c>
      <c r="D249" s="15">
        <f t="shared" si="16"/>
        <v>43.221317891630044</v>
      </c>
      <c r="E249" s="8">
        <f t="shared" si="15"/>
        <v>12.492566808892875</v>
      </c>
      <c r="F249" s="8">
        <f t="shared" si="17"/>
        <v>12.492566808892875</v>
      </c>
      <c r="G249" s="8">
        <f t="shared" si="18"/>
        <v>156.06422547465189</v>
      </c>
      <c r="H249" s="5">
        <f t="shared" si="19"/>
        <v>0.24495229037044852</v>
      </c>
    </row>
    <row r="250" spans="1:8" ht="15.75" customHeight="1">
      <c r="A250" s="4">
        <v>249</v>
      </c>
      <c r="B250" s="3">
        <v>21799</v>
      </c>
      <c r="C250" s="4">
        <v>44</v>
      </c>
      <c r="D250" s="15">
        <f t="shared" si="16"/>
        <v>43.240402445073457</v>
      </c>
      <c r="E250" s="8">
        <f t="shared" si="15"/>
        <v>5.4925668088928745</v>
      </c>
      <c r="F250" s="8">
        <f t="shared" si="17"/>
        <v>5.4925668088928745</v>
      </c>
      <c r="G250" s="8">
        <f t="shared" si="18"/>
        <v>30.168290150151655</v>
      </c>
      <c r="H250" s="5">
        <f t="shared" si="19"/>
        <v>0.12483106383847442</v>
      </c>
    </row>
    <row r="251" spans="1:8" ht="15.75" customHeight="1">
      <c r="A251" s="4">
        <v>250</v>
      </c>
      <c r="B251" s="3">
        <v>21800</v>
      </c>
      <c r="C251" s="4">
        <v>45</v>
      </c>
      <c r="D251" s="15">
        <f t="shared" si="16"/>
        <v>43.25948699851687</v>
      </c>
      <c r="E251" s="8">
        <f t="shared" si="15"/>
        <v>6.4925668088928745</v>
      </c>
      <c r="F251" s="8">
        <f t="shared" si="17"/>
        <v>6.4925668088928745</v>
      </c>
      <c r="G251" s="8">
        <f t="shared" si="18"/>
        <v>42.153423767937404</v>
      </c>
      <c r="H251" s="5">
        <f t="shared" si="19"/>
        <v>0.14427926241984165</v>
      </c>
    </row>
    <row r="252" spans="1:8" ht="15.75" customHeight="1">
      <c r="A252" s="4">
        <v>251</v>
      </c>
      <c r="B252" s="3">
        <v>21801</v>
      </c>
      <c r="C252" s="4">
        <v>36</v>
      </c>
      <c r="D252" s="15">
        <f t="shared" si="16"/>
        <v>43.278571551960283</v>
      </c>
      <c r="E252" s="8">
        <f t="shared" si="15"/>
        <v>-2.5074331911071255</v>
      </c>
      <c r="F252" s="8">
        <f t="shared" si="17"/>
        <v>2.5074331911071255</v>
      </c>
      <c r="G252" s="8">
        <f t="shared" si="18"/>
        <v>6.2872212078656622</v>
      </c>
      <c r="H252" s="5">
        <f t="shared" si="19"/>
        <v>6.9650921975197927E-2</v>
      </c>
    </row>
    <row r="253" spans="1:8" ht="15.75" customHeight="1">
      <c r="A253" s="4">
        <v>252</v>
      </c>
      <c r="B253" s="3">
        <v>21802</v>
      </c>
      <c r="C253" s="4">
        <v>57</v>
      </c>
      <c r="D253" s="15">
        <f t="shared" si="16"/>
        <v>43.297656105403696</v>
      </c>
      <c r="E253" s="8">
        <f t="shared" si="15"/>
        <v>18.492566808892875</v>
      </c>
      <c r="F253" s="8">
        <f t="shared" si="17"/>
        <v>18.492566808892875</v>
      </c>
      <c r="G253" s="8">
        <f t="shared" si="18"/>
        <v>341.97502718136639</v>
      </c>
      <c r="H253" s="5">
        <f t="shared" si="19"/>
        <v>0.3244309966472434</v>
      </c>
    </row>
    <row r="254" spans="1:8" ht="15.75" customHeight="1">
      <c r="A254" s="4">
        <v>253</v>
      </c>
      <c r="B254" s="3">
        <v>21803</v>
      </c>
      <c r="C254" s="4">
        <v>44</v>
      </c>
      <c r="D254" s="15">
        <f t="shared" si="16"/>
        <v>43.31674065884711</v>
      </c>
      <c r="E254" s="8">
        <f t="shared" si="15"/>
        <v>5.4925668088928745</v>
      </c>
      <c r="F254" s="8">
        <f t="shared" si="17"/>
        <v>5.4925668088928745</v>
      </c>
      <c r="G254" s="8">
        <f t="shared" si="18"/>
        <v>30.168290150151655</v>
      </c>
      <c r="H254" s="5">
        <f t="shared" si="19"/>
        <v>0.12483106383847442</v>
      </c>
    </row>
    <row r="255" spans="1:8" ht="15.75" customHeight="1">
      <c r="A255" s="4">
        <v>254</v>
      </c>
      <c r="B255" s="3">
        <v>21804</v>
      </c>
      <c r="C255" s="4">
        <v>42</v>
      </c>
      <c r="D255" s="15">
        <f t="shared" si="16"/>
        <v>43.335825212290516</v>
      </c>
      <c r="E255" s="8">
        <f t="shared" si="15"/>
        <v>3.4925668088928745</v>
      </c>
      <c r="F255" s="8">
        <f t="shared" si="17"/>
        <v>3.4925668088928745</v>
      </c>
      <c r="G255" s="8">
        <f t="shared" si="18"/>
        <v>12.198022914580157</v>
      </c>
      <c r="H255" s="5">
        <f t="shared" si="19"/>
        <v>8.3156352592687485E-2</v>
      </c>
    </row>
    <row r="256" spans="1:8" ht="15.75" customHeight="1">
      <c r="A256" s="4">
        <v>255</v>
      </c>
      <c r="B256" s="3">
        <v>21805</v>
      </c>
      <c r="C256" s="4">
        <v>53</v>
      </c>
      <c r="D256" s="15">
        <f t="shared" si="16"/>
        <v>43.354909765733936</v>
      </c>
      <c r="E256" s="8">
        <f t="shared" si="15"/>
        <v>14.492566808892875</v>
      </c>
      <c r="F256" s="8">
        <f t="shared" si="17"/>
        <v>14.492566808892875</v>
      </c>
      <c r="G256" s="8">
        <f t="shared" si="18"/>
        <v>210.03449271022339</v>
      </c>
      <c r="H256" s="5">
        <f t="shared" si="19"/>
        <v>0.27344465677156365</v>
      </c>
    </row>
    <row r="257" spans="1:8" ht="15.75" customHeight="1">
      <c r="A257" s="4">
        <v>256</v>
      </c>
      <c r="B257" s="3">
        <v>21806</v>
      </c>
      <c r="C257" s="4">
        <v>42</v>
      </c>
      <c r="D257" s="15">
        <f t="shared" si="16"/>
        <v>43.373994319177342</v>
      </c>
      <c r="E257" s="8">
        <f t="shared" si="15"/>
        <v>3.4925668088928745</v>
      </c>
      <c r="F257" s="8">
        <f t="shared" si="17"/>
        <v>3.4925668088928745</v>
      </c>
      <c r="G257" s="8">
        <f t="shared" si="18"/>
        <v>12.198022914580157</v>
      </c>
      <c r="H257" s="5">
        <f t="shared" si="19"/>
        <v>8.3156352592687485E-2</v>
      </c>
    </row>
    <row r="258" spans="1:8" ht="15.75" customHeight="1">
      <c r="A258" s="4">
        <v>257</v>
      </c>
      <c r="B258" s="3">
        <v>21807</v>
      </c>
      <c r="C258" s="4">
        <v>34</v>
      </c>
      <c r="D258" s="15">
        <f t="shared" si="16"/>
        <v>43.393078872620755</v>
      </c>
      <c r="E258" s="8">
        <f t="shared" ref="E258:E321" si="20">C258-solver_opt</f>
        <v>-4.5074331911071255</v>
      </c>
      <c r="F258" s="8">
        <f t="shared" si="17"/>
        <v>4.5074331911071255</v>
      </c>
      <c r="G258" s="8">
        <f t="shared" si="18"/>
        <v>20.316953972294165</v>
      </c>
      <c r="H258" s="5">
        <f t="shared" si="19"/>
        <v>0.13257156444432722</v>
      </c>
    </row>
    <row r="259" spans="1:8" ht="15.75" customHeight="1">
      <c r="A259" s="4">
        <v>258</v>
      </c>
      <c r="B259" s="3">
        <v>21808</v>
      </c>
      <c r="C259" s="4">
        <v>40</v>
      </c>
      <c r="D259" s="15">
        <f t="shared" ref="D259:D322" si="21">_xlfn.FORECAST.LINEAR(A259,$C$2:$C$366,$A$2:$A$366)</f>
        <v>43.412163426064168</v>
      </c>
      <c r="E259" s="8">
        <f t="shared" si="20"/>
        <v>1.4925668088928745</v>
      </c>
      <c r="F259" s="8">
        <f t="shared" ref="F259:F322" si="22">ABS(E259)</f>
        <v>1.4925668088928745</v>
      </c>
      <c r="G259" s="8">
        <f t="shared" ref="G259:G322" si="23">F259^2</f>
        <v>2.2277556790086588</v>
      </c>
      <c r="H259" s="5">
        <f t="shared" ref="H259:H322" si="24">F259/C259</f>
        <v>3.7314170222321863E-2</v>
      </c>
    </row>
    <row r="260" spans="1:8" ht="15.75" customHeight="1">
      <c r="A260" s="4">
        <v>259</v>
      </c>
      <c r="B260" s="3">
        <v>21809</v>
      </c>
      <c r="C260" s="4">
        <v>56</v>
      </c>
      <c r="D260" s="15">
        <f t="shared" si="21"/>
        <v>43.431247979507582</v>
      </c>
      <c r="E260" s="8">
        <f t="shared" si="20"/>
        <v>17.492566808892875</v>
      </c>
      <c r="F260" s="8">
        <f t="shared" si="22"/>
        <v>17.492566808892875</v>
      </c>
      <c r="G260" s="8">
        <f t="shared" si="23"/>
        <v>305.98989356358067</v>
      </c>
      <c r="H260" s="5">
        <f t="shared" si="24"/>
        <v>0.31236726444451562</v>
      </c>
    </row>
    <row r="261" spans="1:8" ht="15.75" customHeight="1">
      <c r="A261" s="4">
        <v>260</v>
      </c>
      <c r="B261" s="3">
        <v>21810</v>
      </c>
      <c r="C261" s="4">
        <v>44</v>
      </c>
      <c r="D261" s="15">
        <f t="shared" si="21"/>
        <v>43.450332532950995</v>
      </c>
      <c r="E261" s="8">
        <f t="shared" si="20"/>
        <v>5.4925668088928745</v>
      </c>
      <c r="F261" s="8">
        <f t="shared" si="22"/>
        <v>5.4925668088928745</v>
      </c>
      <c r="G261" s="8">
        <f t="shared" si="23"/>
        <v>30.168290150151655</v>
      </c>
      <c r="H261" s="5">
        <f t="shared" si="24"/>
        <v>0.12483106383847442</v>
      </c>
    </row>
    <row r="262" spans="1:8" ht="15.75" customHeight="1">
      <c r="A262" s="4">
        <v>261</v>
      </c>
      <c r="B262" s="3">
        <v>21811</v>
      </c>
      <c r="C262" s="4">
        <v>53</v>
      </c>
      <c r="D262" s="15">
        <f t="shared" si="21"/>
        <v>43.469417086394408</v>
      </c>
      <c r="E262" s="8">
        <f t="shared" si="20"/>
        <v>14.492566808892875</v>
      </c>
      <c r="F262" s="8">
        <f t="shared" si="22"/>
        <v>14.492566808892875</v>
      </c>
      <c r="G262" s="8">
        <f t="shared" si="23"/>
        <v>210.03449271022339</v>
      </c>
      <c r="H262" s="5">
        <f t="shared" si="24"/>
        <v>0.27344465677156365</v>
      </c>
    </row>
    <row r="263" spans="1:8" ht="15.75" customHeight="1">
      <c r="A263" s="4">
        <v>262</v>
      </c>
      <c r="B263" s="3">
        <v>21812</v>
      </c>
      <c r="C263" s="4">
        <v>55</v>
      </c>
      <c r="D263" s="15">
        <f t="shared" si="21"/>
        <v>43.488501639837821</v>
      </c>
      <c r="E263" s="8">
        <f t="shared" si="20"/>
        <v>16.492566808892875</v>
      </c>
      <c r="F263" s="8">
        <f t="shared" si="22"/>
        <v>16.492566808892875</v>
      </c>
      <c r="G263" s="8">
        <f t="shared" si="23"/>
        <v>272.00475994579489</v>
      </c>
      <c r="H263" s="5">
        <f t="shared" si="24"/>
        <v>0.29986485107077954</v>
      </c>
    </row>
    <row r="264" spans="1:8" ht="15.75" customHeight="1">
      <c r="A264" s="4">
        <v>263</v>
      </c>
      <c r="B264" s="3">
        <v>21813</v>
      </c>
      <c r="C264" s="4">
        <v>39</v>
      </c>
      <c r="D264" s="15">
        <f t="shared" si="21"/>
        <v>43.507586193281234</v>
      </c>
      <c r="E264" s="8">
        <f t="shared" si="20"/>
        <v>0.49256680889287452</v>
      </c>
      <c r="F264" s="8">
        <f t="shared" si="22"/>
        <v>0.49256680889287452</v>
      </c>
      <c r="G264" s="8">
        <f t="shared" si="23"/>
        <v>0.24262206122290958</v>
      </c>
      <c r="H264" s="5">
        <f t="shared" si="24"/>
        <v>1.2629918176740373E-2</v>
      </c>
    </row>
    <row r="265" spans="1:8" ht="15.75" customHeight="1">
      <c r="A265" s="4">
        <v>264</v>
      </c>
      <c r="B265" s="3">
        <v>21814</v>
      </c>
      <c r="C265" s="4">
        <v>59</v>
      </c>
      <c r="D265" s="15">
        <f t="shared" si="21"/>
        <v>43.526670746724648</v>
      </c>
      <c r="E265" s="8">
        <f t="shared" si="20"/>
        <v>20.492566808892875</v>
      </c>
      <c r="F265" s="8">
        <f t="shared" si="22"/>
        <v>20.492566808892875</v>
      </c>
      <c r="G265" s="8">
        <f t="shared" si="23"/>
        <v>419.94529441693788</v>
      </c>
      <c r="H265" s="5">
        <f t="shared" si="24"/>
        <v>0.34733164082869278</v>
      </c>
    </row>
    <row r="266" spans="1:8" ht="15.75" customHeight="1">
      <c r="A266" s="4">
        <v>265</v>
      </c>
      <c r="B266" s="3">
        <v>21815</v>
      </c>
      <c r="C266" s="4">
        <v>55</v>
      </c>
      <c r="D266" s="15">
        <f t="shared" si="21"/>
        <v>43.545755300168061</v>
      </c>
      <c r="E266" s="8">
        <f t="shared" si="20"/>
        <v>16.492566808892875</v>
      </c>
      <c r="F266" s="8">
        <f t="shared" si="22"/>
        <v>16.492566808892875</v>
      </c>
      <c r="G266" s="8">
        <f t="shared" si="23"/>
        <v>272.00475994579489</v>
      </c>
      <c r="H266" s="5">
        <f t="shared" si="24"/>
        <v>0.29986485107077954</v>
      </c>
    </row>
    <row r="267" spans="1:8" ht="15.75" customHeight="1">
      <c r="A267" s="4">
        <v>266</v>
      </c>
      <c r="B267" s="3">
        <v>21816</v>
      </c>
      <c r="C267" s="4">
        <v>73</v>
      </c>
      <c r="D267" s="15">
        <f t="shared" si="21"/>
        <v>43.564839853611474</v>
      </c>
      <c r="E267" s="8">
        <f t="shared" si="20"/>
        <v>34.492566808892875</v>
      </c>
      <c r="F267" s="8">
        <f t="shared" si="22"/>
        <v>34.492566808892875</v>
      </c>
      <c r="G267" s="8">
        <f t="shared" si="23"/>
        <v>1189.7371650659384</v>
      </c>
      <c r="H267" s="5">
        <f t="shared" si="24"/>
        <v>0.47250091519031334</v>
      </c>
    </row>
    <row r="268" spans="1:8" ht="15.75" customHeight="1">
      <c r="A268" s="4">
        <v>267</v>
      </c>
      <c r="B268" s="3">
        <v>21817</v>
      </c>
      <c r="C268" s="4">
        <v>55</v>
      </c>
      <c r="D268" s="15">
        <f t="shared" si="21"/>
        <v>43.58392440705488</v>
      </c>
      <c r="E268" s="8">
        <f t="shared" si="20"/>
        <v>16.492566808892875</v>
      </c>
      <c r="F268" s="8">
        <f t="shared" si="22"/>
        <v>16.492566808892875</v>
      </c>
      <c r="G268" s="8">
        <f t="shared" si="23"/>
        <v>272.00475994579489</v>
      </c>
      <c r="H268" s="5">
        <f t="shared" si="24"/>
        <v>0.29986485107077954</v>
      </c>
    </row>
    <row r="269" spans="1:8" ht="15.75" customHeight="1">
      <c r="A269" s="4">
        <v>268</v>
      </c>
      <c r="B269" s="3">
        <v>21818</v>
      </c>
      <c r="C269" s="4">
        <v>44</v>
      </c>
      <c r="D269" s="15">
        <f t="shared" si="21"/>
        <v>43.603008960498293</v>
      </c>
      <c r="E269" s="8">
        <f t="shared" si="20"/>
        <v>5.4925668088928745</v>
      </c>
      <c r="F269" s="8">
        <f t="shared" si="22"/>
        <v>5.4925668088928745</v>
      </c>
      <c r="G269" s="8">
        <f t="shared" si="23"/>
        <v>30.168290150151655</v>
      </c>
      <c r="H269" s="5">
        <f t="shared" si="24"/>
        <v>0.12483106383847442</v>
      </c>
    </row>
    <row r="270" spans="1:8" ht="15.75" customHeight="1">
      <c r="A270" s="4">
        <v>269</v>
      </c>
      <c r="B270" s="3">
        <v>21819</v>
      </c>
      <c r="C270" s="4">
        <v>43</v>
      </c>
      <c r="D270" s="15">
        <f t="shared" si="21"/>
        <v>43.622093513941707</v>
      </c>
      <c r="E270" s="8">
        <f t="shared" si="20"/>
        <v>4.4925668088928745</v>
      </c>
      <c r="F270" s="8">
        <f t="shared" si="22"/>
        <v>4.4925668088928745</v>
      </c>
      <c r="G270" s="8">
        <f t="shared" si="23"/>
        <v>20.183156532365906</v>
      </c>
      <c r="H270" s="5">
        <f t="shared" si="24"/>
        <v>0.10447829788122964</v>
      </c>
    </row>
    <row r="271" spans="1:8" ht="15.75" customHeight="1">
      <c r="A271" s="4">
        <v>270</v>
      </c>
      <c r="B271" s="3">
        <v>21820</v>
      </c>
      <c r="C271" s="4">
        <v>40</v>
      </c>
      <c r="D271" s="15">
        <f t="shared" si="21"/>
        <v>43.64117806738512</v>
      </c>
      <c r="E271" s="8">
        <f t="shared" si="20"/>
        <v>1.4925668088928745</v>
      </c>
      <c r="F271" s="8">
        <f t="shared" si="22"/>
        <v>1.4925668088928745</v>
      </c>
      <c r="G271" s="8">
        <f t="shared" si="23"/>
        <v>2.2277556790086588</v>
      </c>
      <c r="H271" s="5">
        <f t="shared" si="24"/>
        <v>3.7314170222321863E-2</v>
      </c>
    </row>
    <row r="272" spans="1:8" ht="15.75" customHeight="1">
      <c r="A272" s="4">
        <v>271</v>
      </c>
      <c r="B272" s="3">
        <v>21821</v>
      </c>
      <c r="C272" s="4">
        <v>47</v>
      </c>
      <c r="D272" s="15">
        <f t="shared" si="21"/>
        <v>43.660262620828533</v>
      </c>
      <c r="E272" s="8">
        <f t="shared" si="20"/>
        <v>8.4925668088928745</v>
      </c>
      <c r="F272" s="8">
        <f t="shared" si="22"/>
        <v>8.4925668088928745</v>
      </c>
      <c r="G272" s="8">
        <f t="shared" si="23"/>
        <v>72.123691003508895</v>
      </c>
      <c r="H272" s="5">
        <f t="shared" si="24"/>
        <v>0.18069291082750796</v>
      </c>
    </row>
    <row r="273" spans="1:8" ht="15.75" customHeight="1">
      <c r="A273" s="4">
        <v>272</v>
      </c>
      <c r="B273" s="3">
        <v>21822</v>
      </c>
      <c r="C273" s="4">
        <v>51</v>
      </c>
      <c r="D273" s="15">
        <f t="shared" si="21"/>
        <v>43.679347174271946</v>
      </c>
      <c r="E273" s="8">
        <f t="shared" si="20"/>
        <v>12.492566808892875</v>
      </c>
      <c r="F273" s="8">
        <f t="shared" si="22"/>
        <v>12.492566808892875</v>
      </c>
      <c r="G273" s="8">
        <f t="shared" si="23"/>
        <v>156.06422547465189</v>
      </c>
      <c r="H273" s="5">
        <f t="shared" si="24"/>
        <v>0.24495229037044852</v>
      </c>
    </row>
    <row r="274" spans="1:8" ht="15.75" customHeight="1">
      <c r="A274" s="4">
        <v>273</v>
      </c>
      <c r="B274" s="3">
        <v>21823</v>
      </c>
      <c r="C274" s="4">
        <v>56</v>
      </c>
      <c r="D274" s="15">
        <f t="shared" si="21"/>
        <v>43.698431727715359</v>
      </c>
      <c r="E274" s="8">
        <f t="shared" si="20"/>
        <v>17.492566808892875</v>
      </c>
      <c r="F274" s="8">
        <f t="shared" si="22"/>
        <v>17.492566808892875</v>
      </c>
      <c r="G274" s="8">
        <f t="shared" si="23"/>
        <v>305.98989356358067</v>
      </c>
      <c r="H274" s="5">
        <f t="shared" si="24"/>
        <v>0.31236726444451562</v>
      </c>
    </row>
    <row r="275" spans="1:8" ht="15.75" customHeight="1">
      <c r="A275" s="4">
        <v>274</v>
      </c>
      <c r="B275" s="3">
        <v>21824</v>
      </c>
      <c r="C275" s="4">
        <v>49</v>
      </c>
      <c r="D275" s="15">
        <f t="shared" si="21"/>
        <v>43.717516281158773</v>
      </c>
      <c r="E275" s="8">
        <f t="shared" si="20"/>
        <v>10.492566808892875</v>
      </c>
      <c r="F275" s="8">
        <f t="shared" si="22"/>
        <v>10.492566808892875</v>
      </c>
      <c r="G275" s="8">
        <f t="shared" si="23"/>
        <v>110.09395823908039</v>
      </c>
      <c r="H275" s="5">
        <f t="shared" si="24"/>
        <v>0.21413401650801786</v>
      </c>
    </row>
    <row r="276" spans="1:8" ht="15.75" customHeight="1">
      <c r="A276" s="4">
        <v>275</v>
      </c>
      <c r="B276" s="3">
        <v>21825</v>
      </c>
      <c r="C276" s="4">
        <v>54</v>
      </c>
      <c r="D276" s="15">
        <f t="shared" si="21"/>
        <v>43.736600834602186</v>
      </c>
      <c r="E276" s="8">
        <f t="shared" si="20"/>
        <v>15.492566808892875</v>
      </c>
      <c r="F276" s="8">
        <f t="shared" si="22"/>
        <v>15.492566808892875</v>
      </c>
      <c r="G276" s="8">
        <f t="shared" si="23"/>
        <v>240.01962632800914</v>
      </c>
      <c r="H276" s="5">
        <f t="shared" si="24"/>
        <v>0.28689938534986803</v>
      </c>
    </row>
    <row r="277" spans="1:8" ht="15.75" customHeight="1">
      <c r="A277" s="4">
        <v>276</v>
      </c>
      <c r="B277" s="3">
        <v>21826</v>
      </c>
      <c r="C277" s="4">
        <v>56</v>
      </c>
      <c r="D277" s="15">
        <f t="shared" si="21"/>
        <v>43.755685388045599</v>
      </c>
      <c r="E277" s="8">
        <f t="shared" si="20"/>
        <v>17.492566808892875</v>
      </c>
      <c r="F277" s="8">
        <f t="shared" si="22"/>
        <v>17.492566808892875</v>
      </c>
      <c r="G277" s="8">
        <f t="shared" si="23"/>
        <v>305.98989356358067</v>
      </c>
      <c r="H277" s="5">
        <f t="shared" si="24"/>
        <v>0.31236726444451562</v>
      </c>
    </row>
    <row r="278" spans="1:8" ht="15.75" customHeight="1">
      <c r="A278" s="4">
        <v>277</v>
      </c>
      <c r="B278" s="3">
        <v>21827</v>
      </c>
      <c r="C278" s="4">
        <v>47</v>
      </c>
      <c r="D278" s="15">
        <f t="shared" si="21"/>
        <v>43.774769941489012</v>
      </c>
      <c r="E278" s="8">
        <f t="shared" si="20"/>
        <v>8.4925668088928745</v>
      </c>
      <c r="F278" s="8">
        <f t="shared" si="22"/>
        <v>8.4925668088928745</v>
      </c>
      <c r="G278" s="8">
        <f t="shared" si="23"/>
        <v>72.123691003508895</v>
      </c>
      <c r="H278" s="5">
        <f t="shared" si="24"/>
        <v>0.18069291082750796</v>
      </c>
    </row>
    <row r="279" spans="1:8" ht="15.75" customHeight="1">
      <c r="A279" s="4">
        <v>278</v>
      </c>
      <c r="B279" s="3">
        <v>21828</v>
      </c>
      <c r="C279" s="4">
        <v>44</v>
      </c>
      <c r="D279" s="15">
        <f t="shared" si="21"/>
        <v>43.793854494932425</v>
      </c>
      <c r="E279" s="8">
        <f t="shared" si="20"/>
        <v>5.4925668088928745</v>
      </c>
      <c r="F279" s="8">
        <f t="shared" si="22"/>
        <v>5.4925668088928745</v>
      </c>
      <c r="G279" s="8">
        <f t="shared" si="23"/>
        <v>30.168290150151655</v>
      </c>
      <c r="H279" s="5">
        <f t="shared" si="24"/>
        <v>0.12483106383847442</v>
      </c>
    </row>
    <row r="280" spans="1:8" ht="15.75" customHeight="1">
      <c r="A280" s="4">
        <v>279</v>
      </c>
      <c r="B280" s="3">
        <v>21829</v>
      </c>
      <c r="C280" s="4">
        <v>43</v>
      </c>
      <c r="D280" s="15">
        <f t="shared" si="21"/>
        <v>43.812939048375839</v>
      </c>
      <c r="E280" s="8">
        <f t="shared" si="20"/>
        <v>4.4925668088928745</v>
      </c>
      <c r="F280" s="8">
        <f t="shared" si="22"/>
        <v>4.4925668088928745</v>
      </c>
      <c r="G280" s="8">
        <f t="shared" si="23"/>
        <v>20.183156532365906</v>
      </c>
      <c r="H280" s="5">
        <f t="shared" si="24"/>
        <v>0.10447829788122964</v>
      </c>
    </row>
    <row r="281" spans="1:8" ht="15.75" customHeight="1">
      <c r="A281" s="4">
        <v>280</v>
      </c>
      <c r="B281" s="3">
        <v>21830</v>
      </c>
      <c r="C281" s="4">
        <v>42</v>
      </c>
      <c r="D281" s="15">
        <f t="shared" si="21"/>
        <v>43.832023601819245</v>
      </c>
      <c r="E281" s="8">
        <f t="shared" si="20"/>
        <v>3.4925668088928745</v>
      </c>
      <c r="F281" s="8">
        <f t="shared" si="22"/>
        <v>3.4925668088928745</v>
      </c>
      <c r="G281" s="8">
        <f t="shared" si="23"/>
        <v>12.198022914580157</v>
      </c>
      <c r="H281" s="5">
        <f t="shared" si="24"/>
        <v>8.3156352592687485E-2</v>
      </c>
    </row>
    <row r="282" spans="1:8" ht="15.75" customHeight="1">
      <c r="A282" s="4">
        <v>281</v>
      </c>
      <c r="B282" s="3">
        <v>21831</v>
      </c>
      <c r="C282" s="4">
        <v>45</v>
      </c>
      <c r="D282" s="15">
        <f t="shared" si="21"/>
        <v>43.851108155262658</v>
      </c>
      <c r="E282" s="8">
        <f t="shared" si="20"/>
        <v>6.4925668088928745</v>
      </c>
      <c r="F282" s="8">
        <f t="shared" si="22"/>
        <v>6.4925668088928745</v>
      </c>
      <c r="G282" s="8">
        <f t="shared" si="23"/>
        <v>42.153423767937404</v>
      </c>
      <c r="H282" s="5">
        <f t="shared" si="24"/>
        <v>0.14427926241984165</v>
      </c>
    </row>
    <row r="283" spans="1:8" ht="15.75" customHeight="1">
      <c r="A283" s="4">
        <v>282</v>
      </c>
      <c r="B283" s="3">
        <v>21832</v>
      </c>
      <c r="C283" s="4">
        <v>50</v>
      </c>
      <c r="D283" s="15">
        <f t="shared" si="21"/>
        <v>43.870192708706071</v>
      </c>
      <c r="E283" s="8">
        <f t="shared" si="20"/>
        <v>11.492566808892875</v>
      </c>
      <c r="F283" s="8">
        <f t="shared" si="22"/>
        <v>11.492566808892875</v>
      </c>
      <c r="G283" s="8">
        <f t="shared" si="23"/>
        <v>132.07909185686614</v>
      </c>
      <c r="H283" s="5">
        <f t="shared" si="24"/>
        <v>0.2298513361778575</v>
      </c>
    </row>
    <row r="284" spans="1:8" ht="15.75" customHeight="1">
      <c r="A284" s="4">
        <v>283</v>
      </c>
      <c r="B284" s="3">
        <v>21833</v>
      </c>
      <c r="C284" s="4">
        <v>48</v>
      </c>
      <c r="D284" s="15">
        <f t="shared" si="21"/>
        <v>43.889277262149484</v>
      </c>
      <c r="E284" s="8">
        <f t="shared" si="20"/>
        <v>9.4925668088928745</v>
      </c>
      <c r="F284" s="8">
        <f t="shared" si="22"/>
        <v>9.4925668088928745</v>
      </c>
      <c r="G284" s="8">
        <f t="shared" si="23"/>
        <v>90.108824621294644</v>
      </c>
      <c r="H284" s="5">
        <f t="shared" si="24"/>
        <v>0.19776180851860156</v>
      </c>
    </row>
    <row r="285" spans="1:8" ht="15.75" customHeight="1">
      <c r="A285" s="4">
        <v>284</v>
      </c>
      <c r="B285" s="3">
        <v>21834</v>
      </c>
      <c r="C285" s="4">
        <v>43</v>
      </c>
      <c r="D285" s="15">
        <f t="shared" si="21"/>
        <v>43.908361815592897</v>
      </c>
      <c r="E285" s="8">
        <f t="shared" si="20"/>
        <v>4.4925668088928745</v>
      </c>
      <c r="F285" s="8">
        <f t="shared" si="22"/>
        <v>4.4925668088928745</v>
      </c>
      <c r="G285" s="8">
        <f t="shared" si="23"/>
        <v>20.183156532365906</v>
      </c>
      <c r="H285" s="5">
        <f t="shared" si="24"/>
        <v>0.10447829788122964</v>
      </c>
    </row>
    <row r="286" spans="1:8" ht="15.75" customHeight="1">
      <c r="A286" s="4">
        <v>285</v>
      </c>
      <c r="B286" s="3">
        <v>21835</v>
      </c>
      <c r="C286" s="4">
        <v>40</v>
      </c>
      <c r="D286" s="15">
        <f t="shared" si="21"/>
        <v>43.927446369036311</v>
      </c>
      <c r="E286" s="8">
        <f t="shared" si="20"/>
        <v>1.4925668088928745</v>
      </c>
      <c r="F286" s="8">
        <f t="shared" si="22"/>
        <v>1.4925668088928745</v>
      </c>
      <c r="G286" s="8">
        <f t="shared" si="23"/>
        <v>2.2277556790086588</v>
      </c>
      <c r="H286" s="5">
        <f t="shared" si="24"/>
        <v>3.7314170222321863E-2</v>
      </c>
    </row>
    <row r="287" spans="1:8" ht="15.75" customHeight="1">
      <c r="A287" s="4">
        <v>286</v>
      </c>
      <c r="B287" s="3">
        <v>21836</v>
      </c>
      <c r="C287" s="4">
        <v>59</v>
      </c>
      <c r="D287" s="15">
        <f t="shared" si="21"/>
        <v>43.946530922479724</v>
      </c>
      <c r="E287" s="8">
        <f t="shared" si="20"/>
        <v>20.492566808892875</v>
      </c>
      <c r="F287" s="8">
        <f t="shared" si="22"/>
        <v>20.492566808892875</v>
      </c>
      <c r="G287" s="8">
        <f t="shared" si="23"/>
        <v>419.94529441693788</v>
      </c>
      <c r="H287" s="5">
        <f t="shared" si="24"/>
        <v>0.34733164082869278</v>
      </c>
    </row>
    <row r="288" spans="1:8" ht="15.75" customHeight="1">
      <c r="A288" s="4">
        <v>287</v>
      </c>
      <c r="B288" s="3">
        <v>21837</v>
      </c>
      <c r="C288" s="4">
        <v>41</v>
      </c>
      <c r="D288" s="15">
        <f t="shared" si="21"/>
        <v>43.965615475923137</v>
      </c>
      <c r="E288" s="8">
        <f t="shared" si="20"/>
        <v>2.4925668088928745</v>
      </c>
      <c r="F288" s="8">
        <f t="shared" si="22"/>
        <v>2.4925668088928745</v>
      </c>
      <c r="G288" s="8">
        <f t="shared" si="23"/>
        <v>6.2128892967944074</v>
      </c>
      <c r="H288" s="5">
        <f t="shared" si="24"/>
        <v>6.079431241202133E-2</v>
      </c>
    </row>
    <row r="289" spans="1:8" ht="15.75" customHeight="1">
      <c r="A289" s="4">
        <v>288</v>
      </c>
      <c r="B289" s="3">
        <v>21838</v>
      </c>
      <c r="C289" s="4">
        <v>42</v>
      </c>
      <c r="D289" s="15">
        <f t="shared" si="21"/>
        <v>43.98470002936655</v>
      </c>
      <c r="E289" s="8">
        <f t="shared" si="20"/>
        <v>3.4925668088928745</v>
      </c>
      <c r="F289" s="8">
        <f t="shared" si="22"/>
        <v>3.4925668088928745</v>
      </c>
      <c r="G289" s="8">
        <f t="shared" si="23"/>
        <v>12.198022914580157</v>
      </c>
      <c r="H289" s="5">
        <f t="shared" si="24"/>
        <v>8.3156352592687485E-2</v>
      </c>
    </row>
    <row r="290" spans="1:8" ht="15.75" customHeight="1">
      <c r="A290" s="4">
        <v>289</v>
      </c>
      <c r="B290" s="3">
        <v>21839</v>
      </c>
      <c r="C290" s="4">
        <v>51</v>
      </c>
      <c r="D290" s="15">
        <f t="shared" si="21"/>
        <v>44.003784582809963</v>
      </c>
      <c r="E290" s="8">
        <f t="shared" si="20"/>
        <v>12.492566808892875</v>
      </c>
      <c r="F290" s="8">
        <f t="shared" si="22"/>
        <v>12.492566808892875</v>
      </c>
      <c r="G290" s="8">
        <f t="shared" si="23"/>
        <v>156.06422547465189</v>
      </c>
      <c r="H290" s="5">
        <f t="shared" si="24"/>
        <v>0.24495229037044852</v>
      </c>
    </row>
    <row r="291" spans="1:8" ht="15.75" customHeight="1">
      <c r="A291" s="4">
        <v>290</v>
      </c>
      <c r="B291" s="3">
        <v>21840</v>
      </c>
      <c r="C291" s="4">
        <v>49</v>
      </c>
      <c r="D291" s="15">
        <f t="shared" si="21"/>
        <v>44.022869136253377</v>
      </c>
      <c r="E291" s="8">
        <f t="shared" si="20"/>
        <v>10.492566808892875</v>
      </c>
      <c r="F291" s="8">
        <f t="shared" si="22"/>
        <v>10.492566808892875</v>
      </c>
      <c r="G291" s="8">
        <f t="shared" si="23"/>
        <v>110.09395823908039</v>
      </c>
      <c r="H291" s="5">
        <f t="shared" si="24"/>
        <v>0.21413401650801786</v>
      </c>
    </row>
    <row r="292" spans="1:8" ht="15.75" customHeight="1">
      <c r="A292" s="4">
        <v>291</v>
      </c>
      <c r="B292" s="3">
        <v>21841</v>
      </c>
      <c r="C292" s="4">
        <v>45</v>
      </c>
      <c r="D292" s="15">
        <f t="shared" si="21"/>
        <v>44.041953689696783</v>
      </c>
      <c r="E292" s="8">
        <f t="shared" si="20"/>
        <v>6.4925668088928745</v>
      </c>
      <c r="F292" s="8">
        <f t="shared" si="22"/>
        <v>6.4925668088928745</v>
      </c>
      <c r="G292" s="8">
        <f t="shared" si="23"/>
        <v>42.153423767937404</v>
      </c>
      <c r="H292" s="5">
        <f t="shared" si="24"/>
        <v>0.14427926241984165</v>
      </c>
    </row>
    <row r="293" spans="1:8" ht="15.75" customHeight="1">
      <c r="A293" s="4">
        <v>292</v>
      </c>
      <c r="B293" s="3">
        <v>21842</v>
      </c>
      <c r="C293" s="4">
        <v>43</v>
      </c>
      <c r="D293" s="15">
        <f t="shared" si="21"/>
        <v>44.061038243140203</v>
      </c>
      <c r="E293" s="8">
        <f t="shared" si="20"/>
        <v>4.4925668088928745</v>
      </c>
      <c r="F293" s="8">
        <f t="shared" si="22"/>
        <v>4.4925668088928745</v>
      </c>
      <c r="G293" s="8">
        <f t="shared" si="23"/>
        <v>20.183156532365906</v>
      </c>
      <c r="H293" s="5">
        <f t="shared" si="24"/>
        <v>0.10447829788122964</v>
      </c>
    </row>
    <row r="294" spans="1:8" ht="15.75" customHeight="1">
      <c r="A294" s="4">
        <v>293</v>
      </c>
      <c r="B294" s="3">
        <v>21843</v>
      </c>
      <c r="C294" s="4">
        <v>42</v>
      </c>
      <c r="D294" s="15">
        <f t="shared" si="21"/>
        <v>44.080122796583609</v>
      </c>
      <c r="E294" s="8">
        <f t="shared" si="20"/>
        <v>3.4925668088928745</v>
      </c>
      <c r="F294" s="8">
        <f t="shared" si="22"/>
        <v>3.4925668088928745</v>
      </c>
      <c r="G294" s="8">
        <f t="shared" si="23"/>
        <v>12.198022914580157</v>
      </c>
      <c r="H294" s="5">
        <f t="shared" si="24"/>
        <v>8.3156352592687485E-2</v>
      </c>
    </row>
    <row r="295" spans="1:8" ht="15.75" customHeight="1">
      <c r="A295" s="4">
        <v>294</v>
      </c>
      <c r="B295" s="3">
        <v>21844</v>
      </c>
      <c r="C295" s="4">
        <v>38</v>
      </c>
      <c r="D295" s="15">
        <f t="shared" si="21"/>
        <v>44.099207350027022</v>
      </c>
      <c r="E295" s="8">
        <f t="shared" si="20"/>
        <v>-0.50743319110712548</v>
      </c>
      <c r="F295" s="8">
        <f t="shared" si="22"/>
        <v>0.50743319110712548</v>
      </c>
      <c r="G295" s="8">
        <f t="shared" si="23"/>
        <v>0.25748844343716054</v>
      </c>
      <c r="H295" s="5">
        <f t="shared" si="24"/>
        <v>1.3353505029134882E-2</v>
      </c>
    </row>
    <row r="296" spans="1:8" ht="15.75" customHeight="1">
      <c r="A296" s="4">
        <v>295</v>
      </c>
      <c r="B296" s="3">
        <v>21845</v>
      </c>
      <c r="C296" s="4">
        <v>47</v>
      </c>
      <c r="D296" s="15">
        <f t="shared" si="21"/>
        <v>44.118291903470435</v>
      </c>
      <c r="E296" s="8">
        <f t="shared" si="20"/>
        <v>8.4925668088928745</v>
      </c>
      <c r="F296" s="8">
        <f t="shared" si="22"/>
        <v>8.4925668088928745</v>
      </c>
      <c r="G296" s="8">
        <f t="shared" si="23"/>
        <v>72.123691003508895</v>
      </c>
      <c r="H296" s="5">
        <f t="shared" si="24"/>
        <v>0.18069291082750796</v>
      </c>
    </row>
    <row r="297" spans="1:8" ht="15.75" customHeight="1">
      <c r="A297" s="4">
        <v>296</v>
      </c>
      <c r="B297" s="3">
        <v>21846</v>
      </c>
      <c r="C297" s="4">
        <v>38</v>
      </c>
      <c r="D297" s="15">
        <f t="shared" si="21"/>
        <v>44.137376456913849</v>
      </c>
      <c r="E297" s="8">
        <f t="shared" si="20"/>
        <v>-0.50743319110712548</v>
      </c>
      <c r="F297" s="8">
        <f t="shared" si="22"/>
        <v>0.50743319110712548</v>
      </c>
      <c r="G297" s="8">
        <f t="shared" si="23"/>
        <v>0.25748844343716054</v>
      </c>
      <c r="H297" s="5">
        <f t="shared" si="24"/>
        <v>1.3353505029134882E-2</v>
      </c>
    </row>
    <row r="298" spans="1:8" ht="15.75" customHeight="1">
      <c r="A298" s="4">
        <v>297</v>
      </c>
      <c r="B298" s="3">
        <v>21847</v>
      </c>
      <c r="C298" s="4">
        <v>36</v>
      </c>
      <c r="D298" s="15">
        <f t="shared" si="21"/>
        <v>44.156461010357262</v>
      </c>
      <c r="E298" s="8">
        <f t="shared" si="20"/>
        <v>-2.5074331911071255</v>
      </c>
      <c r="F298" s="8">
        <f t="shared" si="22"/>
        <v>2.5074331911071255</v>
      </c>
      <c r="G298" s="8">
        <f t="shared" si="23"/>
        <v>6.2872212078656622</v>
      </c>
      <c r="H298" s="5">
        <f t="shared" si="24"/>
        <v>6.9650921975197927E-2</v>
      </c>
    </row>
    <row r="299" spans="1:8" ht="15.75" customHeight="1">
      <c r="A299" s="4">
        <v>298</v>
      </c>
      <c r="B299" s="3">
        <v>21848</v>
      </c>
      <c r="C299" s="4">
        <v>42</v>
      </c>
      <c r="D299" s="15">
        <f t="shared" si="21"/>
        <v>44.175545563800675</v>
      </c>
      <c r="E299" s="8">
        <f t="shared" si="20"/>
        <v>3.4925668088928745</v>
      </c>
      <c r="F299" s="8">
        <f t="shared" si="22"/>
        <v>3.4925668088928745</v>
      </c>
      <c r="G299" s="8">
        <f t="shared" si="23"/>
        <v>12.198022914580157</v>
      </c>
      <c r="H299" s="5">
        <f t="shared" si="24"/>
        <v>8.3156352592687485E-2</v>
      </c>
    </row>
    <row r="300" spans="1:8" ht="15.75" customHeight="1">
      <c r="A300" s="4">
        <v>299</v>
      </c>
      <c r="B300" s="3">
        <v>21849</v>
      </c>
      <c r="C300" s="4">
        <v>35</v>
      </c>
      <c r="D300" s="15">
        <f t="shared" si="21"/>
        <v>44.194630117244088</v>
      </c>
      <c r="E300" s="8">
        <f t="shared" si="20"/>
        <v>-3.5074331911071255</v>
      </c>
      <c r="F300" s="8">
        <f t="shared" si="22"/>
        <v>3.5074331911071255</v>
      </c>
      <c r="G300" s="8">
        <f t="shared" si="23"/>
        <v>12.302087590079914</v>
      </c>
      <c r="H300" s="5">
        <f t="shared" si="24"/>
        <v>0.10021237688877502</v>
      </c>
    </row>
    <row r="301" spans="1:8" ht="15.75" customHeight="1">
      <c r="A301" s="4">
        <v>300</v>
      </c>
      <c r="B301" s="3">
        <v>21850</v>
      </c>
      <c r="C301" s="4">
        <v>28</v>
      </c>
      <c r="D301" s="15">
        <f t="shared" si="21"/>
        <v>44.213714670687501</v>
      </c>
      <c r="E301" s="8">
        <f t="shared" si="20"/>
        <v>-10.507433191107125</v>
      </c>
      <c r="F301" s="8">
        <f t="shared" si="22"/>
        <v>10.507433191107125</v>
      </c>
      <c r="G301" s="8">
        <f t="shared" si="23"/>
        <v>110.40615226557966</v>
      </c>
      <c r="H301" s="5">
        <f t="shared" si="24"/>
        <v>0.37526547111096875</v>
      </c>
    </row>
    <row r="302" spans="1:8" ht="15.75" customHeight="1">
      <c r="A302" s="4">
        <v>301</v>
      </c>
      <c r="B302" s="3">
        <v>21851</v>
      </c>
      <c r="C302" s="4">
        <v>44</v>
      </c>
      <c r="D302" s="15">
        <f t="shared" si="21"/>
        <v>44.232799224130915</v>
      </c>
      <c r="E302" s="8">
        <f t="shared" si="20"/>
        <v>5.4925668088928745</v>
      </c>
      <c r="F302" s="8">
        <f t="shared" si="22"/>
        <v>5.4925668088928745</v>
      </c>
      <c r="G302" s="8">
        <f t="shared" si="23"/>
        <v>30.168290150151655</v>
      </c>
      <c r="H302" s="5">
        <f t="shared" si="24"/>
        <v>0.12483106383847442</v>
      </c>
    </row>
    <row r="303" spans="1:8" ht="15.75" customHeight="1">
      <c r="A303" s="4">
        <v>302</v>
      </c>
      <c r="B303" s="3">
        <v>21852</v>
      </c>
      <c r="C303" s="4">
        <v>36</v>
      </c>
      <c r="D303" s="15">
        <f t="shared" si="21"/>
        <v>44.251883777574328</v>
      </c>
      <c r="E303" s="8">
        <f t="shared" si="20"/>
        <v>-2.5074331911071255</v>
      </c>
      <c r="F303" s="8">
        <f t="shared" si="22"/>
        <v>2.5074331911071255</v>
      </c>
      <c r="G303" s="8">
        <f t="shared" si="23"/>
        <v>6.2872212078656622</v>
      </c>
      <c r="H303" s="5">
        <f t="shared" si="24"/>
        <v>6.9650921975197927E-2</v>
      </c>
    </row>
    <row r="304" spans="1:8" ht="15.75" customHeight="1">
      <c r="A304" s="4">
        <v>303</v>
      </c>
      <c r="B304" s="3">
        <v>21853</v>
      </c>
      <c r="C304" s="4">
        <v>45</v>
      </c>
      <c r="D304" s="15">
        <f t="shared" si="21"/>
        <v>44.270968331017741</v>
      </c>
      <c r="E304" s="8">
        <f t="shared" si="20"/>
        <v>6.4925668088928745</v>
      </c>
      <c r="F304" s="8">
        <f t="shared" si="22"/>
        <v>6.4925668088928745</v>
      </c>
      <c r="G304" s="8">
        <f t="shared" si="23"/>
        <v>42.153423767937404</v>
      </c>
      <c r="H304" s="5">
        <f t="shared" si="24"/>
        <v>0.14427926241984165</v>
      </c>
    </row>
    <row r="305" spans="1:8" ht="15.75" customHeight="1">
      <c r="A305" s="4">
        <v>304</v>
      </c>
      <c r="B305" s="3">
        <v>21854</v>
      </c>
      <c r="C305" s="4">
        <v>46</v>
      </c>
      <c r="D305" s="15">
        <f t="shared" si="21"/>
        <v>44.290052884461147</v>
      </c>
      <c r="E305" s="8">
        <f t="shared" si="20"/>
        <v>7.4925668088928745</v>
      </c>
      <c r="F305" s="8">
        <f t="shared" si="22"/>
        <v>7.4925668088928745</v>
      </c>
      <c r="G305" s="8">
        <f t="shared" si="23"/>
        <v>56.138557385723153</v>
      </c>
      <c r="H305" s="5">
        <f t="shared" si="24"/>
        <v>0.16288188714984511</v>
      </c>
    </row>
    <row r="306" spans="1:8" ht="15.75" customHeight="1">
      <c r="A306" s="4">
        <v>305</v>
      </c>
      <c r="B306" s="3">
        <v>21855</v>
      </c>
      <c r="C306" s="4">
        <v>48</v>
      </c>
      <c r="D306" s="15">
        <f t="shared" si="21"/>
        <v>44.30913743790456</v>
      </c>
      <c r="E306" s="8">
        <f t="shared" si="20"/>
        <v>9.4925668088928745</v>
      </c>
      <c r="F306" s="8">
        <f t="shared" si="22"/>
        <v>9.4925668088928745</v>
      </c>
      <c r="G306" s="8">
        <f t="shared" si="23"/>
        <v>90.108824621294644</v>
      </c>
      <c r="H306" s="5">
        <f t="shared" si="24"/>
        <v>0.19776180851860156</v>
      </c>
    </row>
    <row r="307" spans="1:8" ht="15.75" customHeight="1">
      <c r="A307" s="4">
        <v>306</v>
      </c>
      <c r="B307" s="3">
        <v>21856</v>
      </c>
      <c r="C307" s="4">
        <v>49</v>
      </c>
      <c r="D307" s="15">
        <f t="shared" si="21"/>
        <v>44.328221991347974</v>
      </c>
      <c r="E307" s="8">
        <f t="shared" si="20"/>
        <v>10.492566808892875</v>
      </c>
      <c r="F307" s="8">
        <f t="shared" si="22"/>
        <v>10.492566808892875</v>
      </c>
      <c r="G307" s="8">
        <f t="shared" si="23"/>
        <v>110.09395823908039</v>
      </c>
      <c r="H307" s="5">
        <f t="shared" si="24"/>
        <v>0.21413401650801786</v>
      </c>
    </row>
    <row r="308" spans="1:8" ht="15.75" customHeight="1">
      <c r="A308" s="4">
        <v>307</v>
      </c>
      <c r="B308" s="3">
        <v>21857</v>
      </c>
      <c r="C308" s="4">
        <v>43</v>
      </c>
      <c r="D308" s="15">
        <f t="shared" si="21"/>
        <v>44.347306544791387</v>
      </c>
      <c r="E308" s="8">
        <f t="shared" si="20"/>
        <v>4.4925668088928745</v>
      </c>
      <c r="F308" s="8">
        <f t="shared" si="22"/>
        <v>4.4925668088928745</v>
      </c>
      <c r="G308" s="8">
        <f t="shared" si="23"/>
        <v>20.183156532365906</v>
      </c>
      <c r="H308" s="5">
        <f t="shared" si="24"/>
        <v>0.10447829788122964</v>
      </c>
    </row>
    <row r="309" spans="1:8" ht="15.75" customHeight="1">
      <c r="A309" s="4">
        <v>308</v>
      </c>
      <c r="B309" s="3">
        <v>21858</v>
      </c>
      <c r="C309" s="4">
        <v>42</v>
      </c>
      <c r="D309" s="15">
        <f t="shared" si="21"/>
        <v>44.3663910982348</v>
      </c>
      <c r="E309" s="8">
        <f t="shared" si="20"/>
        <v>3.4925668088928745</v>
      </c>
      <c r="F309" s="8">
        <f t="shared" si="22"/>
        <v>3.4925668088928745</v>
      </c>
      <c r="G309" s="8">
        <f t="shared" si="23"/>
        <v>12.198022914580157</v>
      </c>
      <c r="H309" s="5">
        <f t="shared" si="24"/>
        <v>8.3156352592687485E-2</v>
      </c>
    </row>
    <row r="310" spans="1:8" ht="15.75" customHeight="1">
      <c r="A310" s="4">
        <v>309</v>
      </c>
      <c r="B310" s="3">
        <v>21859</v>
      </c>
      <c r="C310" s="4">
        <v>59</v>
      </c>
      <c r="D310" s="15">
        <f t="shared" si="21"/>
        <v>44.385475651678213</v>
      </c>
      <c r="E310" s="8">
        <f t="shared" si="20"/>
        <v>20.492566808892875</v>
      </c>
      <c r="F310" s="8">
        <f t="shared" si="22"/>
        <v>20.492566808892875</v>
      </c>
      <c r="G310" s="8">
        <f t="shared" si="23"/>
        <v>419.94529441693788</v>
      </c>
      <c r="H310" s="5">
        <f t="shared" si="24"/>
        <v>0.34733164082869278</v>
      </c>
    </row>
    <row r="311" spans="1:8" ht="15.75" customHeight="1">
      <c r="A311" s="4">
        <v>310</v>
      </c>
      <c r="B311" s="3">
        <v>21860</v>
      </c>
      <c r="C311" s="4">
        <v>45</v>
      </c>
      <c r="D311" s="15">
        <f t="shared" si="21"/>
        <v>44.404560205121626</v>
      </c>
      <c r="E311" s="8">
        <f t="shared" si="20"/>
        <v>6.4925668088928745</v>
      </c>
      <c r="F311" s="8">
        <f t="shared" si="22"/>
        <v>6.4925668088928745</v>
      </c>
      <c r="G311" s="8">
        <f t="shared" si="23"/>
        <v>42.153423767937404</v>
      </c>
      <c r="H311" s="5">
        <f t="shared" si="24"/>
        <v>0.14427926241984165</v>
      </c>
    </row>
    <row r="312" spans="1:8" ht="15.75" customHeight="1">
      <c r="A312" s="4">
        <v>311</v>
      </c>
      <c r="B312" s="3">
        <v>21861</v>
      </c>
      <c r="C312" s="4">
        <v>52</v>
      </c>
      <c r="D312" s="15">
        <f t="shared" si="21"/>
        <v>44.42364475856504</v>
      </c>
      <c r="E312" s="8">
        <f t="shared" si="20"/>
        <v>13.492566808892875</v>
      </c>
      <c r="F312" s="8">
        <f t="shared" si="22"/>
        <v>13.492566808892875</v>
      </c>
      <c r="G312" s="8">
        <f t="shared" si="23"/>
        <v>182.04935909243764</v>
      </c>
      <c r="H312" s="5">
        <f t="shared" si="24"/>
        <v>0.25947243863255526</v>
      </c>
    </row>
    <row r="313" spans="1:8" ht="15.75" customHeight="1">
      <c r="A313" s="4">
        <v>312</v>
      </c>
      <c r="B313" s="3">
        <v>21862</v>
      </c>
      <c r="C313" s="4">
        <v>46</v>
      </c>
      <c r="D313" s="15">
        <f t="shared" si="21"/>
        <v>44.442729312008453</v>
      </c>
      <c r="E313" s="8">
        <f t="shared" si="20"/>
        <v>7.4925668088928745</v>
      </c>
      <c r="F313" s="8">
        <f t="shared" si="22"/>
        <v>7.4925668088928745</v>
      </c>
      <c r="G313" s="8">
        <f t="shared" si="23"/>
        <v>56.138557385723153</v>
      </c>
      <c r="H313" s="5">
        <f t="shared" si="24"/>
        <v>0.16288188714984511</v>
      </c>
    </row>
    <row r="314" spans="1:8" ht="15.75" customHeight="1">
      <c r="A314" s="4">
        <v>313</v>
      </c>
      <c r="B314" s="3">
        <v>21863</v>
      </c>
      <c r="C314" s="4">
        <v>42</v>
      </c>
      <c r="D314" s="15">
        <f t="shared" si="21"/>
        <v>44.461813865451866</v>
      </c>
      <c r="E314" s="8">
        <f t="shared" si="20"/>
        <v>3.4925668088928745</v>
      </c>
      <c r="F314" s="8">
        <f t="shared" si="22"/>
        <v>3.4925668088928745</v>
      </c>
      <c r="G314" s="8">
        <f t="shared" si="23"/>
        <v>12.198022914580157</v>
      </c>
      <c r="H314" s="5">
        <f t="shared" si="24"/>
        <v>8.3156352592687485E-2</v>
      </c>
    </row>
    <row r="315" spans="1:8" ht="15.75" customHeight="1">
      <c r="A315" s="4">
        <v>314</v>
      </c>
      <c r="B315" s="3">
        <v>21864</v>
      </c>
      <c r="C315" s="4">
        <v>40</v>
      </c>
      <c r="D315" s="15">
        <f t="shared" si="21"/>
        <v>44.480898418895279</v>
      </c>
      <c r="E315" s="8">
        <f t="shared" si="20"/>
        <v>1.4925668088928745</v>
      </c>
      <c r="F315" s="8">
        <f t="shared" si="22"/>
        <v>1.4925668088928745</v>
      </c>
      <c r="G315" s="8">
        <f t="shared" si="23"/>
        <v>2.2277556790086588</v>
      </c>
      <c r="H315" s="5">
        <f t="shared" si="24"/>
        <v>3.7314170222321863E-2</v>
      </c>
    </row>
    <row r="316" spans="1:8" ht="15.75" customHeight="1">
      <c r="A316" s="4">
        <v>315</v>
      </c>
      <c r="B316" s="3">
        <v>21865</v>
      </c>
      <c r="C316" s="4">
        <v>40</v>
      </c>
      <c r="D316" s="15">
        <f t="shared" si="21"/>
        <v>44.499982972338692</v>
      </c>
      <c r="E316" s="8">
        <f t="shared" si="20"/>
        <v>1.4925668088928745</v>
      </c>
      <c r="F316" s="8">
        <f t="shared" si="22"/>
        <v>1.4925668088928745</v>
      </c>
      <c r="G316" s="8">
        <f t="shared" si="23"/>
        <v>2.2277556790086588</v>
      </c>
      <c r="H316" s="5">
        <f t="shared" si="24"/>
        <v>3.7314170222321863E-2</v>
      </c>
    </row>
    <row r="317" spans="1:8" ht="15.75" customHeight="1">
      <c r="A317" s="4">
        <v>316</v>
      </c>
      <c r="B317" s="3">
        <v>21866</v>
      </c>
      <c r="C317" s="4">
        <v>45</v>
      </c>
      <c r="D317" s="15">
        <f t="shared" si="21"/>
        <v>44.519067525782106</v>
      </c>
      <c r="E317" s="8">
        <f t="shared" si="20"/>
        <v>6.4925668088928745</v>
      </c>
      <c r="F317" s="8">
        <f t="shared" si="22"/>
        <v>6.4925668088928745</v>
      </c>
      <c r="G317" s="8">
        <f t="shared" si="23"/>
        <v>42.153423767937404</v>
      </c>
      <c r="H317" s="5">
        <f t="shared" si="24"/>
        <v>0.14427926241984165</v>
      </c>
    </row>
    <row r="318" spans="1:8" ht="15.75" customHeight="1">
      <c r="A318" s="4">
        <v>317</v>
      </c>
      <c r="B318" s="3">
        <v>21867</v>
      </c>
      <c r="C318" s="4">
        <v>35</v>
      </c>
      <c r="D318" s="15">
        <f t="shared" si="21"/>
        <v>44.538152079225512</v>
      </c>
      <c r="E318" s="8">
        <f t="shared" si="20"/>
        <v>-3.5074331911071255</v>
      </c>
      <c r="F318" s="8">
        <f t="shared" si="22"/>
        <v>3.5074331911071255</v>
      </c>
      <c r="G318" s="8">
        <f t="shared" si="23"/>
        <v>12.302087590079914</v>
      </c>
      <c r="H318" s="5">
        <f t="shared" si="24"/>
        <v>0.10021237688877502</v>
      </c>
    </row>
    <row r="319" spans="1:8" ht="15.75" customHeight="1">
      <c r="A319" s="4">
        <v>318</v>
      </c>
      <c r="B319" s="3">
        <v>21868</v>
      </c>
      <c r="C319" s="4">
        <v>35</v>
      </c>
      <c r="D319" s="15">
        <f t="shared" si="21"/>
        <v>44.557236632668925</v>
      </c>
      <c r="E319" s="8">
        <f t="shared" si="20"/>
        <v>-3.5074331911071255</v>
      </c>
      <c r="F319" s="8">
        <f t="shared" si="22"/>
        <v>3.5074331911071255</v>
      </c>
      <c r="G319" s="8">
        <f t="shared" si="23"/>
        <v>12.302087590079914</v>
      </c>
      <c r="H319" s="5">
        <f t="shared" si="24"/>
        <v>0.10021237688877502</v>
      </c>
    </row>
    <row r="320" spans="1:8" ht="15.75" customHeight="1">
      <c r="A320" s="4">
        <v>319</v>
      </c>
      <c r="B320" s="3">
        <v>21869</v>
      </c>
      <c r="C320" s="4">
        <v>40</v>
      </c>
      <c r="D320" s="15">
        <f t="shared" si="21"/>
        <v>44.576321186112338</v>
      </c>
      <c r="E320" s="8">
        <f t="shared" si="20"/>
        <v>1.4925668088928745</v>
      </c>
      <c r="F320" s="8">
        <f t="shared" si="22"/>
        <v>1.4925668088928745</v>
      </c>
      <c r="G320" s="8">
        <f t="shared" si="23"/>
        <v>2.2277556790086588</v>
      </c>
      <c r="H320" s="5">
        <f t="shared" si="24"/>
        <v>3.7314170222321863E-2</v>
      </c>
    </row>
    <row r="321" spans="1:8" ht="15.75" customHeight="1">
      <c r="A321" s="4">
        <v>320</v>
      </c>
      <c r="B321" s="3">
        <v>21870</v>
      </c>
      <c r="C321" s="4">
        <v>39</v>
      </c>
      <c r="D321" s="15">
        <f t="shared" si="21"/>
        <v>44.595405739555751</v>
      </c>
      <c r="E321" s="8">
        <f t="shared" si="20"/>
        <v>0.49256680889287452</v>
      </c>
      <c r="F321" s="8">
        <f t="shared" si="22"/>
        <v>0.49256680889287452</v>
      </c>
      <c r="G321" s="8">
        <f t="shared" si="23"/>
        <v>0.24262206122290958</v>
      </c>
      <c r="H321" s="5">
        <f t="shared" si="24"/>
        <v>1.2629918176740373E-2</v>
      </c>
    </row>
    <row r="322" spans="1:8" ht="15.75" customHeight="1">
      <c r="A322" s="4">
        <v>321</v>
      </c>
      <c r="B322" s="3">
        <v>21871</v>
      </c>
      <c r="C322" s="4">
        <v>33</v>
      </c>
      <c r="D322" s="15">
        <f t="shared" si="21"/>
        <v>44.614490292999164</v>
      </c>
      <c r="E322" s="8">
        <f t="shared" ref="E322:E366" si="25">C322-solver_opt</f>
        <v>-5.5074331911071255</v>
      </c>
      <c r="F322" s="8">
        <f t="shared" si="22"/>
        <v>5.5074331911071255</v>
      </c>
      <c r="G322" s="8">
        <f t="shared" si="23"/>
        <v>30.331820354508416</v>
      </c>
      <c r="H322" s="5">
        <f t="shared" si="24"/>
        <v>0.16689191488203411</v>
      </c>
    </row>
    <row r="323" spans="1:8" ht="15.75" customHeight="1">
      <c r="A323" s="4">
        <v>322</v>
      </c>
      <c r="B323" s="3">
        <v>21872</v>
      </c>
      <c r="C323" s="4">
        <v>42</v>
      </c>
      <c r="D323" s="15">
        <f t="shared" ref="D323:D366" si="26">_xlfn.FORECAST.LINEAR(A323,$C$2:$C$366,$A$2:$A$366)</f>
        <v>44.633574846442578</v>
      </c>
      <c r="E323" s="8">
        <f t="shared" si="25"/>
        <v>3.4925668088928745</v>
      </c>
      <c r="F323" s="8">
        <f t="shared" ref="F323:F366" si="27">ABS(E323)</f>
        <v>3.4925668088928745</v>
      </c>
      <c r="G323" s="8">
        <f t="shared" ref="G323:G366" si="28">F323^2</f>
        <v>12.198022914580157</v>
      </c>
      <c r="H323" s="5">
        <f t="shared" ref="H323:H366" si="29">F323/C323</f>
        <v>8.3156352592687485E-2</v>
      </c>
    </row>
    <row r="324" spans="1:8" ht="15.75" customHeight="1">
      <c r="A324" s="4">
        <v>323</v>
      </c>
      <c r="B324" s="3">
        <v>21873</v>
      </c>
      <c r="C324" s="4">
        <v>47</v>
      </c>
      <c r="D324" s="15">
        <f t="shared" si="26"/>
        <v>44.652659399885991</v>
      </c>
      <c r="E324" s="8">
        <f t="shared" si="25"/>
        <v>8.4925668088928745</v>
      </c>
      <c r="F324" s="8">
        <f t="shared" si="27"/>
        <v>8.4925668088928745</v>
      </c>
      <c r="G324" s="8">
        <f t="shared" si="28"/>
        <v>72.123691003508895</v>
      </c>
      <c r="H324" s="5">
        <f t="shared" si="29"/>
        <v>0.18069291082750796</v>
      </c>
    </row>
    <row r="325" spans="1:8" ht="15.75" customHeight="1">
      <c r="A325" s="4">
        <v>324</v>
      </c>
      <c r="B325" s="3">
        <v>21874</v>
      </c>
      <c r="C325" s="4">
        <v>51</v>
      </c>
      <c r="D325" s="15">
        <f t="shared" si="26"/>
        <v>44.671743953329404</v>
      </c>
      <c r="E325" s="8">
        <f t="shared" si="25"/>
        <v>12.492566808892875</v>
      </c>
      <c r="F325" s="8">
        <f t="shared" si="27"/>
        <v>12.492566808892875</v>
      </c>
      <c r="G325" s="8">
        <f t="shared" si="28"/>
        <v>156.06422547465189</v>
      </c>
      <c r="H325" s="5">
        <f t="shared" si="29"/>
        <v>0.24495229037044852</v>
      </c>
    </row>
    <row r="326" spans="1:8" ht="15.75" customHeight="1">
      <c r="A326" s="4">
        <v>325</v>
      </c>
      <c r="B326" s="3">
        <v>21875</v>
      </c>
      <c r="C326" s="4">
        <v>44</v>
      </c>
      <c r="D326" s="15">
        <f t="shared" si="26"/>
        <v>44.690828506772817</v>
      </c>
      <c r="E326" s="8">
        <f t="shared" si="25"/>
        <v>5.4925668088928745</v>
      </c>
      <c r="F326" s="8">
        <f t="shared" si="27"/>
        <v>5.4925668088928745</v>
      </c>
      <c r="G326" s="8">
        <f t="shared" si="28"/>
        <v>30.168290150151655</v>
      </c>
      <c r="H326" s="5">
        <f t="shared" si="29"/>
        <v>0.12483106383847442</v>
      </c>
    </row>
    <row r="327" spans="1:8" ht="15.75" customHeight="1">
      <c r="A327" s="4">
        <v>326</v>
      </c>
      <c r="B327" s="3">
        <v>21876</v>
      </c>
      <c r="C327" s="4">
        <v>40</v>
      </c>
      <c r="D327" s="15">
        <f t="shared" si="26"/>
        <v>44.70991306021623</v>
      </c>
      <c r="E327" s="8">
        <f t="shared" si="25"/>
        <v>1.4925668088928745</v>
      </c>
      <c r="F327" s="8">
        <f t="shared" si="27"/>
        <v>1.4925668088928745</v>
      </c>
      <c r="G327" s="8">
        <f t="shared" si="28"/>
        <v>2.2277556790086588</v>
      </c>
      <c r="H327" s="5">
        <f t="shared" si="29"/>
        <v>3.7314170222321863E-2</v>
      </c>
    </row>
    <row r="328" spans="1:8" ht="15.75" customHeight="1">
      <c r="A328" s="4">
        <v>327</v>
      </c>
      <c r="B328" s="3">
        <v>21877</v>
      </c>
      <c r="C328" s="4">
        <v>57</v>
      </c>
      <c r="D328" s="15">
        <f t="shared" si="26"/>
        <v>44.728997613659644</v>
      </c>
      <c r="E328" s="8">
        <f t="shared" si="25"/>
        <v>18.492566808892875</v>
      </c>
      <c r="F328" s="8">
        <f t="shared" si="27"/>
        <v>18.492566808892875</v>
      </c>
      <c r="G328" s="8">
        <f t="shared" si="28"/>
        <v>341.97502718136639</v>
      </c>
      <c r="H328" s="5">
        <f t="shared" si="29"/>
        <v>0.3244309966472434</v>
      </c>
    </row>
    <row r="329" spans="1:8" ht="15.75" customHeight="1">
      <c r="A329" s="4">
        <v>328</v>
      </c>
      <c r="B329" s="3">
        <v>21878</v>
      </c>
      <c r="C329" s="4">
        <v>49</v>
      </c>
      <c r="D329" s="15">
        <f t="shared" si="26"/>
        <v>44.748082167103057</v>
      </c>
      <c r="E329" s="8">
        <f t="shared" si="25"/>
        <v>10.492566808892875</v>
      </c>
      <c r="F329" s="8">
        <f t="shared" si="27"/>
        <v>10.492566808892875</v>
      </c>
      <c r="G329" s="8">
        <f t="shared" si="28"/>
        <v>110.09395823908039</v>
      </c>
      <c r="H329" s="5">
        <f t="shared" si="29"/>
        <v>0.21413401650801786</v>
      </c>
    </row>
    <row r="330" spans="1:8" ht="15.75" customHeight="1">
      <c r="A330" s="4">
        <v>329</v>
      </c>
      <c r="B330" s="3">
        <v>21879</v>
      </c>
      <c r="C330" s="4">
        <v>45</v>
      </c>
      <c r="D330" s="15">
        <f t="shared" si="26"/>
        <v>44.76716672054647</v>
      </c>
      <c r="E330" s="8">
        <f t="shared" si="25"/>
        <v>6.4925668088928745</v>
      </c>
      <c r="F330" s="8">
        <f t="shared" si="27"/>
        <v>6.4925668088928745</v>
      </c>
      <c r="G330" s="8">
        <f t="shared" si="28"/>
        <v>42.153423767937404</v>
      </c>
      <c r="H330" s="5">
        <f t="shared" si="29"/>
        <v>0.14427926241984165</v>
      </c>
    </row>
    <row r="331" spans="1:8" ht="15.75" customHeight="1">
      <c r="A331" s="4">
        <v>330</v>
      </c>
      <c r="B331" s="3">
        <v>21880</v>
      </c>
      <c r="C331" s="4">
        <v>49</v>
      </c>
      <c r="D331" s="15">
        <f t="shared" si="26"/>
        <v>44.786251273989876</v>
      </c>
      <c r="E331" s="8">
        <f t="shared" si="25"/>
        <v>10.492566808892875</v>
      </c>
      <c r="F331" s="8">
        <f t="shared" si="27"/>
        <v>10.492566808892875</v>
      </c>
      <c r="G331" s="8">
        <f t="shared" si="28"/>
        <v>110.09395823908039</v>
      </c>
      <c r="H331" s="5">
        <f t="shared" si="29"/>
        <v>0.21413401650801786</v>
      </c>
    </row>
    <row r="332" spans="1:8" ht="15.75" customHeight="1">
      <c r="A332" s="4">
        <v>331</v>
      </c>
      <c r="B332" s="3">
        <v>21881</v>
      </c>
      <c r="C332" s="4">
        <v>51</v>
      </c>
      <c r="D332" s="15">
        <f t="shared" si="26"/>
        <v>44.805335827433289</v>
      </c>
      <c r="E332" s="8">
        <f t="shared" si="25"/>
        <v>12.492566808892875</v>
      </c>
      <c r="F332" s="8">
        <f t="shared" si="27"/>
        <v>12.492566808892875</v>
      </c>
      <c r="G332" s="8">
        <f t="shared" si="28"/>
        <v>156.06422547465189</v>
      </c>
      <c r="H332" s="5">
        <f t="shared" si="29"/>
        <v>0.24495229037044852</v>
      </c>
    </row>
    <row r="333" spans="1:8" ht="15.75" customHeight="1">
      <c r="A333" s="4">
        <v>332</v>
      </c>
      <c r="B333" s="3">
        <v>21882</v>
      </c>
      <c r="C333" s="4">
        <v>46</v>
      </c>
      <c r="D333" s="15">
        <f t="shared" si="26"/>
        <v>44.824420380876703</v>
      </c>
      <c r="E333" s="8">
        <f t="shared" si="25"/>
        <v>7.4925668088928745</v>
      </c>
      <c r="F333" s="8">
        <f t="shared" si="27"/>
        <v>7.4925668088928745</v>
      </c>
      <c r="G333" s="8">
        <f t="shared" si="28"/>
        <v>56.138557385723153</v>
      </c>
      <c r="H333" s="5">
        <f t="shared" si="29"/>
        <v>0.16288188714984511</v>
      </c>
    </row>
    <row r="334" spans="1:8" ht="15.75" customHeight="1">
      <c r="A334" s="4">
        <v>333</v>
      </c>
      <c r="B334" s="3">
        <v>21883</v>
      </c>
      <c r="C334" s="4">
        <v>44</v>
      </c>
      <c r="D334" s="15">
        <f t="shared" si="26"/>
        <v>44.843504934320116</v>
      </c>
      <c r="E334" s="8">
        <f t="shared" si="25"/>
        <v>5.4925668088928745</v>
      </c>
      <c r="F334" s="8">
        <f t="shared" si="27"/>
        <v>5.4925668088928745</v>
      </c>
      <c r="G334" s="8">
        <f t="shared" si="28"/>
        <v>30.168290150151655</v>
      </c>
      <c r="H334" s="5">
        <f t="shared" si="29"/>
        <v>0.12483106383847442</v>
      </c>
    </row>
    <row r="335" spans="1:8" ht="15.75" customHeight="1">
      <c r="A335" s="4">
        <v>334</v>
      </c>
      <c r="B335" s="3">
        <v>21884</v>
      </c>
      <c r="C335" s="4">
        <v>52</v>
      </c>
      <c r="D335" s="15">
        <f t="shared" si="26"/>
        <v>44.862589487763529</v>
      </c>
      <c r="E335" s="8">
        <f t="shared" si="25"/>
        <v>13.492566808892875</v>
      </c>
      <c r="F335" s="8">
        <f t="shared" si="27"/>
        <v>13.492566808892875</v>
      </c>
      <c r="G335" s="8">
        <f t="shared" si="28"/>
        <v>182.04935909243764</v>
      </c>
      <c r="H335" s="5">
        <f t="shared" si="29"/>
        <v>0.25947243863255526</v>
      </c>
    </row>
    <row r="336" spans="1:8" ht="15.75" customHeight="1">
      <c r="A336" s="4">
        <v>335</v>
      </c>
      <c r="B336" s="3">
        <v>21885</v>
      </c>
      <c r="C336" s="4">
        <v>45</v>
      </c>
      <c r="D336" s="15">
        <f t="shared" si="26"/>
        <v>44.881674041206942</v>
      </c>
      <c r="E336" s="8">
        <f t="shared" si="25"/>
        <v>6.4925668088928745</v>
      </c>
      <c r="F336" s="8">
        <f t="shared" si="27"/>
        <v>6.4925668088928745</v>
      </c>
      <c r="G336" s="8">
        <f t="shared" si="28"/>
        <v>42.153423767937404</v>
      </c>
      <c r="H336" s="5">
        <f t="shared" si="29"/>
        <v>0.14427926241984165</v>
      </c>
    </row>
    <row r="337" spans="1:8" ht="15.75" customHeight="1">
      <c r="A337" s="4">
        <v>336</v>
      </c>
      <c r="B337" s="3">
        <v>21886</v>
      </c>
      <c r="C337" s="4">
        <v>32</v>
      </c>
      <c r="D337" s="15">
        <f t="shared" si="26"/>
        <v>44.900758594650355</v>
      </c>
      <c r="E337" s="8">
        <f t="shared" si="25"/>
        <v>-6.5074331911071255</v>
      </c>
      <c r="F337" s="8">
        <f t="shared" si="27"/>
        <v>6.5074331911071255</v>
      </c>
      <c r="G337" s="8">
        <f t="shared" si="28"/>
        <v>42.346686736722667</v>
      </c>
      <c r="H337" s="5">
        <f t="shared" si="29"/>
        <v>0.20335728722209767</v>
      </c>
    </row>
    <row r="338" spans="1:8" ht="15.75" customHeight="1">
      <c r="A338" s="4">
        <v>337</v>
      </c>
      <c r="B338" s="3">
        <v>21887</v>
      </c>
      <c r="C338" s="4">
        <v>46</v>
      </c>
      <c r="D338" s="15">
        <f t="shared" si="26"/>
        <v>44.919843148093769</v>
      </c>
      <c r="E338" s="8">
        <f t="shared" si="25"/>
        <v>7.4925668088928745</v>
      </c>
      <c r="F338" s="8">
        <f t="shared" si="27"/>
        <v>7.4925668088928745</v>
      </c>
      <c r="G338" s="8">
        <f t="shared" si="28"/>
        <v>56.138557385723153</v>
      </c>
      <c r="H338" s="5">
        <f t="shared" si="29"/>
        <v>0.16288188714984511</v>
      </c>
    </row>
    <row r="339" spans="1:8" ht="15.75" customHeight="1">
      <c r="A339" s="4">
        <v>338</v>
      </c>
      <c r="B339" s="3">
        <v>21888</v>
      </c>
      <c r="C339" s="4">
        <v>41</v>
      </c>
      <c r="D339" s="15">
        <f t="shared" si="26"/>
        <v>44.938927701537182</v>
      </c>
      <c r="E339" s="8">
        <f t="shared" si="25"/>
        <v>2.4925668088928745</v>
      </c>
      <c r="F339" s="8">
        <f t="shared" si="27"/>
        <v>2.4925668088928745</v>
      </c>
      <c r="G339" s="8">
        <f t="shared" si="28"/>
        <v>6.2128892967944074</v>
      </c>
      <c r="H339" s="5">
        <f t="shared" si="29"/>
        <v>6.079431241202133E-2</v>
      </c>
    </row>
    <row r="340" spans="1:8" ht="15.75" customHeight="1">
      <c r="A340" s="4">
        <v>339</v>
      </c>
      <c r="B340" s="3">
        <v>21889</v>
      </c>
      <c r="C340" s="4">
        <v>34</v>
      </c>
      <c r="D340" s="15">
        <f t="shared" si="26"/>
        <v>44.958012254980595</v>
      </c>
      <c r="E340" s="8">
        <f t="shared" si="25"/>
        <v>-4.5074331911071255</v>
      </c>
      <c r="F340" s="8">
        <f t="shared" si="27"/>
        <v>4.5074331911071255</v>
      </c>
      <c r="G340" s="8">
        <f t="shared" si="28"/>
        <v>20.316953972294165</v>
      </c>
      <c r="H340" s="5">
        <f t="shared" si="29"/>
        <v>0.13257156444432722</v>
      </c>
    </row>
    <row r="341" spans="1:8" ht="15.75" customHeight="1">
      <c r="A341" s="4">
        <v>340</v>
      </c>
      <c r="B341" s="3">
        <v>21890</v>
      </c>
      <c r="C341" s="4">
        <v>33</v>
      </c>
      <c r="D341" s="15">
        <f t="shared" si="26"/>
        <v>44.977096808424008</v>
      </c>
      <c r="E341" s="8">
        <f t="shared" si="25"/>
        <v>-5.5074331911071255</v>
      </c>
      <c r="F341" s="8">
        <f t="shared" si="27"/>
        <v>5.5074331911071255</v>
      </c>
      <c r="G341" s="8">
        <f t="shared" si="28"/>
        <v>30.331820354508416</v>
      </c>
      <c r="H341" s="5">
        <f t="shared" si="29"/>
        <v>0.16689191488203411</v>
      </c>
    </row>
    <row r="342" spans="1:8" ht="15.75" customHeight="1">
      <c r="A342" s="4">
        <v>341</v>
      </c>
      <c r="B342" s="3">
        <v>21891</v>
      </c>
      <c r="C342" s="4">
        <v>36</v>
      </c>
      <c r="D342" s="15">
        <f t="shared" si="26"/>
        <v>44.996181361867414</v>
      </c>
      <c r="E342" s="8">
        <f t="shared" si="25"/>
        <v>-2.5074331911071255</v>
      </c>
      <c r="F342" s="8">
        <f t="shared" si="27"/>
        <v>2.5074331911071255</v>
      </c>
      <c r="G342" s="8">
        <f t="shared" si="28"/>
        <v>6.2872212078656622</v>
      </c>
      <c r="H342" s="5">
        <f t="shared" si="29"/>
        <v>6.9650921975197927E-2</v>
      </c>
    </row>
    <row r="343" spans="1:8" ht="15.75" customHeight="1">
      <c r="A343" s="4">
        <v>342</v>
      </c>
      <c r="B343" s="3">
        <v>21892</v>
      </c>
      <c r="C343" s="4">
        <v>49</v>
      </c>
      <c r="D343" s="15">
        <f t="shared" si="26"/>
        <v>45.015265915310835</v>
      </c>
      <c r="E343" s="8">
        <f t="shared" si="25"/>
        <v>10.492566808892875</v>
      </c>
      <c r="F343" s="8">
        <f t="shared" si="27"/>
        <v>10.492566808892875</v>
      </c>
      <c r="G343" s="8">
        <f t="shared" si="28"/>
        <v>110.09395823908039</v>
      </c>
      <c r="H343" s="5">
        <f t="shared" si="29"/>
        <v>0.21413401650801786</v>
      </c>
    </row>
    <row r="344" spans="1:8" ht="15.75" customHeight="1">
      <c r="A344" s="4">
        <v>343</v>
      </c>
      <c r="B344" s="3">
        <v>21893</v>
      </c>
      <c r="C344" s="4">
        <v>43</v>
      </c>
      <c r="D344" s="15">
        <f t="shared" si="26"/>
        <v>45.034350468754241</v>
      </c>
      <c r="E344" s="8">
        <f t="shared" si="25"/>
        <v>4.4925668088928745</v>
      </c>
      <c r="F344" s="8">
        <f t="shared" si="27"/>
        <v>4.4925668088928745</v>
      </c>
      <c r="G344" s="8">
        <f t="shared" si="28"/>
        <v>20.183156532365906</v>
      </c>
      <c r="H344" s="5">
        <f t="shared" si="29"/>
        <v>0.10447829788122964</v>
      </c>
    </row>
    <row r="345" spans="1:8" ht="15.75" customHeight="1">
      <c r="A345" s="4">
        <v>344</v>
      </c>
      <c r="B345" s="3">
        <v>21894</v>
      </c>
      <c r="C345" s="4">
        <v>43</v>
      </c>
      <c r="D345" s="15">
        <f t="shared" si="26"/>
        <v>45.053435022197654</v>
      </c>
      <c r="E345" s="8">
        <f t="shared" si="25"/>
        <v>4.4925668088928745</v>
      </c>
      <c r="F345" s="8">
        <f t="shared" si="27"/>
        <v>4.4925668088928745</v>
      </c>
      <c r="G345" s="8">
        <f t="shared" si="28"/>
        <v>20.183156532365906</v>
      </c>
      <c r="H345" s="5">
        <f t="shared" si="29"/>
        <v>0.10447829788122964</v>
      </c>
    </row>
    <row r="346" spans="1:8" ht="15.75" customHeight="1">
      <c r="A346" s="4">
        <v>345</v>
      </c>
      <c r="B346" s="3">
        <v>21895</v>
      </c>
      <c r="C346" s="4">
        <v>34</v>
      </c>
      <c r="D346" s="15">
        <f t="shared" si="26"/>
        <v>45.072519575641067</v>
      </c>
      <c r="E346" s="8">
        <f t="shared" si="25"/>
        <v>-4.5074331911071255</v>
      </c>
      <c r="F346" s="8">
        <f t="shared" si="27"/>
        <v>4.5074331911071255</v>
      </c>
      <c r="G346" s="8">
        <f t="shared" si="28"/>
        <v>20.316953972294165</v>
      </c>
      <c r="H346" s="5">
        <f t="shared" si="29"/>
        <v>0.13257156444432722</v>
      </c>
    </row>
    <row r="347" spans="1:8" ht="15.75" customHeight="1">
      <c r="A347" s="4">
        <v>346</v>
      </c>
      <c r="B347" s="3">
        <v>21896</v>
      </c>
      <c r="C347" s="4">
        <v>39</v>
      </c>
      <c r="D347" s="15">
        <f t="shared" si="26"/>
        <v>45.09160412908448</v>
      </c>
      <c r="E347" s="8">
        <f t="shared" si="25"/>
        <v>0.49256680889287452</v>
      </c>
      <c r="F347" s="8">
        <f t="shared" si="27"/>
        <v>0.49256680889287452</v>
      </c>
      <c r="G347" s="8">
        <f t="shared" si="28"/>
        <v>0.24262206122290958</v>
      </c>
      <c r="H347" s="5">
        <f t="shared" si="29"/>
        <v>1.2629918176740373E-2</v>
      </c>
    </row>
    <row r="348" spans="1:8" ht="15.75" customHeight="1">
      <c r="A348" s="4">
        <v>347</v>
      </c>
      <c r="B348" s="3">
        <v>21897</v>
      </c>
      <c r="C348" s="4">
        <v>35</v>
      </c>
      <c r="D348" s="15">
        <f t="shared" si="26"/>
        <v>45.110688682527893</v>
      </c>
      <c r="E348" s="8">
        <f t="shared" si="25"/>
        <v>-3.5074331911071255</v>
      </c>
      <c r="F348" s="8">
        <f t="shared" si="27"/>
        <v>3.5074331911071255</v>
      </c>
      <c r="G348" s="8">
        <f t="shared" si="28"/>
        <v>12.302087590079914</v>
      </c>
      <c r="H348" s="5">
        <f t="shared" si="29"/>
        <v>0.10021237688877502</v>
      </c>
    </row>
    <row r="349" spans="1:8" ht="15.75" customHeight="1">
      <c r="A349" s="4">
        <v>348</v>
      </c>
      <c r="B349" s="3">
        <v>21898</v>
      </c>
      <c r="C349" s="4">
        <v>52</v>
      </c>
      <c r="D349" s="15">
        <f t="shared" si="26"/>
        <v>45.129773235971307</v>
      </c>
      <c r="E349" s="8">
        <f t="shared" si="25"/>
        <v>13.492566808892875</v>
      </c>
      <c r="F349" s="8">
        <f t="shared" si="27"/>
        <v>13.492566808892875</v>
      </c>
      <c r="G349" s="8">
        <f t="shared" si="28"/>
        <v>182.04935909243764</v>
      </c>
      <c r="H349" s="5">
        <f t="shared" si="29"/>
        <v>0.25947243863255526</v>
      </c>
    </row>
    <row r="350" spans="1:8" ht="15.75" customHeight="1">
      <c r="A350" s="4">
        <v>349</v>
      </c>
      <c r="B350" s="3">
        <v>21899</v>
      </c>
      <c r="C350" s="4">
        <v>47</v>
      </c>
      <c r="D350" s="15">
        <f t="shared" si="26"/>
        <v>45.14885778941472</v>
      </c>
      <c r="E350" s="8">
        <f t="shared" si="25"/>
        <v>8.4925668088928745</v>
      </c>
      <c r="F350" s="8">
        <f t="shared" si="27"/>
        <v>8.4925668088928745</v>
      </c>
      <c r="G350" s="8">
        <f t="shared" si="28"/>
        <v>72.123691003508895</v>
      </c>
      <c r="H350" s="5">
        <f t="shared" si="29"/>
        <v>0.18069291082750796</v>
      </c>
    </row>
    <row r="351" spans="1:8" ht="15.75" customHeight="1">
      <c r="A351" s="4">
        <v>350</v>
      </c>
      <c r="B351" s="3">
        <v>21900</v>
      </c>
      <c r="C351" s="4">
        <v>52</v>
      </c>
      <c r="D351" s="15">
        <f t="shared" si="26"/>
        <v>45.167942342858133</v>
      </c>
      <c r="E351" s="8">
        <f t="shared" si="25"/>
        <v>13.492566808892875</v>
      </c>
      <c r="F351" s="8">
        <f t="shared" si="27"/>
        <v>13.492566808892875</v>
      </c>
      <c r="G351" s="8">
        <f t="shared" si="28"/>
        <v>182.04935909243764</v>
      </c>
      <c r="H351" s="5">
        <f t="shared" si="29"/>
        <v>0.25947243863255526</v>
      </c>
    </row>
    <row r="352" spans="1:8" ht="15.75" customHeight="1">
      <c r="A352" s="4">
        <v>351</v>
      </c>
      <c r="B352" s="3">
        <v>21901</v>
      </c>
      <c r="C352" s="4">
        <v>39</v>
      </c>
      <c r="D352" s="15">
        <f t="shared" si="26"/>
        <v>45.187026896301546</v>
      </c>
      <c r="E352" s="8">
        <f t="shared" si="25"/>
        <v>0.49256680889287452</v>
      </c>
      <c r="F352" s="8">
        <f t="shared" si="27"/>
        <v>0.49256680889287452</v>
      </c>
      <c r="G352" s="8">
        <f t="shared" si="28"/>
        <v>0.24262206122290958</v>
      </c>
      <c r="H352" s="5">
        <f t="shared" si="29"/>
        <v>1.2629918176740373E-2</v>
      </c>
    </row>
    <row r="353" spans="1:8" ht="15.75" customHeight="1">
      <c r="A353" s="4">
        <v>352</v>
      </c>
      <c r="B353" s="3">
        <v>21902</v>
      </c>
      <c r="C353" s="4">
        <v>40</v>
      </c>
      <c r="D353" s="15">
        <f t="shared" si="26"/>
        <v>45.206111449744959</v>
      </c>
      <c r="E353" s="8">
        <f t="shared" si="25"/>
        <v>1.4925668088928745</v>
      </c>
      <c r="F353" s="8">
        <f t="shared" si="27"/>
        <v>1.4925668088928745</v>
      </c>
      <c r="G353" s="8">
        <f t="shared" si="28"/>
        <v>2.2277556790086588</v>
      </c>
      <c r="H353" s="5">
        <f t="shared" si="29"/>
        <v>3.7314170222321863E-2</v>
      </c>
    </row>
    <row r="354" spans="1:8" ht="15.75" customHeight="1">
      <c r="A354" s="4">
        <v>353</v>
      </c>
      <c r="B354" s="3">
        <v>21903</v>
      </c>
      <c r="C354" s="4">
        <v>42</v>
      </c>
      <c r="D354" s="15">
        <f t="shared" si="26"/>
        <v>45.225196003188373</v>
      </c>
      <c r="E354" s="8">
        <f t="shared" si="25"/>
        <v>3.4925668088928745</v>
      </c>
      <c r="F354" s="8">
        <f t="shared" si="27"/>
        <v>3.4925668088928745</v>
      </c>
      <c r="G354" s="8">
        <f t="shared" si="28"/>
        <v>12.198022914580157</v>
      </c>
      <c r="H354" s="5">
        <f t="shared" si="29"/>
        <v>8.3156352592687485E-2</v>
      </c>
    </row>
    <row r="355" spans="1:8" ht="15.75" customHeight="1">
      <c r="A355" s="4">
        <v>354</v>
      </c>
      <c r="B355" s="3">
        <v>21904</v>
      </c>
      <c r="C355" s="4">
        <v>42</v>
      </c>
      <c r="D355" s="15">
        <f t="shared" si="26"/>
        <v>45.244280556631779</v>
      </c>
      <c r="E355" s="8">
        <f t="shared" si="25"/>
        <v>3.4925668088928745</v>
      </c>
      <c r="F355" s="8">
        <f t="shared" si="27"/>
        <v>3.4925668088928745</v>
      </c>
      <c r="G355" s="8">
        <f t="shared" si="28"/>
        <v>12.198022914580157</v>
      </c>
      <c r="H355" s="5">
        <f t="shared" si="29"/>
        <v>8.3156352592687485E-2</v>
      </c>
    </row>
    <row r="356" spans="1:8" ht="15.75" customHeight="1">
      <c r="A356" s="4">
        <v>355</v>
      </c>
      <c r="B356" s="3">
        <v>21905</v>
      </c>
      <c r="C356" s="4">
        <v>53</v>
      </c>
      <c r="D356" s="15">
        <f t="shared" si="26"/>
        <v>45.263365110075192</v>
      </c>
      <c r="E356" s="8">
        <f t="shared" si="25"/>
        <v>14.492566808892875</v>
      </c>
      <c r="F356" s="8">
        <f t="shared" si="27"/>
        <v>14.492566808892875</v>
      </c>
      <c r="G356" s="8">
        <f t="shared" si="28"/>
        <v>210.03449271022339</v>
      </c>
      <c r="H356" s="5">
        <f t="shared" si="29"/>
        <v>0.27344465677156365</v>
      </c>
    </row>
    <row r="357" spans="1:8" ht="15.75" customHeight="1">
      <c r="A357" s="4">
        <v>356</v>
      </c>
      <c r="B357" s="3">
        <v>21906</v>
      </c>
      <c r="C357" s="4">
        <v>39</v>
      </c>
      <c r="D357" s="15">
        <f t="shared" si="26"/>
        <v>45.282449663518605</v>
      </c>
      <c r="E357" s="8">
        <f t="shared" si="25"/>
        <v>0.49256680889287452</v>
      </c>
      <c r="F357" s="8">
        <f t="shared" si="27"/>
        <v>0.49256680889287452</v>
      </c>
      <c r="G357" s="8">
        <f t="shared" si="28"/>
        <v>0.24262206122290958</v>
      </c>
      <c r="H357" s="5">
        <f t="shared" si="29"/>
        <v>1.2629918176740373E-2</v>
      </c>
    </row>
    <row r="358" spans="1:8" ht="15.75" customHeight="1">
      <c r="A358" s="4">
        <v>357</v>
      </c>
      <c r="B358" s="3">
        <v>21907</v>
      </c>
      <c r="C358" s="4">
        <v>40</v>
      </c>
      <c r="D358" s="15">
        <f t="shared" si="26"/>
        <v>45.301534216962018</v>
      </c>
      <c r="E358" s="8">
        <f t="shared" si="25"/>
        <v>1.4925668088928745</v>
      </c>
      <c r="F358" s="8">
        <f t="shared" si="27"/>
        <v>1.4925668088928745</v>
      </c>
      <c r="G358" s="8">
        <f t="shared" si="28"/>
        <v>2.2277556790086588</v>
      </c>
      <c r="H358" s="5">
        <f t="shared" si="29"/>
        <v>3.7314170222321863E-2</v>
      </c>
    </row>
    <row r="359" spans="1:8" ht="15.75" customHeight="1">
      <c r="A359" s="4">
        <v>358</v>
      </c>
      <c r="B359" s="3">
        <v>21908</v>
      </c>
      <c r="C359" s="4">
        <v>38</v>
      </c>
      <c r="D359" s="15">
        <f t="shared" si="26"/>
        <v>45.320618770405432</v>
      </c>
      <c r="E359" s="8">
        <f t="shared" si="25"/>
        <v>-0.50743319110712548</v>
      </c>
      <c r="F359" s="8">
        <f t="shared" si="27"/>
        <v>0.50743319110712548</v>
      </c>
      <c r="G359" s="8">
        <f t="shared" si="28"/>
        <v>0.25748844343716054</v>
      </c>
      <c r="H359" s="5">
        <f t="shared" si="29"/>
        <v>1.3353505029134882E-2</v>
      </c>
    </row>
    <row r="360" spans="1:8" ht="15.75" customHeight="1">
      <c r="A360" s="4">
        <v>359</v>
      </c>
      <c r="B360" s="3">
        <v>21909</v>
      </c>
      <c r="C360" s="4">
        <v>44</v>
      </c>
      <c r="D360" s="15">
        <f t="shared" si="26"/>
        <v>45.339703323848845</v>
      </c>
      <c r="E360" s="8">
        <f t="shared" si="25"/>
        <v>5.4925668088928745</v>
      </c>
      <c r="F360" s="8">
        <f t="shared" si="27"/>
        <v>5.4925668088928745</v>
      </c>
      <c r="G360" s="8">
        <f t="shared" si="28"/>
        <v>30.168290150151655</v>
      </c>
      <c r="H360" s="5">
        <f t="shared" si="29"/>
        <v>0.12483106383847442</v>
      </c>
    </row>
    <row r="361" spans="1:8" ht="15.75" customHeight="1">
      <c r="A361" s="4">
        <v>360</v>
      </c>
      <c r="B361" s="3">
        <v>21910</v>
      </c>
      <c r="C361" s="4">
        <v>34</v>
      </c>
      <c r="D361" s="15">
        <f t="shared" si="26"/>
        <v>45.358787877292258</v>
      </c>
      <c r="E361" s="8">
        <f t="shared" si="25"/>
        <v>-4.5074331911071255</v>
      </c>
      <c r="F361" s="8">
        <f t="shared" si="27"/>
        <v>4.5074331911071255</v>
      </c>
      <c r="G361" s="8">
        <f t="shared" si="28"/>
        <v>20.316953972294165</v>
      </c>
      <c r="H361" s="5">
        <f t="shared" si="29"/>
        <v>0.13257156444432722</v>
      </c>
    </row>
    <row r="362" spans="1:8" ht="15.75" customHeight="1">
      <c r="A362" s="4">
        <v>361</v>
      </c>
      <c r="B362" s="3">
        <v>21911</v>
      </c>
      <c r="C362" s="4">
        <v>37</v>
      </c>
      <c r="D362" s="15">
        <f t="shared" si="26"/>
        <v>45.377872430735671</v>
      </c>
      <c r="E362" s="8">
        <f t="shared" si="25"/>
        <v>-1.5074331911071255</v>
      </c>
      <c r="F362" s="8">
        <f t="shared" si="27"/>
        <v>1.5074331911071255</v>
      </c>
      <c r="G362" s="8">
        <f t="shared" si="28"/>
        <v>2.2723548256514117</v>
      </c>
      <c r="H362" s="5">
        <f t="shared" si="29"/>
        <v>4.0741437597489875E-2</v>
      </c>
    </row>
    <row r="363" spans="1:8" ht="15.75" customHeight="1">
      <c r="A363" s="4">
        <v>362</v>
      </c>
      <c r="B363" s="3">
        <v>21912</v>
      </c>
      <c r="C363" s="4">
        <v>52</v>
      </c>
      <c r="D363" s="15">
        <f t="shared" si="26"/>
        <v>45.396956984179084</v>
      </c>
      <c r="E363" s="8">
        <f t="shared" si="25"/>
        <v>13.492566808892875</v>
      </c>
      <c r="F363" s="8">
        <f t="shared" si="27"/>
        <v>13.492566808892875</v>
      </c>
      <c r="G363" s="8">
        <f t="shared" si="28"/>
        <v>182.04935909243764</v>
      </c>
      <c r="H363" s="5">
        <f t="shared" si="29"/>
        <v>0.25947243863255526</v>
      </c>
    </row>
    <row r="364" spans="1:8" ht="15.75" customHeight="1">
      <c r="A364" s="4">
        <v>363</v>
      </c>
      <c r="B364" s="3">
        <v>21913</v>
      </c>
      <c r="C364" s="4">
        <v>48</v>
      </c>
      <c r="D364" s="15">
        <f t="shared" si="26"/>
        <v>45.416041537622498</v>
      </c>
      <c r="E364" s="8">
        <f t="shared" si="25"/>
        <v>9.4925668088928745</v>
      </c>
      <c r="F364" s="8">
        <f t="shared" si="27"/>
        <v>9.4925668088928745</v>
      </c>
      <c r="G364" s="8">
        <f t="shared" si="28"/>
        <v>90.108824621294644</v>
      </c>
      <c r="H364" s="5">
        <f t="shared" si="29"/>
        <v>0.19776180851860156</v>
      </c>
    </row>
    <row r="365" spans="1:8" ht="15.75" customHeight="1">
      <c r="A365" s="4">
        <v>364</v>
      </c>
      <c r="B365" s="3">
        <v>21914</v>
      </c>
      <c r="C365" s="4">
        <v>55</v>
      </c>
      <c r="D365" s="15">
        <f t="shared" si="26"/>
        <v>45.435126091065911</v>
      </c>
      <c r="E365" s="8">
        <f t="shared" si="25"/>
        <v>16.492566808892875</v>
      </c>
      <c r="F365" s="8">
        <f t="shared" si="27"/>
        <v>16.492566808892875</v>
      </c>
      <c r="G365" s="8">
        <f t="shared" si="28"/>
        <v>272.00475994579489</v>
      </c>
      <c r="H365" s="5">
        <f t="shared" si="29"/>
        <v>0.29986485107077954</v>
      </c>
    </row>
    <row r="366" spans="1:8" ht="15.75" customHeight="1">
      <c r="A366" s="4">
        <v>365</v>
      </c>
      <c r="B366" s="3">
        <v>21915</v>
      </c>
      <c r="C366" s="4">
        <v>50</v>
      </c>
      <c r="D366" s="15">
        <f t="shared" si="26"/>
        <v>45.454210644509324</v>
      </c>
      <c r="E366" s="8">
        <f t="shared" si="25"/>
        <v>11.492566808892875</v>
      </c>
      <c r="F366" s="8">
        <f t="shared" si="27"/>
        <v>11.492566808892875</v>
      </c>
      <c r="G366" s="8">
        <f t="shared" si="28"/>
        <v>132.07909185686614</v>
      </c>
      <c r="H366" s="5">
        <f t="shared" si="29"/>
        <v>0.2298513361778575</v>
      </c>
    </row>
    <row r="367" spans="1:8" ht="15.75" customHeight="1">
      <c r="D367" s="15"/>
      <c r="E367" s="8"/>
    </row>
    <row r="368" spans="1:8" ht="15.75" customHeight="1">
      <c r="D368" s="15"/>
      <c r="E368" s="8"/>
    </row>
    <row r="369" spans="4:5" ht="15.75" customHeight="1">
      <c r="D369" s="15"/>
      <c r="E369" s="8"/>
    </row>
    <row r="370" spans="4:5" ht="15.75" customHeight="1">
      <c r="D370" s="15"/>
      <c r="E370" s="8"/>
    </row>
    <row r="371" spans="4:5" ht="15.75" customHeight="1">
      <c r="D371" s="15"/>
      <c r="E371" s="8"/>
    </row>
    <row r="372" spans="4:5" ht="15.75" customHeight="1">
      <c r="D372" s="15"/>
      <c r="E372" s="8"/>
    </row>
    <row r="373" spans="4:5" ht="15.75" customHeight="1">
      <c r="D373" s="15"/>
      <c r="E373" s="8"/>
    </row>
    <row r="374" spans="4:5" ht="15.75" customHeight="1">
      <c r="D374" s="15"/>
      <c r="E374" s="8"/>
    </row>
    <row r="375" spans="4:5" ht="15.75" customHeight="1">
      <c r="D375" s="15"/>
      <c r="E375" s="8"/>
    </row>
    <row r="376" spans="4:5" ht="15.75" customHeight="1">
      <c r="D376" s="15"/>
      <c r="E376" s="8"/>
    </row>
    <row r="377" spans="4:5" ht="15.75" customHeight="1">
      <c r="D377" s="15"/>
      <c r="E377" s="8"/>
    </row>
    <row r="378" spans="4:5" ht="15.75" customHeight="1">
      <c r="D378" s="15"/>
      <c r="E378" s="8"/>
    </row>
    <row r="379" spans="4:5" ht="15.75" customHeight="1">
      <c r="D379" s="15"/>
      <c r="E379" s="8"/>
    </row>
    <row r="380" spans="4:5" ht="15.75" customHeight="1">
      <c r="D380" s="15"/>
      <c r="E380" s="8"/>
    </row>
    <row r="381" spans="4:5" ht="15.75" customHeight="1">
      <c r="D381" s="15"/>
      <c r="E381" s="8"/>
    </row>
    <row r="382" spans="4:5" ht="15.75" customHeight="1">
      <c r="D382" s="15"/>
      <c r="E382" s="8"/>
    </row>
    <row r="383" spans="4:5" ht="15.75" customHeight="1">
      <c r="D383" s="15"/>
      <c r="E383" s="8"/>
    </row>
    <row r="384" spans="4:5" ht="15.75" customHeight="1">
      <c r="D384" s="15"/>
      <c r="E384" s="8"/>
    </row>
    <row r="385" spans="4:5" ht="15.75" customHeight="1">
      <c r="D385" s="15"/>
      <c r="E385" s="8"/>
    </row>
    <row r="386" spans="4:5" ht="15.75" customHeight="1">
      <c r="D386" s="15"/>
      <c r="E386" s="8"/>
    </row>
    <row r="387" spans="4:5" ht="15.75" customHeight="1">
      <c r="D387" s="15"/>
      <c r="E387" s="8"/>
    </row>
    <row r="388" spans="4:5" ht="15.75" customHeight="1">
      <c r="D388" s="15"/>
      <c r="E388" s="8"/>
    </row>
    <row r="389" spans="4:5" ht="15.75" customHeight="1">
      <c r="D389" s="15"/>
      <c r="E389" s="8"/>
    </row>
    <row r="390" spans="4:5" ht="15.75" customHeight="1">
      <c r="D390" s="15"/>
      <c r="E390" s="8"/>
    </row>
    <row r="391" spans="4:5" ht="15.75" customHeight="1">
      <c r="D391" s="15"/>
      <c r="E391" s="8"/>
    </row>
    <row r="392" spans="4:5" ht="15.75" customHeight="1">
      <c r="D392" s="15"/>
      <c r="E392" s="8"/>
    </row>
    <row r="393" spans="4:5" ht="15.75" customHeight="1">
      <c r="D393" s="15"/>
      <c r="E393" s="8"/>
    </row>
    <row r="394" spans="4:5" ht="15.75" customHeight="1">
      <c r="D394" s="15"/>
      <c r="E394" s="8"/>
    </row>
    <row r="395" spans="4:5" ht="15.75" customHeight="1">
      <c r="D395" s="15"/>
      <c r="E395" s="8"/>
    </row>
    <row r="396" spans="4:5" ht="15.75" customHeight="1">
      <c r="D396" s="15"/>
      <c r="E396" s="8"/>
    </row>
    <row r="397" spans="4:5" ht="15.75" customHeight="1">
      <c r="D397" s="15"/>
      <c r="E397" s="8"/>
    </row>
    <row r="398" spans="4:5" ht="15.75" customHeight="1">
      <c r="D398" s="15"/>
      <c r="E398" s="8"/>
    </row>
    <row r="399" spans="4:5" ht="15.75" customHeight="1">
      <c r="D399" s="15"/>
      <c r="E399" s="8"/>
    </row>
    <row r="400" spans="4:5" ht="15.75" customHeight="1">
      <c r="D400" s="15"/>
      <c r="E400" s="8"/>
    </row>
    <row r="401" spans="4:5" ht="15.75" customHeight="1">
      <c r="D401" s="15"/>
      <c r="E401" s="8"/>
    </row>
    <row r="402" spans="4:5" ht="15.75" customHeight="1">
      <c r="D402" s="15"/>
      <c r="E402" s="8"/>
    </row>
    <row r="403" spans="4:5" ht="15.75" customHeight="1">
      <c r="D403" s="15"/>
      <c r="E403" s="8"/>
    </row>
    <row r="404" spans="4:5" ht="15.75" customHeight="1">
      <c r="D404" s="15"/>
      <c r="E404" s="8"/>
    </row>
    <row r="405" spans="4:5" ht="15.75" customHeight="1">
      <c r="D405" s="15"/>
      <c r="E405" s="8"/>
    </row>
    <row r="406" spans="4:5" ht="15.75" customHeight="1">
      <c r="D406" s="15"/>
      <c r="E406" s="8"/>
    </row>
    <row r="407" spans="4:5" ht="15.75" customHeight="1">
      <c r="D407" s="15"/>
      <c r="E407" s="8"/>
    </row>
    <row r="408" spans="4:5" ht="15.75" customHeight="1">
      <c r="D408" s="15"/>
      <c r="E408" s="8"/>
    </row>
    <row r="409" spans="4:5" ht="15.75" customHeight="1">
      <c r="D409" s="15"/>
      <c r="E409" s="8"/>
    </row>
    <row r="410" spans="4:5" ht="15.75" customHeight="1">
      <c r="D410" s="15"/>
      <c r="E410" s="8"/>
    </row>
    <row r="411" spans="4:5" ht="15.75" customHeight="1">
      <c r="D411" s="15"/>
      <c r="E411" s="8"/>
    </row>
    <row r="412" spans="4:5" ht="15.75" customHeight="1">
      <c r="D412" s="15"/>
      <c r="E412" s="8"/>
    </row>
    <row r="413" spans="4:5" ht="15.75" customHeight="1">
      <c r="D413" s="15"/>
      <c r="E413" s="8"/>
    </row>
    <row r="414" spans="4:5" ht="15.75" customHeight="1">
      <c r="D414" s="15"/>
      <c r="E414" s="8"/>
    </row>
    <row r="415" spans="4:5" ht="15.75" customHeight="1">
      <c r="D415" s="15"/>
      <c r="E415" s="8"/>
    </row>
    <row r="416" spans="4:5" ht="15.75" customHeight="1">
      <c r="D416" s="15"/>
      <c r="E416" s="8"/>
    </row>
    <row r="417" spans="4:5" ht="15.75" customHeight="1">
      <c r="D417" s="15"/>
      <c r="E417" s="8"/>
    </row>
    <row r="418" spans="4:5" ht="15.75" customHeight="1">
      <c r="D418" s="15"/>
      <c r="E418" s="8"/>
    </row>
    <row r="419" spans="4:5" ht="15.75" customHeight="1">
      <c r="D419" s="15"/>
      <c r="E419" s="8"/>
    </row>
    <row r="420" spans="4:5" ht="15.75" customHeight="1">
      <c r="D420" s="15"/>
      <c r="E420" s="8"/>
    </row>
    <row r="421" spans="4:5" ht="15.75" customHeight="1">
      <c r="D421" s="15"/>
      <c r="E421" s="8"/>
    </row>
    <row r="422" spans="4:5" ht="15.75" customHeight="1">
      <c r="D422" s="15"/>
      <c r="E422" s="8"/>
    </row>
    <row r="423" spans="4:5" ht="15.75" customHeight="1">
      <c r="D423" s="15"/>
      <c r="E423" s="8"/>
    </row>
    <row r="424" spans="4:5" ht="15.75" customHeight="1">
      <c r="D424" s="15"/>
      <c r="E424" s="8"/>
    </row>
    <row r="425" spans="4:5" ht="15.75" customHeight="1">
      <c r="D425" s="15"/>
      <c r="E425" s="8"/>
    </row>
    <row r="426" spans="4:5" ht="15.75" customHeight="1">
      <c r="D426" s="15"/>
      <c r="E426" s="8"/>
    </row>
    <row r="427" spans="4:5" ht="15.75" customHeight="1">
      <c r="D427" s="15"/>
      <c r="E427" s="8"/>
    </row>
    <row r="428" spans="4:5" ht="15.75" customHeight="1">
      <c r="D428" s="15"/>
      <c r="E428" s="8"/>
    </row>
    <row r="429" spans="4:5" ht="15.75" customHeight="1">
      <c r="D429" s="15"/>
      <c r="E429" s="8"/>
    </row>
    <row r="430" spans="4:5" ht="15.75" customHeight="1">
      <c r="D430" s="15"/>
      <c r="E430" s="8"/>
    </row>
    <row r="431" spans="4:5" ht="15.75" customHeight="1">
      <c r="D431" s="15"/>
      <c r="E431" s="8"/>
    </row>
    <row r="432" spans="4:5" ht="15.75" customHeight="1">
      <c r="D432" s="15"/>
      <c r="E432" s="8"/>
    </row>
    <row r="433" spans="4:5" ht="15.75" customHeight="1">
      <c r="D433" s="15"/>
      <c r="E433" s="8"/>
    </row>
    <row r="434" spans="4:5" ht="15.75" customHeight="1">
      <c r="D434" s="15"/>
      <c r="E434" s="8"/>
    </row>
    <row r="435" spans="4:5" ht="15.75" customHeight="1">
      <c r="D435" s="15"/>
      <c r="E435" s="8"/>
    </row>
    <row r="436" spans="4:5" ht="15.75" customHeight="1">
      <c r="D436" s="15"/>
      <c r="E436" s="8"/>
    </row>
    <row r="437" spans="4:5" ht="15.75" customHeight="1">
      <c r="D437" s="15"/>
      <c r="E437" s="8"/>
    </row>
    <row r="438" spans="4:5" ht="15.75" customHeight="1">
      <c r="D438" s="15"/>
      <c r="E438" s="8"/>
    </row>
    <row r="439" spans="4:5" ht="15.75" customHeight="1">
      <c r="D439" s="15"/>
      <c r="E439" s="8"/>
    </row>
    <row r="440" spans="4:5" ht="15.75" customHeight="1">
      <c r="D440" s="15"/>
      <c r="E440" s="8"/>
    </row>
    <row r="441" spans="4:5" ht="15.75" customHeight="1">
      <c r="D441" s="15"/>
      <c r="E441" s="8"/>
    </row>
    <row r="442" spans="4:5" ht="15.75" customHeight="1">
      <c r="D442" s="15"/>
      <c r="E442" s="8"/>
    </row>
    <row r="443" spans="4:5" ht="15.75" customHeight="1">
      <c r="D443" s="15"/>
      <c r="E443" s="8"/>
    </row>
    <row r="444" spans="4:5" ht="15.75" customHeight="1">
      <c r="D444" s="15"/>
      <c r="E444" s="8"/>
    </row>
    <row r="445" spans="4:5" ht="15.75" customHeight="1">
      <c r="D445" s="15"/>
      <c r="E445" s="8"/>
    </row>
    <row r="446" spans="4:5" ht="15.75" customHeight="1">
      <c r="D446" s="15"/>
      <c r="E446" s="8"/>
    </row>
    <row r="447" spans="4:5" ht="15.75" customHeight="1">
      <c r="D447" s="15"/>
      <c r="E447" s="8"/>
    </row>
    <row r="448" spans="4:5" ht="15.75" customHeight="1">
      <c r="D448" s="15"/>
      <c r="E448" s="8"/>
    </row>
    <row r="449" spans="4:5" ht="15.75" customHeight="1">
      <c r="D449" s="15"/>
      <c r="E449" s="8"/>
    </row>
    <row r="450" spans="4:5" ht="15.75" customHeight="1">
      <c r="D450" s="15"/>
      <c r="E450" s="8"/>
    </row>
    <row r="451" spans="4:5" ht="15.75" customHeight="1">
      <c r="D451" s="15"/>
      <c r="E451" s="8"/>
    </row>
    <row r="452" spans="4:5" ht="15.75" customHeight="1">
      <c r="D452" s="15"/>
      <c r="E452" s="8"/>
    </row>
    <row r="453" spans="4:5" ht="15.75" customHeight="1">
      <c r="D453" s="15"/>
      <c r="E453" s="8"/>
    </row>
    <row r="454" spans="4:5" ht="15.75" customHeight="1">
      <c r="D454" s="15"/>
      <c r="E454" s="8"/>
    </row>
    <row r="455" spans="4:5" ht="15.75" customHeight="1">
      <c r="D455" s="15"/>
      <c r="E455" s="8"/>
    </row>
    <row r="456" spans="4:5" ht="15.75" customHeight="1">
      <c r="D456" s="15"/>
      <c r="E456" s="8"/>
    </row>
    <row r="457" spans="4:5" ht="15.75" customHeight="1">
      <c r="D457" s="15"/>
      <c r="E457" s="8"/>
    </row>
    <row r="458" spans="4:5" ht="15.75" customHeight="1">
      <c r="D458" s="15"/>
      <c r="E458" s="8"/>
    </row>
    <row r="459" spans="4:5" ht="15.75" customHeight="1">
      <c r="D459" s="15"/>
      <c r="E459" s="8"/>
    </row>
    <row r="460" spans="4:5" ht="15.75" customHeight="1">
      <c r="D460" s="15"/>
      <c r="E460" s="8"/>
    </row>
    <row r="461" spans="4:5" ht="15.75" customHeight="1">
      <c r="D461" s="15"/>
      <c r="E461" s="8"/>
    </row>
    <row r="462" spans="4:5" ht="15.75" customHeight="1">
      <c r="D462" s="15"/>
      <c r="E462" s="8"/>
    </row>
    <row r="463" spans="4:5" ht="15.75" customHeight="1">
      <c r="D463" s="15"/>
      <c r="E463" s="8"/>
    </row>
    <row r="464" spans="4:5" ht="15.75" customHeight="1">
      <c r="D464" s="15"/>
      <c r="E464" s="8"/>
    </row>
    <row r="465" spans="4:5" ht="15.75" customHeight="1">
      <c r="D465" s="15"/>
      <c r="E465" s="8"/>
    </row>
    <row r="466" spans="4:5" ht="15.75" customHeight="1">
      <c r="D466" s="15"/>
      <c r="E466" s="8"/>
    </row>
    <row r="467" spans="4:5" ht="15.75" customHeight="1">
      <c r="D467" s="15"/>
      <c r="E467" s="8"/>
    </row>
    <row r="468" spans="4:5" ht="15.75" customHeight="1">
      <c r="D468" s="15"/>
      <c r="E468" s="8"/>
    </row>
    <row r="469" spans="4:5" ht="15.75" customHeight="1">
      <c r="D469" s="15"/>
      <c r="E469" s="8"/>
    </row>
    <row r="470" spans="4:5" ht="15.75" customHeight="1">
      <c r="D470" s="15"/>
      <c r="E470" s="8"/>
    </row>
    <row r="471" spans="4:5" ht="15.75" customHeight="1">
      <c r="D471" s="15"/>
      <c r="E471" s="8"/>
    </row>
    <row r="472" spans="4:5" ht="15.75" customHeight="1">
      <c r="D472" s="15"/>
      <c r="E472" s="8"/>
    </row>
    <row r="473" spans="4:5" ht="15.75" customHeight="1">
      <c r="D473" s="15"/>
      <c r="E473" s="8"/>
    </row>
    <row r="474" spans="4:5" ht="15.75" customHeight="1">
      <c r="D474" s="15"/>
      <c r="E474" s="8"/>
    </row>
    <row r="475" spans="4:5" ht="15.75" customHeight="1">
      <c r="D475" s="15"/>
      <c r="E475" s="8"/>
    </row>
    <row r="476" spans="4:5" ht="15.75" customHeight="1">
      <c r="D476" s="15"/>
      <c r="E476" s="8"/>
    </row>
    <row r="477" spans="4:5" ht="15.75" customHeight="1">
      <c r="D477" s="15"/>
      <c r="E477" s="8"/>
    </row>
    <row r="478" spans="4:5" ht="15.75" customHeight="1">
      <c r="D478" s="15"/>
      <c r="E478" s="8"/>
    </row>
    <row r="479" spans="4:5" ht="15.75" customHeight="1">
      <c r="D479" s="15"/>
      <c r="E479" s="8"/>
    </row>
    <row r="480" spans="4:5" ht="15.75" customHeight="1">
      <c r="D480" s="15"/>
      <c r="E480" s="8"/>
    </row>
    <row r="481" spans="4:5" ht="15.75" customHeight="1">
      <c r="D481" s="15"/>
      <c r="E481" s="8"/>
    </row>
    <row r="482" spans="4:5" ht="15.75" customHeight="1">
      <c r="D482" s="15"/>
      <c r="E482" s="8"/>
    </row>
    <row r="483" spans="4:5" ht="15.75" customHeight="1">
      <c r="D483" s="15"/>
      <c r="E483" s="8"/>
    </row>
    <row r="484" spans="4:5" ht="15.75" customHeight="1">
      <c r="D484" s="15"/>
      <c r="E484" s="8"/>
    </row>
    <row r="485" spans="4:5" ht="15.75" customHeight="1">
      <c r="D485" s="15"/>
      <c r="E485" s="8"/>
    </row>
    <row r="486" spans="4:5" ht="15.75" customHeight="1">
      <c r="D486" s="15"/>
      <c r="E486" s="8"/>
    </row>
    <row r="487" spans="4:5" ht="15.75" customHeight="1">
      <c r="D487" s="15"/>
      <c r="E487" s="8"/>
    </row>
    <row r="488" spans="4:5" ht="15.75" customHeight="1">
      <c r="D488" s="15"/>
      <c r="E488" s="8"/>
    </row>
    <row r="489" spans="4:5" ht="15.75" customHeight="1">
      <c r="D489" s="15"/>
      <c r="E489" s="8"/>
    </row>
    <row r="490" spans="4:5" ht="15.75" customHeight="1">
      <c r="D490" s="15"/>
      <c r="E490" s="8"/>
    </row>
    <row r="491" spans="4:5" ht="15.75" customHeight="1">
      <c r="D491" s="15"/>
      <c r="E491" s="8"/>
    </row>
    <row r="492" spans="4:5" ht="15.75" customHeight="1">
      <c r="D492" s="15"/>
      <c r="E492" s="8"/>
    </row>
    <row r="493" spans="4:5" ht="15.75" customHeight="1">
      <c r="D493" s="15"/>
      <c r="E493" s="8"/>
    </row>
    <row r="494" spans="4:5" ht="15.75" customHeight="1">
      <c r="D494" s="15"/>
      <c r="E494" s="8"/>
    </row>
    <row r="495" spans="4:5" ht="15.75" customHeight="1">
      <c r="D495" s="15"/>
      <c r="E495" s="8"/>
    </row>
    <row r="496" spans="4:5" ht="15.75" customHeight="1">
      <c r="D496" s="15"/>
      <c r="E496" s="8"/>
    </row>
    <row r="497" spans="4:5" ht="15.75" customHeight="1">
      <c r="D497" s="15"/>
      <c r="E497" s="8"/>
    </row>
    <row r="498" spans="4:5" ht="15.75" customHeight="1">
      <c r="D498" s="15"/>
      <c r="E498" s="8"/>
    </row>
    <row r="499" spans="4:5" ht="15.75" customHeight="1">
      <c r="D499" s="15"/>
      <c r="E499" s="8"/>
    </row>
    <row r="500" spans="4:5" ht="15.75" customHeight="1">
      <c r="D500" s="15"/>
      <c r="E500" s="8"/>
    </row>
    <row r="501" spans="4:5" ht="15.75" customHeight="1">
      <c r="D501" s="15"/>
      <c r="E501" s="8"/>
    </row>
    <row r="502" spans="4:5" ht="15.75" customHeight="1">
      <c r="D502" s="15"/>
      <c r="E502" s="8"/>
    </row>
    <row r="503" spans="4:5" ht="15.75" customHeight="1">
      <c r="D503" s="15"/>
      <c r="E503" s="8"/>
    </row>
    <row r="504" spans="4:5" ht="15.75" customHeight="1">
      <c r="D504" s="15"/>
      <c r="E504" s="8"/>
    </row>
    <row r="505" spans="4:5" ht="15.75" customHeight="1">
      <c r="D505" s="15"/>
      <c r="E505" s="8"/>
    </row>
    <row r="506" spans="4:5" ht="15.75" customHeight="1">
      <c r="D506" s="15"/>
      <c r="E506" s="8"/>
    </row>
    <row r="507" spans="4:5" ht="15.75" customHeight="1">
      <c r="D507" s="15"/>
      <c r="E507" s="8"/>
    </row>
    <row r="508" spans="4:5" ht="15.75" customHeight="1">
      <c r="D508" s="15"/>
      <c r="E508" s="8"/>
    </row>
    <row r="509" spans="4:5" ht="15.75" customHeight="1">
      <c r="D509" s="15"/>
      <c r="E509" s="8"/>
    </row>
    <row r="510" spans="4:5" ht="15.75" customHeight="1">
      <c r="D510" s="15"/>
      <c r="E510" s="8"/>
    </row>
    <row r="511" spans="4:5" ht="15.75" customHeight="1">
      <c r="D511" s="15"/>
      <c r="E511" s="8"/>
    </row>
    <row r="512" spans="4:5" ht="15.75" customHeight="1">
      <c r="D512" s="15"/>
      <c r="E512" s="8"/>
    </row>
    <row r="513" spans="4:5" ht="15.75" customHeight="1">
      <c r="D513" s="15"/>
      <c r="E513" s="8"/>
    </row>
    <row r="514" spans="4:5" ht="15.75" customHeight="1">
      <c r="D514" s="15"/>
      <c r="E514" s="8"/>
    </row>
    <row r="515" spans="4:5" ht="15.75" customHeight="1">
      <c r="D515" s="15"/>
      <c r="E515" s="8"/>
    </row>
    <row r="516" spans="4:5" ht="15.75" customHeight="1">
      <c r="D516" s="15"/>
      <c r="E516" s="8"/>
    </row>
    <row r="517" spans="4:5" ht="15.75" customHeight="1">
      <c r="D517" s="15"/>
      <c r="E517" s="8"/>
    </row>
    <row r="518" spans="4:5" ht="15.75" customHeight="1">
      <c r="D518" s="15"/>
      <c r="E518" s="8"/>
    </row>
    <row r="519" spans="4:5" ht="15.75" customHeight="1">
      <c r="D519" s="15"/>
      <c r="E519" s="8"/>
    </row>
    <row r="520" spans="4:5" ht="15.75" customHeight="1">
      <c r="D520" s="15"/>
      <c r="E520" s="8"/>
    </row>
    <row r="521" spans="4:5" ht="15.75" customHeight="1">
      <c r="D521" s="15"/>
      <c r="E521" s="8"/>
    </row>
    <row r="522" spans="4:5" ht="15.75" customHeight="1">
      <c r="D522" s="15"/>
      <c r="E522" s="8"/>
    </row>
    <row r="523" spans="4:5" ht="15.75" customHeight="1">
      <c r="D523" s="15"/>
      <c r="E523" s="8"/>
    </row>
    <row r="524" spans="4:5" ht="15.75" customHeight="1">
      <c r="D524" s="15"/>
      <c r="E524" s="8"/>
    </row>
    <row r="525" spans="4:5" ht="15.75" customHeight="1">
      <c r="D525" s="15"/>
      <c r="E525" s="8"/>
    </row>
    <row r="526" spans="4:5" ht="15.75" customHeight="1">
      <c r="D526" s="15"/>
      <c r="E526" s="8"/>
    </row>
    <row r="527" spans="4:5" ht="15.75" customHeight="1">
      <c r="D527" s="15"/>
      <c r="E527" s="8"/>
    </row>
    <row r="528" spans="4:5" ht="15.75" customHeight="1">
      <c r="D528" s="15"/>
      <c r="E528" s="8"/>
    </row>
    <row r="529" spans="4:5" ht="15.75" customHeight="1">
      <c r="D529" s="15"/>
      <c r="E529" s="8"/>
    </row>
    <row r="530" spans="4:5" ht="15.75" customHeight="1">
      <c r="D530" s="15"/>
      <c r="E530" s="8"/>
    </row>
    <row r="531" spans="4:5" ht="15.75" customHeight="1">
      <c r="D531" s="15"/>
      <c r="E531" s="8"/>
    </row>
    <row r="532" spans="4:5" ht="15.75" customHeight="1">
      <c r="D532" s="15"/>
      <c r="E532" s="8"/>
    </row>
    <row r="533" spans="4:5" ht="15.75" customHeight="1">
      <c r="D533" s="15"/>
      <c r="E533" s="8"/>
    </row>
    <row r="534" spans="4:5" ht="15.75" customHeight="1">
      <c r="D534" s="15"/>
      <c r="E534" s="8"/>
    </row>
    <row r="535" spans="4:5" ht="15.75" customHeight="1">
      <c r="D535" s="15"/>
      <c r="E535" s="8"/>
    </row>
    <row r="536" spans="4:5" ht="15.75" customHeight="1">
      <c r="D536" s="15"/>
      <c r="E536" s="8"/>
    </row>
    <row r="537" spans="4:5" ht="15.75" customHeight="1">
      <c r="D537" s="15"/>
      <c r="E537" s="8"/>
    </row>
    <row r="538" spans="4:5" ht="15.75" customHeight="1">
      <c r="D538" s="15"/>
      <c r="E538" s="8"/>
    </row>
    <row r="539" spans="4:5" ht="15.75" customHeight="1">
      <c r="D539" s="15"/>
      <c r="E539" s="8"/>
    </row>
    <row r="540" spans="4:5" ht="15.75" customHeight="1">
      <c r="D540" s="15"/>
      <c r="E540" s="8"/>
    </row>
    <row r="541" spans="4:5" ht="15.75" customHeight="1">
      <c r="D541" s="15"/>
      <c r="E541" s="8"/>
    </row>
    <row r="542" spans="4:5" ht="15.75" customHeight="1">
      <c r="D542" s="15"/>
      <c r="E542" s="8"/>
    </row>
    <row r="543" spans="4:5" ht="15.75" customHeight="1">
      <c r="D543" s="15"/>
      <c r="E543" s="8"/>
    </row>
    <row r="544" spans="4:5" ht="15.75" customHeight="1">
      <c r="D544" s="15"/>
      <c r="E544" s="8"/>
    </row>
    <row r="545" spans="4:5" ht="15.75" customHeight="1">
      <c r="D545" s="15"/>
      <c r="E545" s="8"/>
    </row>
    <row r="546" spans="4:5" ht="15.75" customHeight="1">
      <c r="D546" s="15"/>
      <c r="E546" s="8"/>
    </row>
    <row r="547" spans="4:5" ht="15.75" customHeight="1">
      <c r="D547" s="15"/>
      <c r="E547" s="8"/>
    </row>
    <row r="548" spans="4:5" ht="15.75" customHeight="1">
      <c r="D548" s="15"/>
      <c r="E548" s="8"/>
    </row>
    <row r="549" spans="4:5" ht="15.75" customHeight="1">
      <c r="D549" s="15"/>
      <c r="E549" s="8"/>
    </row>
    <row r="550" spans="4:5" ht="15.75" customHeight="1">
      <c r="D550" s="15"/>
      <c r="E550" s="8"/>
    </row>
    <row r="551" spans="4:5" ht="15.75" customHeight="1">
      <c r="D551" s="15"/>
      <c r="E551" s="8"/>
    </row>
    <row r="552" spans="4:5" ht="15.75" customHeight="1">
      <c r="D552" s="15"/>
      <c r="E552" s="8"/>
    </row>
    <row r="553" spans="4:5" ht="15.75" customHeight="1">
      <c r="D553" s="15"/>
      <c r="E553" s="8"/>
    </row>
    <row r="554" spans="4:5" ht="15.75" customHeight="1">
      <c r="D554" s="15"/>
      <c r="E554" s="8"/>
    </row>
    <row r="555" spans="4:5" ht="15.75" customHeight="1">
      <c r="D555" s="15"/>
      <c r="E555" s="8"/>
    </row>
    <row r="556" spans="4:5" ht="15.75" customHeight="1">
      <c r="D556" s="15"/>
      <c r="E556" s="8"/>
    </row>
    <row r="557" spans="4:5" ht="15.75" customHeight="1">
      <c r="D557" s="15"/>
      <c r="E557" s="8"/>
    </row>
    <row r="558" spans="4:5" ht="15.75" customHeight="1">
      <c r="D558" s="15"/>
      <c r="E558" s="8"/>
    </row>
    <row r="559" spans="4:5" ht="15.75" customHeight="1">
      <c r="D559" s="15"/>
      <c r="E559" s="8"/>
    </row>
    <row r="560" spans="4:5" ht="15.75" customHeight="1">
      <c r="D560" s="15"/>
      <c r="E560" s="8"/>
    </row>
    <row r="561" spans="4:5" ht="15.75" customHeight="1">
      <c r="D561" s="15"/>
      <c r="E561" s="8"/>
    </row>
    <row r="562" spans="4:5" ht="15.75" customHeight="1">
      <c r="D562" s="15"/>
      <c r="E562" s="8"/>
    </row>
    <row r="563" spans="4:5" ht="15.75" customHeight="1">
      <c r="D563" s="15"/>
      <c r="E563" s="8"/>
    </row>
    <row r="564" spans="4:5" ht="15.75" customHeight="1">
      <c r="D564" s="15"/>
      <c r="E564" s="8"/>
    </row>
    <row r="565" spans="4:5" ht="15.75" customHeight="1">
      <c r="D565" s="15"/>
      <c r="E565" s="8"/>
    </row>
    <row r="566" spans="4:5" ht="15.75" customHeight="1">
      <c r="D566" s="15"/>
      <c r="E566" s="8"/>
    </row>
    <row r="567" spans="4:5" ht="15.75" customHeight="1">
      <c r="D567" s="15"/>
      <c r="E567" s="8"/>
    </row>
    <row r="568" spans="4:5" ht="15.75" customHeight="1">
      <c r="D568" s="15"/>
      <c r="E568" s="8"/>
    </row>
    <row r="569" spans="4:5" ht="15.75" customHeight="1">
      <c r="D569" s="15"/>
      <c r="E569" s="8"/>
    </row>
    <row r="570" spans="4:5" ht="15.75" customHeight="1">
      <c r="D570" s="15"/>
      <c r="E570" s="8"/>
    </row>
    <row r="571" spans="4:5" ht="15.75" customHeight="1">
      <c r="D571" s="15"/>
      <c r="E571" s="8"/>
    </row>
    <row r="572" spans="4:5" ht="15.75" customHeight="1">
      <c r="D572" s="15"/>
      <c r="E572" s="8"/>
    </row>
    <row r="573" spans="4:5" ht="15.75" customHeight="1">
      <c r="D573" s="15"/>
      <c r="E573" s="8"/>
    </row>
    <row r="574" spans="4:5" ht="15.75" customHeight="1">
      <c r="D574" s="15"/>
      <c r="E574" s="8"/>
    </row>
    <row r="575" spans="4:5" ht="15.75" customHeight="1">
      <c r="D575" s="15"/>
      <c r="E575" s="8"/>
    </row>
    <row r="576" spans="4:5" ht="15.75" customHeight="1">
      <c r="D576" s="15"/>
      <c r="E576" s="8"/>
    </row>
    <row r="577" spans="4:5" ht="15.75" customHeight="1">
      <c r="D577" s="15"/>
      <c r="E577" s="8"/>
    </row>
    <row r="578" spans="4:5" ht="15.75" customHeight="1">
      <c r="D578" s="15"/>
      <c r="E578" s="8"/>
    </row>
    <row r="579" spans="4:5" ht="15.75" customHeight="1">
      <c r="D579" s="15"/>
      <c r="E579" s="8"/>
    </row>
    <row r="580" spans="4:5" ht="15.75" customHeight="1">
      <c r="D580" s="15"/>
      <c r="E580" s="8"/>
    </row>
    <row r="581" spans="4:5" ht="15.75" customHeight="1">
      <c r="D581" s="15"/>
      <c r="E581" s="8"/>
    </row>
    <row r="582" spans="4:5" ht="15.75" customHeight="1">
      <c r="D582" s="15"/>
      <c r="E582" s="8"/>
    </row>
    <row r="583" spans="4:5" ht="15.75" customHeight="1">
      <c r="D583" s="15"/>
      <c r="E583" s="8"/>
    </row>
    <row r="584" spans="4:5" ht="15.75" customHeight="1">
      <c r="D584" s="15"/>
      <c r="E584" s="8"/>
    </row>
    <row r="585" spans="4:5" ht="15.75" customHeight="1">
      <c r="D585" s="15"/>
      <c r="E585" s="8"/>
    </row>
    <row r="586" spans="4:5" ht="15.75" customHeight="1">
      <c r="D586" s="15"/>
      <c r="E586" s="8"/>
    </row>
    <row r="587" spans="4:5" ht="15.75" customHeight="1">
      <c r="D587" s="15"/>
      <c r="E587" s="8"/>
    </row>
    <row r="588" spans="4:5" ht="15.75" customHeight="1">
      <c r="D588" s="15"/>
      <c r="E588" s="8"/>
    </row>
    <row r="589" spans="4:5" ht="15.75" customHeight="1">
      <c r="D589" s="15"/>
      <c r="E589" s="8"/>
    </row>
    <row r="590" spans="4:5" ht="15.75" customHeight="1">
      <c r="D590" s="15"/>
      <c r="E590" s="8"/>
    </row>
    <row r="591" spans="4:5" ht="15.75" customHeight="1">
      <c r="D591" s="15"/>
      <c r="E591" s="8"/>
    </row>
    <row r="592" spans="4:5" ht="15.75" customHeight="1">
      <c r="D592" s="15"/>
      <c r="E592" s="8"/>
    </row>
    <row r="593" spans="4:5" ht="15.75" customHeight="1">
      <c r="D593" s="15"/>
      <c r="E593" s="8"/>
    </row>
    <row r="594" spans="4:5" ht="15.75" customHeight="1">
      <c r="D594" s="15"/>
      <c r="E594" s="8"/>
    </row>
    <row r="595" spans="4:5" ht="15.75" customHeight="1">
      <c r="D595" s="15"/>
      <c r="E595" s="8"/>
    </row>
    <row r="596" spans="4:5" ht="15.75" customHeight="1">
      <c r="D596" s="15"/>
      <c r="E596" s="8"/>
    </row>
    <row r="597" spans="4:5" ht="15.75" customHeight="1">
      <c r="D597" s="15"/>
      <c r="E597" s="8"/>
    </row>
    <row r="598" spans="4:5" ht="15.75" customHeight="1">
      <c r="D598" s="15"/>
      <c r="E598" s="8"/>
    </row>
    <row r="599" spans="4:5" ht="15.75" customHeight="1">
      <c r="D599" s="15"/>
      <c r="E599" s="8"/>
    </row>
    <row r="600" spans="4:5" ht="15.75" customHeight="1">
      <c r="D600" s="15"/>
      <c r="E600" s="8"/>
    </row>
    <row r="601" spans="4:5" ht="15.75" customHeight="1">
      <c r="D601" s="15"/>
      <c r="E601" s="8"/>
    </row>
    <row r="602" spans="4:5" ht="15.75" customHeight="1">
      <c r="D602" s="15"/>
      <c r="E602" s="8"/>
    </row>
    <row r="603" spans="4:5" ht="15.75" customHeight="1">
      <c r="D603" s="15"/>
      <c r="E603" s="8"/>
    </row>
    <row r="604" spans="4:5" ht="15.75" customHeight="1">
      <c r="D604" s="15"/>
      <c r="E604" s="8"/>
    </row>
    <row r="605" spans="4:5" ht="15.75" customHeight="1">
      <c r="D605" s="15"/>
      <c r="E605" s="8"/>
    </row>
    <row r="606" spans="4:5" ht="15.75" customHeight="1">
      <c r="D606" s="15"/>
      <c r="E606" s="8"/>
    </row>
    <row r="607" spans="4:5" ht="15.75" customHeight="1">
      <c r="D607" s="15"/>
      <c r="E607" s="8"/>
    </row>
    <row r="608" spans="4:5" ht="15.75" customHeight="1">
      <c r="D608" s="15"/>
      <c r="E608" s="8"/>
    </row>
    <row r="609" spans="4:5" ht="15.75" customHeight="1">
      <c r="D609" s="15"/>
      <c r="E609" s="8"/>
    </row>
    <row r="610" spans="4:5" ht="15.75" customHeight="1">
      <c r="D610" s="15"/>
      <c r="E610" s="8"/>
    </row>
    <row r="611" spans="4:5" ht="15.75" customHeight="1">
      <c r="D611" s="15"/>
      <c r="E611" s="8"/>
    </row>
    <row r="612" spans="4:5" ht="15.75" customHeight="1">
      <c r="D612" s="15"/>
      <c r="E612" s="8"/>
    </row>
    <row r="613" spans="4:5" ht="15.75" customHeight="1">
      <c r="D613" s="15"/>
      <c r="E613" s="8"/>
    </row>
    <row r="614" spans="4:5" ht="15.75" customHeight="1">
      <c r="D614" s="15"/>
      <c r="E614" s="8"/>
    </row>
    <row r="615" spans="4:5" ht="15.75" customHeight="1">
      <c r="D615" s="15"/>
      <c r="E615" s="8"/>
    </row>
    <row r="616" spans="4:5" ht="15.75" customHeight="1">
      <c r="D616" s="15"/>
      <c r="E616" s="8"/>
    </row>
    <row r="617" spans="4:5" ht="15.75" customHeight="1">
      <c r="D617" s="15"/>
      <c r="E617" s="8"/>
    </row>
    <row r="618" spans="4:5" ht="15.75" customHeight="1">
      <c r="D618" s="15"/>
      <c r="E618" s="8"/>
    </row>
    <row r="619" spans="4:5" ht="15.75" customHeight="1">
      <c r="D619" s="15"/>
      <c r="E619" s="8"/>
    </row>
    <row r="620" spans="4:5" ht="15.75" customHeight="1">
      <c r="D620" s="15"/>
      <c r="E620" s="8"/>
    </row>
    <row r="621" spans="4:5" ht="15.75" customHeight="1">
      <c r="D621" s="15"/>
      <c r="E621" s="8"/>
    </row>
    <row r="622" spans="4:5" ht="15.75" customHeight="1">
      <c r="D622" s="15"/>
      <c r="E622" s="8"/>
    </row>
    <row r="623" spans="4:5" ht="15.75" customHeight="1">
      <c r="D623" s="15"/>
      <c r="E623" s="8"/>
    </row>
    <row r="624" spans="4:5" ht="15.75" customHeight="1">
      <c r="D624" s="15"/>
      <c r="E624" s="8"/>
    </row>
    <row r="625" spans="4:5" ht="15.75" customHeight="1">
      <c r="D625" s="15"/>
      <c r="E625" s="8"/>
    </row>
    <row r="626" spans="4:5" ht="15.75" customHeight="1">
      <c r="D626" s="15"/>
      <c r="E626" s="8"/>
    </row>
    <row r="627" spans="4:5" ht="15.75" customHeight="1">
      <c r="D627" s="15"/>
      <c r="E627" s="8"/>
    </row>
    <row r="628" spans="4:5" ht="15.75" customHeight="1">
      <c r="D628" s="15"/>
      <c r="E628" s="8"/>
    </row>
    <row r="629" spans="4:5" ht="15.75" customHeight="1">
      <c r="D629" s="15"/>
      <c r="E629" s="8"/>
    </row>
    <row r="630" spans="4:5" ht="15.75" customHeight="1">
      <c r="D630" s="15"/>
      <c r="E630" s="8"/>
    </row>
    <row r="631" spans="4:5" ht="15.75" customHeight="1">
      <c r="D631" s="15"/>
      <c r="E631" s="8"/>
    </row>
    <row r="632" spans="4:5" ht="15.75" customHeight="1">
      <c r="D632" s="15"/>
      <c r="E632" s="8"/>
    </row>
    <row r="633" spans="4:5" ht="15.75" customHeight="1">
      <c r="D633" s="15"/>
      <c r="E633" s="8"/>
    </row>
    <row r="634" spans="4:5" ht="15.75" customHeight="1">
      <c r="D634" s="15"/>
      <c r="E634" s="8"/>
    </row>
    <row r="635" spans="4:5" ht="15.75" customHeight="1">
      <c r="D635" s="15"/>
      <c r="E635" s="8"/>
    </row>
    <row r="636" spans="4:5" ht="15.75" customHeight="1">
      <c r="D636" s="15"/>
      <c r="E636" s="8"/>
    </row>
    <row r="637" spans="4:5" ht="15.75" customHeight="1">
      <c r="D637" s="15"/>
      <c r="E637" s="8"/>
    </row>
    <row r="638" spans="4:5" ht="15.75" customHeight="1">
      <c r="D638" s="15"/>
      <c r="E638" s="8"/>
    </row>
    <row r="639" spans="4:5" ht="15.75" customHeight="1">
      <c r="D639" s="15"/>
      <c r="E639" s="8"/>
    </row>
    <row r="640" spans="4:5" ht="15.75" customHeight="1">
      <c r="D640" s="15"/>
      <c r="E640" s="8"/>
    </row>
    <row r="641" spans="4:5" ht="15.75" customHeight="1">
      <c r="D641" s="15"/>
      <c r="E641" s="8"/>
    </row>
    <row r="642" spans="4:5" ht="15.75" customHeight="1">
      <c r="D642" s="15"/>
      <c r="E642" s="8"/>
    </row>
    <row r="643" spans="4:5" ht="15.75" customHeight="1">
      <c r="D643" s="15"/>
      <c r="E643" s="8"/>
    </row>
    <row r="644" spans="4:5" ht="15.75" customHeight="1">
      <c r="D644" s="15"/>
      <c r="E644" s="8"/>
    </row>
    <row r="645" spans="4:5" ht="15.75" customHeight="1">
      <c r="D645" s="15"/>
      <c r="E645" s="8"/>
    </row>
    <row r="646" spans="4:5" ht="15.75" customHeight="1">
      <c r="D646" s="15"/>
      <c r="E646" s="8"/>
    </row>
    <row r="647" spans="4:5" ht="15.75" customHeight="1">
      <c r="D647" s="15"/>
      <c r="E647" s="8"/>
    </row>
    <row r="648" spans="4:5" ht="15.75" customHeight="1">
      <c r="D648" s="15"/>
      <c r="E648" s="8"/>
    </row>
    <row r="649" spans="4:5" ht="15.75" customHeight="1">
      <c r="D649" s="15"/>
      <c r="E649" s="8"/>
    </row>
    <row r="650" spans="4:5" ht="15.75" customHeight="1">
      <c r="D650" s="15"/>
      <c r="E650" s="8"/>
    </row>
    <row r="651" spans="4:5" ht="15.75" customHeight="1">
      <c r="D651" s="15"/>
      <c r="E651" s="8"/>
    </row>
    <row r="652" spans="4:5" ht="15.75" customHeight="1">
      <c r="D652" s="15"/>
      <c r="E652" s="8"/>
    </row>
    <row r="653" spans="4:5" ht="15.75" customHeight="1">
      <c r="D653" s="15"/>
      <c r="E653" s="8"/>
    </row>
    <row r="654" spans="4:5" ht="15.75" customHeight="1">
      <c r="D654" s="15"/>
      <c r="E654" s="8"/>
    </row>
    <row r="655" spans="4:5" ht="15.75" customHeight="1">
      <c r="D655" s="15"/>
      <c r="E655" s="8"/>
    </row>
    <row r="656" spans="4:5" ht="15.75" customHeight="1">
      <c r="D656" s="15"/>
      <c r="E656" s="8"/>
    </row>
    <row r="657" spans="4:5" ht="15.75" customHeight="1">
      <c r="D657" s="15"/>
      <c r="E657" s="8"/>
    </row>
    <row r="658" spans="4:5" ht="15.75" customHeight="1">
      <c r="D658" s="15"/>
      <c r="E658" s="8"/>
    </row>
    <row r="659" spans="4:5" ht="15.75" customHeight="1">
      <c r="D659" s="15"/>
      <c r="E659" s="8"/>
    </row>
    <row r="660" spans="4:5" ht="15.75" customHeight="1">
      <c r="D660" s="15"/>
      <c r="E660" s="8"/>
    </row>
    <row r="661" spans="4:5" ht="15.75" customHeight="1">
      <c r="D661" s="15"/>
      <c r="E661" s="8"/>
    </row>
    <row r="662" spans="4:5" ht="15.75" customHeight="1">
      <c r="D662" s="15"/>
      <c r="E662" s="8"/>
    </row>
    <row r="663" spans="4:5" ht="15.75" customHeight="1">
      <c r="D663" s="15"/>
      <c r="E663" s="8"/>
    </row>
    <row r="664" spans="4:5" ht="15.75" customHeight="1">
      <c r="D664" s="15"/>
      <c r="E664" s="8"/>
    </row>
    <row r="665" spans="4:5" ht="15.75" customHeight="1">
      <c r="D665" s="15"/>
      <c r="E665" s="8"/>
    </row>
    <row r="666" spans="4:5" ht="15.75" customHeight="1">
      <c r="D666" s="15"/>
      <c r="E666" s="8"/>
    </row>
    <row r="667" spans="4:5" ht="15.75" customHeight="1">
      <c r="D667" s="15"/>
      <c r="E667" s="8"/>
    </row>
    <row r="668" spans="4:5" ht="15.75" customHeight="1">
      <c r="D668" s="15"/>
      <c r="E668" s="8"/>
    </row>
    <row r="669" spans="4:5" ht="15.75" customHeight="1">
      <c r="D669" s="15"/>
      <c r="E669" s="8"/>
    </row>
    <row r="670" spans="4:5" ht="15.75" customHeight="1">
      <c r="D670" s="15"/>
      <c r="E670" s="8"/>
    </row>
    <row r="671" spans="4:5" ht="15.75" customHeight="1">
      <c r="D671" s="15"/>
      <c r="E671" s="8"/>
    </row>
    <row r="672" spans="4:5" ht="15.75" customHeight="1">
      <c r="D672" s="15"/>
      <c r="E672" s="8"/>
    </row>
    <row r="673" spans="4:5" ht="15.75" customHeight="1">
      <c r="D673" s="15"/>
      <c r="E673" s="8"/>
    </row>
    <row r="674" spans="4:5" ht="15.75" customHeight="1">
      <c r="D674" s="15"/>
      <c r="E674" s="8"/>
    </row>
    <row r="675" spans="4:5" ht="15.75" customHeight="1">
      <c r="D675" s="15"/>
      <c r="E675" s="8"/>
    </row>
    <row r="676" spans="4:5" ht="15.75" customHeight="1">
      <c r="D676" s="15"/>
      <c r="E676" s="8"/>
    </row>
    <row r="677" spans="4:5" ht="15.75" customHeight="1">
      <c r="D677" s="15"/>
      <c r="E677" s="8"/>
    </row>
    <row r="678" spans="4:5" ht="15.75" customHeight="1">
      <c r="D678" s="15"/>
      <c r="E678" s="8"/>
    </row>
    <row r="679" spans="4:5" ht="15.75" customHeight="1">
      <c r="D679" s="15"/>
      <c r="E679" s="8"/>
    </row>
    <row r="680" spans="4:5" ht="15.75" customHeight="1">
      <c r="D680" s="15"/>
      <c r="E680" s="8"/>
    </row>
    <row r="681" spans="4:5" ht="15.75" customHeight="1">
      <c r="D681" s="15"/>
      <c r="E681" s="8"/>
    </row>
    <row r="682" spans="4:5" ht="15.75" customHeight="1">
      <c r="D682" s="15"/>
      <c r="E682" s="8"/>
    </row>
    <row r="683" spans="4:5" ht="15.75" customHeight="1">
      <c r="D683" s="15"/>
      <c r="E683" s="8"/>
    </row>
    <row r="684" spans="4:5" ht="15.75" customHeight="1">
      <c r="D684" s="15"/>
      <c r="E684" s="8"/>
    </row>
    <row r="685" spans="4:5" ht="15.75" customHeight="1">
      <c r="D685" s="15"/>
      <c r="E685" s="8"/>
    </row>
    <row r="686" spans="4:5" ht="15.75" customHeight="1">
      <c r="D686" s="15"/>
      <c r="E686" s="8"/>
    </row>
    <row r="687" spans="4:5" ht="15.75" customHeight="1">
      <c r="D687" s="15"/>
      <c r="E687" s="8"/>
    </row>
    <row r="688" spans="4:5" ht="15.75" customHeight="1">
      <c r="D688" s="15"/>
      <c r="E688" s="8"/>
    </row>
    <row r="689" spans="4:5" ht="15.75" customHeight="1">
      <c r="D689" s="15"/>
      <c r="E689" s="8"/>
    </row>
    <row r="690" spans="4:5" ht="15.75" customHeight="1">
      <c r="D690" s="15"/>
      <c r="E690" s="8"/>
    </row>
    <row r="691" spans="4:5" ht="15.75" customHeight="1">
      <c r="D691" s="15"/>
      <c r="E691" s="8"/>
    </row>
    <row r="692" spans="4:5" ht="15.75" customHeight="1">
      <c r="D692" s="15"/>
      <c r="E692" s="8"/>
    </row>
    <row r="693" spans="4:5" ht="15.75" customHeight="1">
      <c r="D693" s="15"/>
      <c r="E693" s="8"/>
    </row>
    <row r="694" spans="4:5" ht="15.75" customHeight="1">
      <c r="D694" s="15"/>
      <c r="E694" s="8"/>
    </row>
    <row r="695" spans="4:5" ht="15.75" customHeight="1">
      <c r="D695" s="15"/>
      <c r="E695" s="8"/>
    </row>
    <row r="696" spans="4:5" ht="15.75" customHeight="1">
      <c r="D696" s="15"/>
      <c r="E696" s="8"/>
    </row>
    <row r="697" spans="4:5" ht="15.75" customHeight="1">
      <c r="D697" s="15"/>
      <c r="E697" s="8"/>
    </row>
    <row r="698" spans="4:5" ht="15.75" customHeight="1">
      <c r="D698" s="15"/>
      <c r="E698" s="8"/>
    </row>
    <row r="699" spans="4:5" ht="15.75" customHeight="1">
      <c r="D699" s="15"/>
      <c r="E699" s="8"/>
    </row>
    <row r="700" spans="4:5" ht="15.75" customHeight="1">
      <c r="D700" s="15"/>
      <c r="E700" s="8"/>
    </row>
    <row r="701" spans="4:5" ht="15.75" customHeight="1">
      <c r="D701" s="15"/>
      <c r="E701" s="8"/>
    </row>
    <row r="702" spans="4:5" ht="15.75" customHeight="1">
      <c r="D702" s="15"/>
      <c r="E702" s="8"/>
    </row>
    <row r="703" spans="4:5" ht="15.75" customHeight="1">
      <c r="D703" s="15"/>
      <c r="E703" s="8"/>
    </row>
    <row r="704" spans="4:5" ht="15.75" customHeight="1">
      <c r="D704" s="15"/>
      <c r="E704" s="8"/>
    </row>
    <row r="705" spans="4:5" ht="15.75" customHeight="1">
      <c r="D705" s="15"/>
      <c r="E705" s="8"/>
    </row>
    <row r="706" spans="4:5" ht="15.75" customHeight="1">
      <c r="D706" s="15"/>
      <c r="E706" s="8"/>
    </row>
    <row r="707" spans="4:5" ht="15.75" customHeight="1">
      <c r="D707" s="15"/>
      <c r="E707" s="8"/>
    </row>
    <row r="708" spans="4:5" ht="15.75" customHeight="1">
      <c r="D708" s="15"/>
      <c r="E708" s="8"/>
    </row>
    <row r="709" spans="4:5" ht="15.75" customHeight="1">
      <c r="D709" s="15"/>
      <c r="E709" s="8"/>
    </row>
    <row r="710" spans="4:5" ht="15.75" customHeight="1">
      <c r="D710" s="15"/>
      <c r="E710" s="8"/>
    </row>
    <row r="711" spans="4:5" ht="15.75" customHeight="1">
      <c r="D711" s="15"/>
      <c r="E711" s="8"/>
    </row>
    <row r="712" spans="4:5" ht="15.75" customHeight="1">
      <c r="D712" s="15"/>
      <c r="E712" s="8"/>
    </row>
    <row r="713" spans="4:5" ht="15.75" customHeight="1">
      <c r="D713" s="15"/>
      <c r="E713" s="8"/>
    </row>
    <row r="714" spans="4:5" ht="15.75" customHeight="1">
      <c r="D714" s="15"/>
      <c r="E714" s="8"/>
    </row>
    <row r="715" spans="4:5" ht="15.75" customHeight="1">
      <c r="D715" s="15"/>
      <c r="E715" s="8"/>
    </row>
    <row r="716" spans="4:5" ht="15.75" customHeight="1">
      <c r="D716" s="15"/>
      <c r="E716" s="8"/>
    </row>
    <row r="717" spans="4:5" ht="15.75" customHeight="1">
      <c r="D717" s="15"/>
      <c r="E717" s="8"/>
    </row>
    <row r="718" spans="4:5" ht="15.75" customHeight="1">
      <c r="D718" s="15"/>
      <c r="E718" s="8"/>
    </row>
    <row r="719" spans="4:5" ht="15.75" customHeight="1">
      <c r="D719" s="15"/>
      <c r="E719" s="8"/>
    </row>
    <row r="720" spans="4:5" ht="15.75" customHeight="1">
      <c r="D720" s="15"/>
      <c r="E720" s="8"/>
    </row>
    <row r="721" spans="4:5" ht="15.75" customHeight="1">
      <c r="D721" s="15"/>
      <c r="E721" s="8"/>
    </row>
    <row r="722" spans="4:5" ht="15.75" customHeight="1">
      <c r="D722" s="15"/>
      <c r="E722" s="8"/>
    </row>
    <row r="723" spans="4:5" ht="15.75" customHeight="1">
      <c r="D723" s="15"/>
      <c r="E723" s="8"/>
    </row>
    <row r="724" spans="4:5" ht="15.75" customHeight="1">
      <c r="D724" s="15"/>
      <c r="E724" s="8"/>
    </row>
    <row r="725" spans="4:5" ht="15.75" customHeight="1">
      <c r="D725" s="15"/>
      <c r="E725" s="8"/>
    </row>
    <row r="726" spans="4:5" ht="15.75" customHeight="1">
      <c r="D726" s="15"/>
      <c r="E726" s="8"/>
    </row>
    <row r="727" spans="4:5" ht="15.75" customHeight="1">
      <c r="D727" s="15"/>
      <c r="E727" s="8"/>
    </row>
    <row r="728" spans="4:5" ht="15.75" customHeight="1">
      <c r="D728" s="15"/>
      <c r="E728" s="8"/>
    </row>
    <row r="729" spans="4:5" ht="15.75" customHeight="1">
      <c r="D729" s="15"/>
      <c r="E729" s="8"/>
    </row>
    <row r="730" spans="4:5" ht="15.75" customHeight="1">
      <c r="D730" s="15"/>
      <c r="E730" s="8"/>
    </row>
    <row r="731" spans="4:5" ht="15.75" customHeight="1">
      <c r="D731" s="15"/>
      <c r="E731" s="8"/>
    </row>
    <row r="732" spans="4:5" ht="15.75" customHeight="1">
      <c r="D732" s="15"/>
      <c r="E732" s="8"/>
    </row>
    <row r="733" spans="4:5" ht="15.75" customHeight="1">
      <c r="D733" s="15"/>
      <c r="E733" s="8"/>
    </row>
    <row r="734" spans="4:5" ht="15.75" customHeight="1">
      <c r="D734" s="15"/>
      <c r="E734" s="8"/>
    </row>
    <row r="735" spans="4:5" ht="15.75" customHeight="1">
      <c r="D735" s="15"/>
      <c r="E735" s="8"/>
    </row>
    <row r="736" spans="4:5" ht="15.75" customHeight="1">
      <c r="D736" s="15"/>
      <c r="E736" s="8"/>
    </row>
    <row r="737" spans="4:5" ht="15.75" customHeight="1">
      <c r="D737" s="15"/>
      <c r="E737" s="8"/>
    </row>
    <row r="738" spans="4:5" ht="15.75" customHeight="1">
      <c r="D738" s="15"/>
      <c r="E738" s="8"/>
    </row>
    <row r="739" spans="4:5" ht="15.75" customHeight="1">
      <c r="D739" s="15"/>
      <c r="E739" s="8"/>
    </row>
    <row r="740" spans="4:5" ht="15.75" customHeight="1">
      <c r="D740" s="15"/>
      <c r="E740" s="8"/>
    </row>
    <row r="741" spans="4:5" ht="15.75" customHeight="1">
      <c r="D741" s="15"/>
      <c r="E741" s="8"/>
    </row>
    <row r="742" spans="4:5" ht="15.75" customHeight="1">
      <c r="D742" s="15"/>
      <c r="E742" s="8"/>
    </row>
    <row r="743" spans="4:5" ht="15.75" customHeight="1">
      <c r="D743" s="15"/>
      <c r="E743" s="8"/>
    </row>
    <row r="744" spans="4:5" ht="15.75" customHeight="1">
      <c r="D744" s="15"/>
      <c r="E744" s="8"/>
    </row>
    <row r="745" spans="4:5" ht="15.75" customHeight="1">
      <c r="D745" s="15"/>
      <c r="E745" s="8"/>
    </row>
    <row r="746" spans="4:5" ht="15.75" customHeight="1">
      <c r="D746" s="15"/>
      <c r="E746" s="8"/>
    </row>
    <row r="747" spans="4:5" ht="15.75" customHeight="1">
      <c r="D747" s="15"/>
      <c r="E747" s="8"/>
    </row>
    <row r="748" spans="4:5" ht="15.75" customHeight="1">
      <c r="D748" s="15"/>
      <c r="E748" s="8"/>
    </row>
    <row r="749" spans="4:5" ht="15.75" customHeight="1">
      <c r="D749" s="15"/>
      <c r="E749" s="8"/>
    </row>
    <row r="750" spans="4:5" ht="15.75" customHeight="1">
      <c r="D750" s="15"/>
      <c r="E750" s="8"/>
    </row>
    <row r="751" spans="4:5" ht="15.75" customHeight="1">
      <c r="D751" s="15"/>
      <c r="E751" s="8"/>
    </row>
    <row r="752" spans="4:5" ht="15.75" customHeight="1">
      <c r="D752" s="15"/>
      <c r="E752" s="8"/>
    </row>
    <row r="753" spans="4:5" ht="15.75" customHeight="1">
      <c r="D753" s="15"/>
      <c r="E753" s="8"/>
    </row>
    <row r="754" spans="4:5" ht="15.75" customHeight="1">
      <c r="D754" s="15"/>
      <c r="E754" s="8"/>
    </row>
    <row r="755" spans="4:5" ht="15.75" customHeight="1">
      <c r="D755" s="15"/>
      <c r="E755" s="8"/>
    </row>
    <row r="756" spans="4:5" ht="15.75" customHeight="1">
      <c r="D756" s="15"/>
      <c r="E756" s="8"/>
    </row>
    <row r="757" spans="4:5" ht="15.75" customHeight="1">
      <c r="D757" s="15"/>
      <c r="E757" s="8"/>
    </row>
    <row r="758" spans="4:5" ht="15.75" customHeight="1">
      <c r="D758" s="15"/>
      <c r="E758" s="8"/>
    </row>
    <row r="759" spans="4:5" ht="15.75" customHeight="1">
      <c r="D759" s="15"/>
      <c r="E759" s="8"/>
    </row>
    <row r="760" spans="4:5" ht="15.75" customHeight="1">
      <c r="D760" s="15"/>
      <c r="E760" s="8"/>
    </row>
    <row r="761" spans="4:5" ht="15.75" customHeight="1">
      <c r="D761" s="15"/>
      <c r="E761" s="8"/>
    </row>
    <row r="762" spans="4:5" ht="15.75" customHeight="1">
      <c r="D762" s="15"/>
      <c r="E762" s="8"/>
    </row>
    <row r="763" spans="4:5" ht="15.75" customHeight="1">
      <c r="D763" s="15"/>
      <c r="E763" s="8"/>
    </row>
    <row r="764" spans="4:5" ht="15.75" customHeight="1">
      <c r="D764" s="15"/>
      <c r="E764" s="8"/>
    </row>
    <row r="765" spans="4:5" ht="15.75" customHeight="1">
      <c r="D765" s="15"/>
      <c r="E765" s="8"/>
    </row>
    <row r="766" spans="4:5" ht="15.75" customHeight="1">
      <c r="D766" s="15"/>
      <c r="E766" s="8"/>
    </row>
    <row r="767" spans="4:5" ht="15.75" customHeight="1">
      <c r="D767" s="15"/>
      <c r="E767" s="8"/>
    </row>
    <row r="768" spans="4:5" ht="15.75" customHeight="1">
      <c r="D768" s="15"/>
      <c r="E768" s="8"/>
    </row>
    <row r="769" spans="4:5" ht="15.75" customHeight="1">
      <c r="D769" s="15"/>
      <c r="E769" s="8"/>
    </row>
    <row r="770" spans="4:5" ht="15.75" customHeight="1">
      <c r="D770" s="15"/>
      <c r="E770" s="8"/>
    </row>
    <row r="771" spans="4:5" ht="15.75" customHeight="1">
      <c r="D771" s="15"/>
      <c r="E771" s="8"/>
    </row>
    <row r="772" spans="4:5" ht="15.75" customHeight="1">
      <c r="D772" s="15"/>
      <c r="E772" s="8"/>
    </row>
    <row r="773" spans="4:5" ht="15.75" customHeight="1">
      <c r="D773" s="15"/>
      <c r="E773" s="8"/>
    </row>
    <row r="774" spans="4:5" ht="15.75" customHeight="1">
      <c r="D774" s="15"/>
      <c r="E774" s="8"/>
    </row>
    <row r="775" spans="4:5" ht="15.75" customHeight="1">
      <c r="D775" s="15"/>
      <c r="E775" s="8"/>
    </row>
    <row r="776" spans="4:5" ht="15.75" customHeight="1">
      <c r="D776" s="15"/>
      <c r="E776" s="8"/>
    </row>
    <row r="777" spans="4:5" ht="15.75" customHeight="1">
      <c r="D777" s="15"/>
      <c r="E777" s="8"/>
    </row>
    <row r="778" spans="4:5" ht="15.75" customHeight="1">
      <c r="D778" s="15"/>
      <c r="E778" s="8"/>
    </row>
    <row r="779" spans="4:5" ht="15.75" customHeight="1">
      <c r="D779" s="15"/>
      <c r="E779" s="8"/>
    </row>
    <row r="780" spans="4:5" ht="15.75" customHeight="1">
      <c r="D780" s="15"/>
      <c r="E780" s="8"/>
    </row>
    <row r="781" spans="4:5" ht="15.75" customHeight="1">
      <c r="D781" s="15"/>
      <c r="E781" s="8"/>
    </row>
    <row r="782" spans="4:5" ht="15.75" customHeight="1">
      <c r="D782" s="15"/>
      <c r="E782" s="8"/>
    </row>
    <row r="783" spans="4:5" ht="15.75" customHeight="1">
      <c r="D783" s="15"/>
      <c r="E783" s="8"/>
    </row>
    <row r="784" spans="4:5" ht="15.75" customHeight="1">
      <c r="D784" s="15"/>
      <c r="E784" s="8"/>
    </row>
    <row r="785" spans="4:5" ht="15.75" customHeight="1">
      <c r="D785" s="15"/>
      <c r="E785" s="8"/>
    </row>
    <row r="786" spans="4:5" ht="15.75" customHeight="1">
      <c r="D786" s="15"/>
      <c r="E786" s="8"/>
    </row>
    <row r="787" spans="4:5" ht="15.75" customHeight="1">
      <c r="D787" s="15"/>
      <c r="E787" s="8"/>
    </row>
    <row r="788" spans="4:5" ht="15.75" customHeight="1">
      <c r="D788" s="15"/>
      <c r="E788" s="8"/>
    </row>
    <row r="789" spans="4:5" ht="15.75" customHeight="1">
      <c r="D789" s="15"/>
      <c r="E789" s="8"/>
    </row>
    <row r="790" spans="4:5" ht="15.75" customHeight="1">
      <c r="D790" s="15"/>
      <c r="E790" s="8"/>
    </row>
    <row r="791" spans="4:5" ht="15.75" customHeight="1">
      <c r="D791" s="15"/>
      <c r="E791" s="8"/>
    </row>
    <row r="792" spans="4:5" ht="15.75" customHeight="1">
      <c r="D792" s="15"/>
      <c r="E792" s="8"/>
    </row>
    <row r="793" spans="4:5" ht="15.75" customHeight="1">
      <c r="D793" s="15"/>
      <c r="E793" s="8"/>
    </row>
    <row r="794" spans="4:5" ht="15.75" customHeight="1">
      <c r="D794" s="15"/>
      <c r="E794" s="8"/>
    </row>
    <row r="795" spans="4:5" ht="15.75" customHeight="1">
      <c r="D795" s="15"/>
      <c r="E795" s="8"/>
    </row>
    <row r="796" spans="4:5" ht="15.75" customHeight="1">
      <c r="D796" s="15"/>
      <c r="E796" s="8"/>
    </row>
    <row r="797" spans="4:5" ht="15.75" customHeight="1">
      <c r="D797" s="15"/>
      <c r="E797" s="8"/>
    </row>
    <row r="798" spans="4:5" ht="15.75" customHeight="1">
      <c r="D798" s="15"/>
      <c r="E798" s="8"/>
    </row>
    <row r="799" spans="4:5" ht="15.75" customHeight="1">
      <c r="D799" s="15"/>
      <c r="E799" s="8"/>
    </row>
    <row r="800" spans="4:5" ht="15.75" customHeight="1">
      <c r="D800" s="15"/>
      <c r="E800" s="8"/>
    </row>
    <row r="801" spans="4:5" ht="15.75" customHeight="1">
      <c r="D801" s="15"/>
      <c r="E801" s="8"/>
    </row>
    <row r="802" spans="4:5" ht="15.75" customHeight="1">
      <c r="D802" s="15"/>
      <c r="E802" s="8"/>
    </row>
    <row r="803" spans="4:5" ht="15.75" customHeight="1">
      <c r="D803" s="15"/>
      <c r="E803" s="8"/>
    </row>
    <row r="804" spans="4:5" ht="15.75" customHeight="1">
      <c r="D804" s="15"/>
      <c r="E804" s="8"/>
    </row>
    <row r="805" spans="4:5" ht="15.75" customHeight="1">
      <c r="D805" s="15"/>
      <c r="E805" s="8"/>
    </row>
    <row r="806" spans="4:5" ht="15.75" customHeight="1">
      <c r="D806" s="15"/>
      <c r="E806" s="8"/>
    </row>
    <row r="807" spans="4:5" ht="15.75" customHeight="1">
      <c r="D807" s="15"/>
      <c r="E807" s="8"/>
    </row>
    <row r="808" spans="4:5" ht="15.75" customHeight="1">
      <c r="D808" s="15"/>
      <c r="E808" s="8"/>
    </row>
    <row r="809" spans="4:5" ht="15.75" customHeight="1">
      <c r="D809" s="15"/>
      <c r="E809" s="8"/>
    </row>
    <row r="810" spans="4:5" ht="15.75" customHeight="1">
      <c r="D810" s="15"/>
      <c r="E810" s="8"/>
    </row>
    <row r="811" spans="4:5" ht="15.75" customHeight="1">
      <c r="D811" s="15"/>
      <c r="E811" s="8"/>
    </row>
    <row r="812" spans="4:5" ht="15.75" customHeight="1">
      <c r="D812" s="15"/>
      <c r="E812" s="8"/>
    </row>
    <row r="813" spans="4:5" ht="15.75" customHeight="1">
      <c r="D813" s="15"/>
      <c r="E813" s="8"/>
    </row>
    <row r="814" spans="4:5" ht="15.75" customHeight="1">
      <c r="D814" s="15"/>
      <c r="E814" s="8"/>
    </row>
    <row r="815" spans="4:5" ht="15.75" customHeight="1">
      <c r="D815" s="15"/>
      <c r="E815" s="8"/>
    </row>
    <row r="816" spans="4:5" ht="15.75" customHeight="1">
      <c r="D816" s="15"/>
      <c r="E816" s="8"/>
    </row>
    <row r="817" spans="4:5" ht="15.75" customHeight="1">
      <c r="D817" s="15"/>
      <c r="E817" s="8"/>
    </row>
    <row r="818" spans="4:5" ht="15.75" customHeight="1">
      <c r="D818" s="15"/>
      <c r="E818" s="8"/>
    </row>
    <row r="819" spans="4:5" ht="15.75" customHeight="1">
      <c r="D819" s="15"/>
      <c r="E819" s="8"/>
    </row>
    <row r="820" spans="4:5" ht="15.75" customHeight="1">
      <c r="D820" s="15"/>
      <c r="E820" s="8"/>
    </row>
    <row r="821" spans="4:5" ht="15.75" customHeight="1">
      <c r="D821" s="15"/>
      <c r="E821" s="8"/>
    </row>
    <row r="822" spans="4:5" ht="15.75" customHeight="1">
      <c r="D822" s="15"/>
      <c r="E822" s="8"/>
    </row>
    <row r="823" spans="4:5" ht="15.75" customHeight="1">
      <c r="D823" s="15"/>
      <c r="E823" s="8"/>
    </row>
    <row r="824" spans="4:5" ht="15.75" customHeight="1">
      <c r="D824" s="15"/>
      <c r="E824" s="8"/>
    </row>
    <row r="825" spans="4:5" ht="15.75" customHeight="1">
      <c r="D825" s="15"/>
      <c r="E825" s="8"/>
    </row>
    <row r="826" spans="4:5" ht="15.75" customHeight="1">
      <c r="D826" s="15"/>
      <c r="E826" s="8"/>
    </row>
    <row r="827" spans="4:5" ht="15.75" customHeight="1">
      <c r="D827" s="15"/>
      <c r="E827" s="8"/>
    </row>
    <row r="828" spans="4:5" ht="15.75" customHeight="1">
      <c r="D828" s="15"/>
      <c r="E828" s="8"/>
    </row>
    <row r="829" spans="4:5" ht="15.75" customHeight="1">
      <c r="D829" s="15"/>
      <c r="E829" s="8"/>
    </row>
    <row r="830" spans="4:5" ht="15.75" customHeight="1">
      <c r="D830" s="15"/>
      <c r="E830" s="8"/>
    </row>
    <row r="831" spans="4:5" ht="15.75" customHeight="1">
      <c r="D831" s="15"/>
      <c r="E831" s="8"/>
    </row>
    <row r="832" spans="4:5" ht="15.75" customHeight="1">
      <c r="D832" s="15"/>
      <c r="E832" s="8"/>
    </row>
    <row r="833" spans="4:5" ht="15.75" customHeight="1">
      <c r="D833" s="15"/>
      <c r="E833" s="8"/>
    </row>
    <row r="834" spans="4:5" ht="15.75" customHeight="1">
      <c r="D834" s="15"/>
      <c r="E834" s="8"/>
    </row>
    <row r="835" spans="4:5" ht="15.75" customHeight="1">
      <c r="D835" s="15"/>
      <c r="E835" s="8"/>
    </row>
    <row r="836" spans="4:5" ht="15.75" customHeight="1">
      <c r="D836" s="15"/>
      <c r="E836" s="8"/>
    </row>
    <row r="837" spans="4:5" ht="15.75" customHeight="1">
      <c r="D837" s="15"/>
      <c r="E837" s="8"/>
    </row>
    <row r="838" spans="4:5" ht="15.75" customHeight="1">
      <c r="D838" s="15"/>
      <c r="E838" s="8"/>
    </row>
    <row r="839" spans="4:5" ht="15.75" customHeight="1">
      <c r="D839" s="15"/>
      <c r="E839" s="8"/>
    </row>
    <row r="840" spans="4:5" ht="15.75" customHeight="1">
      <c r="D840" s="15"/>
      <c r="E840" s="8"/>
    </row>
    <row r="841" spans="4:5" ht="15.75" customHeight="1">
      <c r="D841" s="15"/>
      <c r="E841" s="8"/>
    </row>
    <row r="842" spans="4:5" ht="15.75" customHeight="1">
      <c r="D842" s="15"/>
      <c r="E842" s="8"/>
    </row>
    <row r="843" spans="4:5" ht="15.75" customHeight="1">
      <c r="D843" s="15"/>
      <c r="E843" s="8"/>
    </row>
    <row r="844" spans="4:5" ht="15.75" customHeight="1">
      <c r="D844" s="15"/>
      <c r="E844" s="8"/>
    </row>
    <row r="845" spans="4:5" ht="15.75" customHeight="1">
      <c r="D845" s="15"/>
      <c r="E845" s="8"/>
    </row>
    <row r="846" spans="4:5" ht="15.75" customHeight="1">
      <c r="D846" s="15"/>
      <c r="E846" s="8"/>
    </row>
    <row r="847" spans="4:5" ht="15.75" customHeight="1">
      <c r="D847" s="15"/>
      <c r="E847" s="8"/>
    </row>
    <row r="848" spans="4:5" ht="15.75" customHeight="1">
      <c r="D848" s="15"/>
      <c r="E848" s="8"/>
    </row>
    <row r="849" spans="4:5" ht="15.75" customHeight="1">
      <c r="D849" s="15"/>
      <c r="E849" s="8"/>
    </row>
    <row r="850" spans="4:5" ht="15.75" customHeight="1">
      <c r="D850" s="15"/>
      <c r="E850" s="8"/>
    </row>
    <row r="851" spans="4:5" ht="15.75" customHeight="1">
      <c r="D851" s="15"/>
      <c r="E851" s="8"/>
    </row>
    <row r="852" spans="4:5" ht="15.75" customHeight="1">
      <c r="D852" s="15"/>
      <c r="E852" s="8"/>
    </row>
    <row r="853" spans="4:5" ht="15.75" customHeight="1">
      <c r="D853" s="15"/>
      <c r="E853" s="8"/>
    </row>
    <row r="854" spans="4:5" ht="15.75" customHeight="1">
      <c r="D854" s="15"/>
      <c r="E854" s="8"/>
    </row>
    <row r="855" spans="4:5" ht="15.75" customHeight="1">
      <c r="D855" s="15"/>
      <c r="E855" s="8"/>
    </row>
    <row r="856" spans="4:5" ht="15.75" customHeight="1">
      <c r="D856" s="15"/>
      <c r="E856" s="8"/>
    </row>
    <row r="857" spans="4:5" ht="15.75" customHeight="1">
      <c r="D857" s="15"/>
      <c r="E857" s="8"/>
    </row>
    <row r="858" spans="4:5" ht="15.75" customHeight="1">
      <c r="D858" s="15"/>
      <c r="E858" s="8"/>
    </row>
    <row r="859" spans="4:5" ht="15.75" customHeight="1">
      <c r="D859" s="15"/>
      <c r="E859" s="8"/>
    </row>
    <row r="860" spans="4:5" ht="15.75" customHeight="1">
      <c r="D860" s="15"/>
      <c r="E860" s="8"/>
    </row>
    <row r="861" spans="4:5" ht="15.75" customHeight="1">
      <c r="D861" s="15"/>
      <c r="E861" s="8"/>
    </row>
    <row r="862" spans="4:5" ht="15.75" customHeight="1">
      <c r="D862" s="15"/>
      <c r="E862" s="8"/>
    </row>
    <row r="863" spans="4:5" ht="15.75" customHeight="1">
      <c r="D863" s="15"/>
      <c r="E863" s="8"/>
    </row>
    <row r="864" spans="4:5" ht="15.75" customHeight="1">
      <c r="D864" s="15"/>
      <c r="E864" s="8"/>
    </row>
    <row r="865" spans="4:5" ht="15.75" customHeight="1">
      <c r="D865" s="15"/>
      <c r="E865" s="8"/>
    </row>
    <row r="866" spans="4:5" ht="15.75" customHeight="1">
      <c r="D866" s="15"/>
      <c r="E866" s="8"/>
    </row>
    <row r="867" spans="4:5" ht="15.75" customHeight="1">
      <c r="D867" s="15"/>
      <c r="E867" s="8"/>
    </row>
    <row r="868" spans="4:5" ht="15.75" customHeight="1">
      <c r="D868" s="15"/>
      <c r="E868" s="8"/>
    </row>
    <row r="869" spans="4:5" ht="15.75" customHeight="1">
      <c r="D869" s="15"/>
      <c r="E869" s="8"/>
    </row>
    <row r="870" spans="4:5" ht="15.75" customHeight="1">
      <c r="D870" s="15"/>
      <c r="E870" s="8"/>
    </row>
    <row r="871" spans="4:5" ht="15.75" customHeight="1">
      <c r="D871" s="15"/>
      <c r="E871" s="8"/>
    </row>
    <row r="872" spans="4:5" ht="15.75" customHeight="1">
      <c r="D872" s="15"/>
      <c r="E872" s="8"/>
    </row>
    <row r="873" spans="4:5" ht="15.75" customHeight="1">
      <c r="D873" s="15"/>
      <c r="E873" s="8"/>
    </row>
    <row r="874" spans="4:5" ht="15.75" customHeight="1">
      <c r="D874" s="15"/>
      <c r="E874" s="8"/>
    </row>
    <row r="875" spans="4:5" ht="15.75" customHeight="1">
      <c r="D875" s="15"/>
      <c r="E875" s="8"/>
    </row>
    <row r="876" spans="4:5" ht="15.75" customHeight="1">
      <c r="D876" s="15"/>
      <c r="E876" s="8"/>
    </row>
    <row r="877" spans="4:5" ht="15.75" customHeight="1">
      <c r="D877" s="15"/>
      <c r="E877" s="8"/>
    </row>
    <row r="878" spans="4:5" ht="15.75" customHeight="1">
      <c r="D878" s="15"/>
      <c r="E878" s="8"/>
    </row>
    <row r="879" spans="4:5" ht="15.75" customHeight="1">
      <c r="D879" s="15"/>
      <c r="E879" s="8"/>
    </row>
    <row r="880" spans="4:5" ht="15.75" customHeight="1">
      <c r="D880" s="15"/>
      <c r="E880" s="8"/>
    </row>
    <row r="881" spans="4:5" ht="15.75" customHeight="1">
      <c r="D881" s="15"/>
      <c r="E881" s="8"/>
    </row>
    <row r="882" spans="4:5" ht="15.75" customHeight="1">
      <c r="D882" s="15"/>
      <c r="E882" s="8"/>
    </row>
    <row r="883" spans="4:5" ht="15.75" customHeight="1">
      <c r="D883" s="15"/>
      <c r="E883" s="8"/>
    </row>
    <row r="884" spans="4:5" ht="15.75" customHeight="1">
      <c r="D884" s="15"/>
      <c r="E884" s="8"/>
    </row>
    <row r="885" spans="4:5" ht="15.75" customHeight="1">
      <c r="D885" s="15"/>
      <c r="E885" s="8"/>
    </row>
    <row r="886" spans="4:5" ht="15.75" customHeight="1">
      <c r="D886" s="15"/>
      <c r="E886" s="8"/>
    </row>
    <row r="887" spans="4:5" ht="15.75" customHeight="1">
      <c r="D887" s="15"/>
      <c r="E887" s="8"/>
    </row>
    <row r="888" spans="4:5" ht="15.75" customHeight="1">
      <c r="D888" s="15"/>
      <c r="E888" s="8"/>
    </row>
    <row r="889" spans="4:5" ht="15.75" customHeight="1">
      <c r="D889" s="15"/>
      <c r="E889" s="8"/>
    </row>
    <row r="890" spans="4:5" ht="15.75" customHeight="1">
      <c r="D890" s="15"/>
      <c r="E890" s="8"/>
    </row>
    <row r="891" spans="4:5" ht="15.75" customHeight="1">
      <c r="D891" s="15"/>
      <c r="E891" s="8"/>
    </row>
    <row r="892" spans="4:5" ht="15.75" customHeight="1">
      <c r="D892" s="15"/>
      <c r="E892" s="8"/>
    </row>
    <row r="893" spans="4:5" ht="15.75" customHeight="1">
      <c r="D893" s="15"/>
      <c r="E893" s="8"/>
    </row>
    <row r="894" spans="4:5" ht="15.75" customHeight="1">
      <c r="D894" s="15"/>
      <c r="E894" s="8"/>
    </row>
    <row r="895" spans="4:5" ht="15.75" customHeight="1">
      <c r="D895" s="15"/>
      <c r="E895" s="8"/>
    </row>
    <row r="896" spans="4:5" ht="15.75" customHeight="1">
      <c r="D896" s="15"/>
      <c r="E896" s="8"/>
    </row>
    <row r="897" spans="4:5" ht="15.75" customHeight="1">
      <c r="D897" s="15"/>
      <c r="E897" s="8"/>
    </row>
    <row r="898" spans="4:5" ht="15.75" customHeight="1">
      <c r="D898" s="15"/>
      <c r="E898" s="8"/>
    </row>
    <row r="899" spans="4:5" ht="15.75" customHeight="1">
      <c r="D899" s="15"/>
      <c r="E899" s="8"/>
    </row>
    <row r="900" spans="4:5" ht="15.75" customHeight="1">
      <c r="D900" s="15"/>
      <c r="E900" s="8"/>
    </row>
    <row r="901" spans="4:5" ht="15.75" customHeight="1">
      <c r="D901" s="15"/>
      <c r="E901" s="8"/>
    </row>
    <row r="902" spans="4:5" ht="15.75" customHeight="1">
      <c r="D902" s="15"/>
      <c r="E902" s="8"/>
    </row>
    <row r="903" spans="4:5" ht="15.75" customHeight="1">
      <c r="D903" s="15"/>
      <c r="E903" s="8"/>
    </row>
    <row r="904" spans="4:5" ht="15.75" customHeight="1">
      <c r="D904" s="15"/>
      <c r="E904" s="8"/>
    </row>
    <row r="905" spans="4:5" ht="15.75" customHeight="1">
      <c r="D905" s="15"/>
      <c r="E905" s="8"/>
    </row>
    <row r="906" spans="4:5" ht="15.75" customHeight="1">
      <c r="D906" s="15"/>
      <c r="E906" s="8"/>
    </row>
    <row r="907" spans="4:5" ht="15.75" customHeight="1">
      <c r="D907" s="15"/>
      <c r="E907" s="8"/>
    </row>
    <row r="908" spans="4:5" ht="15.75" customHeight="1">
      <c r="D908" s="15"/>
      <c r="E908" s="8"/>
    </row>
    <row r="909" spans="4:5" ht="15.75" customHeight="1">
      <c r="D909" s="15"/>
      <c r="E909" s="8"/>
    </row>
    <row r="910" spans="4:5" ht="15.75" customHeight="1">
      <c r="D910" s="15"/>
      <c r="E910" s="8"/>
    </row>
    <row r="911" spans="4:5" ht="15.75" customHeight="1">
      <c r="D911" s="15"/>
      <c r="E911" s="8"/>
    </row>
    <row r="912" spans="4:5" ht="15.75" customHeight="1">
      <c r="D912" s="15"/>
      <c r="E912" s="8"/>
    </row>
    <row r="913" spans="4:5" ht="15.75" customHeight="1">
      <c r="D913" s="15"/>
      <c r="E913" s="8"/>
    </row>
    <row r="914" spans="4:5" ht="15.75" customHeight="1">
      <c r="D914" s="15"/>
      <c r="E914" s="8"/>
    </row>
    <row r="915" spans="4:5" ht="15.75" customHeight="1">
      <c r="D915" s="15"/>
      <c r="E915" s="8"/>
    </row>
    <row r="916" spans="4:5" ht="15.75" customHeight="1">
      <c r="D916" s="15"/>
      <c r="E916" s="8"/>
    </row>
    <row r="917" spans="4:5" ht="15.75" customHeight="1">
      <c r="D917" s="15"/>
      <c r="E917" s="8"/>
    </row>
    <row r="918" spans="4:5" ht="15.75" customHeight="1">
      <c r="D918" s="15"/>
      <c r="E918" s="8"/>
    </row>
    <row r="919" spans="4:5" ht="15.75" customHeight="1">
      <c r="D919" s="15"/>
      <c r="E919" s="8"/>
    </row>
    <row r="920" spans="4:5" ht="15.75" customHeight="1">
      <c r="D920" s="15"/>
      <c r="E920" s="8"/>
    </row>
    <row r="921" spans="4:5" ht="15.75" customHeight="1">
      <c r="D921" s="15"/>
      <c r="E921" s="8"/>
    </row>
    <row r="922" spans="4:5" ht="15.75" customHeight="1">
      <c r="D922" s="15"/>
      <c r="E922" s="8"/>
    </row>
    <row r="923" spans="4:5" ht="15.75" customHeight="1">
      <c r="D923" s="15"/>
      <c r="E923" s="8"/>
    </row>
    <row r="924" spans="4:5" ht="15.75" customHeight="1">
      <c r="D924" s="15"/>
      <c r="E924" s="8"/>
    </row>
    <row r="925" spans="4:5" ht="15.75" customHeight="1">
      <c r="D925" s="15"/>
      <c r="E925" s="8"/>
    </row>
    <row r="926" spans="4:5" ht="15.75" customHeight="1">
      <c r="D926" s="15"/>
      <c r="E926" s="8"/>
    </row>
    <row r="927" spans="4:5" ht="15.75" customHeight="1">
      <c r="D927" s="15"/>
      <c r="E927" s="8"/>
    </row>
    <row r="928" spans="4:5" ht="15.75" customHeight="1">
      <c r="D928" s="15"/>
      <c r="E928" s="8"/>
    </row>
    <row r="929" spans="4:5" ht="15.75" customHeight="1">
      <c r="D929" s="15"/>
      <c r="E929" s="8"/>
    </row>
    <row r="930" spans="4:5" ht="15.75" customHeight="1">
      <c r="D930" s="15"/>
      <c r="E930" s="8"/>
    </row>
    <row r="931" spans="4:5" ht="15.75" customHeight="1">
      <c r="D931" s="15"/>
      <c r="E931" s="8"/>
    </row>
    <row r="932" spans="4:5" ht="15.75" customHeight="1">
      <c r="D932" s="15"/>
      <c r="E932" s="8"/>
    </row>
    <row r="933" spans="4:5" ht="15.75" customHeight="1">
      <c r="D933" s="15"/>
      <c r="E933" s="8"/>
    </row>
    <row r="934" spans="4:5" ht="15.75" customHeight="1">
      <c r="D934" s="15"/>
      <c r="E934" s="8"/>
    </row>
    <row r="935" spans="4:5" ht="15.75" customHeight="1">
      <c r="D935" s="15"/>
      <c r="E935" s="8"/>
    </row>
    <row r="936" spans="4:5" ht="15.75" customHeight="1">
      <c r="D936" s="15"/>
      <c r="E936" s="8"/>
    </row>
    <row r="937" spans="4:5" ht="15.75" customHeight="1">
      <c r="D937" s="15"/>
      <c r="E937" s="8"/>
    </row>
    <row r="938" spans="4:5" ht="15.75" customHeight="1">
      <c r="D938" s="15"/>
      <c r="E938" s="8"/>
    </row>
    <row r="939" spans="4:5" ht="15.75" customHeight="1">
      <c r="D939" s="15"/>
      <c r="E939" s="8"/>
    </row>
    <row r="940" spans="4:5" ht="15.75" customHeight="1">
      <c r="D940" s="15"/>
      <c r="E940" s="8"/>
    </row>
    <row r="941" spans="4:5" ht="15.75" customHeight="1">
      <c r="D941" s="15"/>
      <c r="E941" s="8"/>
    </row>
    <row r="942" spans="4:5" ht="15.75" customHeight="1">
      <c r="D942" s="15"/>
      <c r="E942" s="8"/>
    </row>
    <row r="943" spans="4:5" ht="15.75" customHeight="1">
      <c r="D943" s="15"/>
      <c r="E943" s="8"/>
    </row>
    <row r="944" spans="4:5" ht="15.75" customHeight="1">
      <c r="D944" s="15"/>
      <c r="E944" s="8"/>
    </row>
    <row r="945" spans="4:5" ht="15.75" customHeight="1">
      <c r="D945" s="15"/>
      <c r="E945" s="8"/>
    </row>
    <row r="946" spans="4:5" ht="15.75" customHeight="1">
      <c r="D946" s="15"/>
      <c r="E946" s="8"/>
    </row>
    <row r="947" spans="4:5" ht="15.75" customHeight="1">
      <c r="D947" s="15"/>
      <c r="E947" s="8"/>
    </row>
    <row r="948" spans="4:5" ht="15.75" customHeight="1">
      <c r="D948" s="15"/>
      <c r="E948" s="8"/>
    </row>
    <row r="949" spans="4:5" ht="15.75" customHeight="1">
      <c r="D949" s="15"/>
      <c r="E949" s="8"/>
    </row>
    <row r="950" spans="4:5" ht="15.75" customHeight="1">
      <c r="D950" s="15"/>
      <c r="E950" s="8"/>
    </row>
    <row r="951" spans="4:5" ht="15.75" customHeight="1">
      <c r="D951" s="15"/>
      <c r="E951" s="8"/>
    </row>
    <row r="952" spans="4:5" ht="15.75" customHeight="1">
      <c r="D952" s="15"/>
      <c r="E952" s="8"/>
    </row>
    <row r="953" spans="4:5" ht="15.75" customHeight="1">
      <c r="D953" s="15"/>
      <c r="E953" s="8"/>
    </row>
    <row r="954" spans="4:5" ht="15.75" customHeight="1">
      <c r="D954" s="15"/>
      <c r="E954" s="8"/>
    </row>
    <row r="955" spans="4:5" ht="15.75" customHeight="1">
      <c r="D955" s="15"/>
      <c r="E955" s="8"/>
    </row>
    <row r="956" spans="4:5" ht="15.75" customHeight="1">
      <c r="D956" s="15"/>
      <c r="E956" s="8"/>
    </row>
    <row r="957" spans="4:5" ht="15.75" customHeight="1">
      <c r="D957" s="15"/>
      <c r="E957" s="8"/>
    </row>
    <row r="958" spans="4:5" ht="15.75" customHeight="1">
      <c r="D958" s="15"/>
      <c r="E958" s="8"/>
    </row>
    <row r="959" spans="4:5" ht="15.75" customHeight="1">
      <c r="D959" s="15"/>
      <c r="E959" s="8"/>
    </row>
    <row r="960" spans="4:5" ht="15.75" customHeight="1">
      <c r="D960" s="15"/>
      <c r="E960" s="8"/>
    </row>
    <row r="961" spans="4:5" ht="15.75" customHeight="1">
      <c r="D961" s="15"/>
      <c r="E961" s="8"/>
    </row>
    <row r="962" spans="4:5" ht="15.75" customHeight="1">
      <c r="D962" s="15"/>
      <c r="E962" s="8"/>
    </row>
    <row r="963" spans="4:5" ht="15.75" customHeight="1">
      <c r="D963" s="15"/>
      <c r="E963" s="8"/>
    </row>
    <row r="964" spans="4:5" ht="15.75" customHeight="1">
      <c r="D964" s="15"/>
      <c r="E964" s="8"/>
    </row>
    <row r="965" spans="4:5" ht="15.75" customHeight="1">
      <c r="D965" s="15"/>
      <c r="E965" s="8"/>
    </row>
    <row r="966" spans="4:5" ht="15.75" customHeight="1">
      <c r="D966" s="15"/>
      <c r="E966" s="8"/>
    </row>
    <row r="967" spans="4:5" ht="15.75" customHeight="1">
      <c r="D967" s="15"/>
      <c r="E967" s="8"/>
    </row>
    <row r="968" spans="4:5" ht="15.75" customHeight="1">
      <c r="D968" s="15"/>
      <c r="E968" s="8"/>
    </row>
    <row r="969" spans="4:5" ht="15.75" customHeight="1">
      <c r="D969" s="15"/>
      <c r="E969" s="8"/>
    </row>
    <row r="970" spans="4:5" ht="15.75" customHeight="1">
      <c r="D970" s="15"/>
      <c r="E970" s="8"/>
    </row>
    <row r="971" spans="4:5" ht="15.75" customHeight="1">
      <c r="D971" s="15"/>
      <c r="E971" s="8"/>
    </row>
    <row r="972" spans="4:5" ht="15.75" customHeight="1">
      <c r="D972" s="15"/>
      <c r="E972" s="8"/>
    </row>
    <row r="973" spans="4:5" ht="15.75" customHeight="1">
      <c r="D973" s="15"/>
      <c r="E973" s="8"/>
    </row>
    <row r="974" spans="4:5" ht="15.75" customHeight="1">
      <c r="D974" s="15"/>
      <c r="E974" s="8"/>
    </row>
    <row r="975" spans="4:5" ht="15.75" customHeight="1">
      <c r="D975" s="15"/>
      <c r="E975" s="8"/>
    </row>
    <row r="976" spans="4:5" ht="15.75" customHeight="1">
      <c r="D976" s="15"/>
      <c r="E976" s="8"/>
    </row>
    <row r="977" spans="4:5" ht="15.75" customHeight="1">
      <c r="D977" s="15"/>
      <c r="E977" s="8"/>
    </row>
    <row r="978" spans="4:5" ht="15.75" customHeight="1">
      <c r="D978" s="15"/>
      <c r="E978" s="8"/>
    </row>
    <row r="979" spans="4:5" ht="15.75" customHeight="1">
      <c r="D979" s="15"/>
      <c r="E979" s="8"/>
    </row>
    <row r="980" spans="4:5" ht="15.75" customHeight="1">
      <c r="D980" s="15"/>
      <c r="E980" s="8"/>
    </row>
    <row r="981" spans="4:5" ht="15.75" customHeight="1">
      <c r="D981" s="15"/>
      <c r="E981" s="8"/>
    </row>
    <row r="982" spans="4:5" ht="15.75" customHeight="1">
      <c r="D982" s="15"/>
      <c r="E982" s="8"/>
    </row>
    <row r="983" spans="4:5" ht="15.75" customHeight="1">
      <c r="D983" s="15"/>
      <c r="E983" s="8"/>
    </row>
    <row r="984" spans="4:5" ht="15.75" customHeight="1">
      <c r="D984" s="15"/>
      <c r="E984" s="8"/>
    </row>
    <row r="985" spans="4:5" ht="15.75" customHeight="1">
      <c r="D985" s="15"/>
      <c r="E985" s="8"/>
    </row>
    <row r="986" spans="4:5" ht="15.75" customHeight="1">
      <c r="D986" s="15"/>
      <c r="E986" s="8"/>
    </row>
    <row r="987" spans="4:5" ht="15.75" customHeight="1">
      <c r="D987" s="15"/>
      <c r="E987" s="8"/>
    </row>
    <row r="988" spans="4:5" ht="15.75" customHeight="1">
      <c r="D988" s="15"/>
      <c r="E988" s="8"/>
    </row>
    <row r="989" spans="4:5" ht="15.75" customHeight="1">
      <c r="D989" s="15"/>
      <c r="E989" s="8"/>
    </row>
    <row r="990" spans="4:5" ht="15.75" customHeight="1">
      <c r="D990" s="15"/>
      <c r="E990" s="8"/>
    </row>
    <row r="991" spans="4:5" ht="15.75" customHeight="1">
      <c r="D991" s="15"/>
      <c r="E991" s="8"/>
    </row>
    <row r="992" spans="4:5" ht="15.75" customHeight="1">
      <c r="D992" s="15"/>
      <c r="E992" s="8"/>
    </row>
    <row r="993" spans="4:5" ht="15.75" customHeight="1">
      <c r="D993" s="15"/>
      <c r="E993" s="8"/>
    </row>
    <row r="994" spans="4:5" ht="15.75" customHeight="1">
      <c r="D994" s="15"/>
      <c r="E994" s="8"/>
    </row>
    <row r="995" spans="4:5" ht="15.75" customHeight="1">
      <c r="D995" s="15"/>
      <c r="E995" s="8"/>
    </row>
    <row r="996" spans="4:5" ht="15.75" customHeight="1">
      <c r="D996" s="15"/>
      <c r="E996" s="8"/>
    </row>
    <row r="997" spans="4:5" ht="15.75" customHeight="1">
      <c r="D997" s="15"/>
      <c r="E997" s="8"/>
    </row>
    <row r="998" spans="4:5" ht="15.75" customHeight="1">
      <c r="D998" s="15"/>
      <c r="E998" s="8"/>
    </row>
    <row r="999" spans="4:5" ht="15.75" customHeight="1">
      <c r="D999" s="15"/>
      <c r="E999" s="8"/>
    </row>
    <row r="1000" spans="4:5" ht="15.75" customHeight="1">
      <c r="D1000" s="15"/>
      <c r="E1000" s="8"/>
    </row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7A5B-F32A-45D2-8B68-73C164D0DA89}">
  <dimension ref="A1:E458"/>
  <sheetViews>
    <sheetView workbookViewId="0">
      <selection activeCell="J7" sqref="J7"/>
    </sheetView>
  </sheetViews>
  <sheetFormatPr defaultRowHeight="15.6"/>
  <cols>
    <col min="1" max="1" width="10.5" bestFit="1" customWidth="1"/>
    <col min="2" max="2" width="11.3984375" customWidth="1"/>
    <col min="3" max="3" width="19.59765625" customWidth="1"/>
    <col min="4" max="4" width="33.59765625" customWidth="1"/>
    <col min="5" max="5" width="33.69921875" customWidth="1"/>
  </cols>
  <sheetData>
    <row r="1" spans="1: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>
      <c r="A2" s="24">
        <v>21551</v>
      </c>
      <c r="B2">
        <v>35</v>
      </c>
    </row>
    <row r="3" spans="1:5">
      <c r="A3" s="24">
        <v>21552</v>
      </c>
      <c r="B3">
        <v>32</v>
      </c>
    </row>
    <row r="4" spans="1:5">
      <c r="A4" s="24">
        <v>21553</v>
      </c>
      <c r="B4">
        <v>30</v>
      </c>
    </row>
    <row r="5" spans="1:5">
      <c r="A5" s="24">
        <v>21554</v>
      </c>
      <c r="B5">
        <v>31</v>
      </c>
    </row>
    <row r="6" spans="1:5">
      <c r="A6" s="24">
        <v>21555</v>
      </c>
      <c r="B6">
        <v>44</v>
      </c>
    </row>
    <row r="7" spans="1:5">
      <c r="A7" s="24">
        <v>21556</v>
      </c>
      <c r="B7">
        <v>29</v>
      </c>
    </row>
    <row r="8" spans="1:5">
      <c r="A8" s="24">
        <v>21557</v>
      </c>
      <c r="B8">
        <v>45</v>
      </c>
    </row>
    <row r="9" spans="1:5">
      <c r="A9" s="24">
        <v>21558</v>
      </c>
      <c r="B9">
        <v>43</v>
      </c>
    </row>
    <row r="10" spans="1:5">
      <c r="A10" s="24">
        <v>21559</v>
      </c>
      <c r="B10">
        <v>38</v>
      </c>
    </row>
    <row r="11" spans="1:5">
      <c r="A11" s="24">
        <v>21560</v>
      </c>
      <c r="B11">
        <v>27</v>
      </c>
    </row>
    <row r="12" spans="1:5">
      <c r="A12" s="24">
        <v>21561</v>
      </c>
      <c r="B12">
        <v>38</v>
      </c>
    </row>
    <row r="13" spans="1:5">
      <c r="A13" s="24">
        <v>21562</v>
      </c>
      <c r="B13">
        <v>33</v>
      </c>
    </row>
    <row r="14" spans="1:5">
      <c r="A14" s="24">
        <v>21563</v>
      </c>
      <c r="B14">
        <v>55</v>
      </c>
    </row>
    <row r="15" spans="1:5">
      <c r="A15" s="24">
        <v>21564</v>
      </c>
      <c r="B15">
        <v>47</v>
      </c>
    </row>
    <row r="16" spans="1:5">
      <c r="A16" s="24">
        <v>21565</v>
      </c>
      <c r="B16">
        <v>45</v>
      </c>
    </row>
    <row r="17" spans="1:2">
      <c r="A17" s="24">
        <v>21566</v>
      </c>
      <c r="B17">
        <v>37</v>
      </c>
    </row>
    <row r="18" spans="1:2">
      <c r="A18" s="24">
        <v>21567</v>
      </c>
      <c r="B18">
        <v>50</v>
      </c>
    </row>
    <row r="19" spans="1:2">
      <c r="A19" s="24">
        <v>21568</v>
      </c>
      <c r="B19">
        <v>43</v>
      </c>
    </row>
    <row r="20" spans="1:2">
      <c r="A20" s="24">
        <v>21569</v>
      </c>
      <c r="B20">
        <v>41</v>
      </c>
    </row>
    <row r="21" spans="1:2">
      <c r="A21" s="24">
        <v>21570</v>
      </c>
      <c r="B21">
        <v>52</v>
      </c>
    </row>
    <row r="22" spans="1:2">
      <c r="A22" s="24">
        <v>21571</v>
      </c>
      <c r="B22">
        <v>34</v>
      </c>
    </row>
    <row r="23" spans="1:2">
      <c r="A23" s="24">
        <v>21572</v>
      </c>
      <c r="B23">
        <v>53</v>
      </c>
    </row>
    <row r="24" spans="1:2">
      <c r="A24" s="24">
        <v>21573</v>
      </c>
      <c r="B24">
        <v>39</v>
      </c>
    </row>
    <row r="25" spans="1:2">
      <c r="A25" s="24">
        <v>21574</v>
      </c>
      <c r="B25">
        <v>32</v>
      </c>
    </row>
    <row r="26" spans="1:2">
      <c r="A26" s="24">
        <v>21575</v>
      </c>
      <c r="B26">
        <v>37</v>
      </c>
    </row>
    <row r="27" spans="1:2">
      <c r="A27" s="24">
        <v>21576</v>
      </c>
      <c r="B27">
        <v>43</v>
      </c>
    </row>
    <row r="28" spans="1:2">
      <c r="A28" s="24">
        <v>21577</v>
      </c>
      <c r="B28">
        <v>39</v>
      </c>
    </row>
    <row r="29" spans="1:2">
      <c r="A29" s="24">
        <v>21578</v>
      </c>
      <c r="B29">
        <v>35</v>
      </c>
    </row>
    <row r="30" spans="1:2">
      <c r="A30" s="24">
        <v>21579</v>
      </c>
      <c r="B30">
        <v>44</v>
      </c>
    </row>
    <row r="31" spans="1:2">
      <c r="A31" s="24">
        <v>21580</v>
      </c>
      <c r="B31">
        <v>38</v>
      </c>
    </row>
    <row r="32" spans="1:2">
      <c r="A32" s="24">
        <v>21581</v>
      </c>
      <c r="B32">
        <v>24</v>
      </c>
    </row>
    <row r="33" spans="1:2">
      <c r="A33" s="24">
        <v>21582</v>
      </c>
      <c r="B33">
        <v>23</v>
      </c>
    </row>
    <row r="34" spans="1:2">
      <c r="A34" s="24">
        <v>21583</v>
      </c>
      <c r="B34">
        <v>31</v>
      </c>
    </row>
    <row r="35" spans="1:2">
      <c r="A35" s="24">
        <v>21584</v>
      </c>
      <c r="B35">
        <v>44</v>
      </c>
    </row>
    <row r="36" spans="1:2">
      <c r="A36" s="24">
        <v>21585</v>
      </c>
      <c r="B36">
        <v>38</v>
      </c>
    </row>
    <row r="37" spans="1:2">
      <c r="A37" s="24">
        <v>21586</v>
      </c>
      <c r="B37">
        <v>50</v>
      </c>
    </row>
    <row r="38" spans="1:2">
      <c r="A38" s="24">
        <v>21587</v>
      </c>
      <c r="B38">
        <v>38</v>
      </c>
    </row>
    <row r="39" spans="1:2">
      <c r="A39" s="24">
        <v>21588</v>
      </c>
      <c r="B39">
        <v>51</v>
      </c>
    </row>
    <row r="40" spans="1:2">
      <c r="A40" s="24">
        <v>21589</v>
      </c>
      <c r="B40">
        <v>31</v>
      </c>
    </row>
    <row r="41" spans="1:2">
      <c r="A41" s="24">
        <v>21590</v>
      </c>
      <c r="B41">
        <v>31</v>
      </c>
    </row>
    <row r="42" spans="1:2">
      <c r="A42" s="24">
        <v>21591</v>
      </c>
      <c r="B42">
        <v>51</v>
      </c>
    </row>
    <row r="43" spans="1:2">
      <c r="A43" s="24">
        <v>21592</v>
      </c>
      <c r="B43">
        <v>36</v>
      </c>
    </row>
    <row r="44" spans="1:2">
      <c r="A44" s="24">
        <v>21593</v>
      </c>
      <c r="B44">
        <v>45</v>
      </c>
    </row>
    <row r="45" spans="1:2">
      <c r="A45" s="24">
        <v>21594</v>
      </c>
      <c r="B45">
        <v>51</v>
      </c>
    </row>
    <row r="46" spans="1:2">
      <c r="A46" s="24">
        <v>21595</v>
      </c>
      <c r="B46">
        <v>34</v>
      </c>
    </row>
    <row r="47" spans="1:2">
      <c r="A47" s="24">
        <v>21596</v>
      </c>
      <c r="B47">
        <v>52</v>
      </c>
    </row>
    <row r="48" spans="1:2">
      <c r="A48" s="24">
        <v>21597</v>
      </c>
      <c r="B48">
        <v>47</v>
      </c>
    </row>
    <row r="49" spans="1:2">
      <c r="A49" s="24">
        <v>21598</v>
      </c>
      <c r="B49">
        <v>45</v>
      </c>
    </row>
    <row r="50" spans="1:2">
      <c r="A50" s="24">
        <v>21599</v>
      </c>
      <c r="B50">
        <v>46</v>
      </c>
    </row>
    <row r="51" spans="1:2">
      <c r="A51" s="24">
        <v>21600</v>
      </c>
      <c r="B51">
        <v>39</v>
      </c>
    </row>
    <row r="52" spans="1:2">
      <c r="A52" s="24">
        <v>21601</v>
      </c>
      <c r="B52">
        <v>48</v>
      </c>
    </row>
    <row r="53" spans="1:2">
      <c r="A53" s="24">
        <v>21602</v>
      </c>
      <c r="B53">
        <v>37</v>
      </c>
    </row>
    <row r="54" spans="1:2">
      <c r="A54" s="24">
        <v>21603</v>
      </c>
      <c r="B54">
        <v>35</v>
      </c>
    </row>
    <row r="55" spans="1:2">
      <c r="A55" s="24">
        <v>21604</v>
      </c>
      <c r="B55">
        <v>52</v>
      </c>
    </row>
    <row r="56" spans="1:2">
      <c r="A56" s="24">
        <v>21605</v>
      </c>
      <c r="B56">
        <v>42</v>
      </c>
    </row>
    <row r="57" spans="1:2">
      <c r="A57" s="24">
        <v>21606</v>
      </c>
      <c r="B57">
        <v>45</v>
      </c>
    </row>
    <row r="58" spans="1:2">
      <c r="A58" s="24">
        <v>21607</v>
      </c>
      <c r="B58">
        <v>39</v>
      </c>
    </row>
    <row r="59" spans="1:2">
      <c r="A59" s="24">
        <v>21608</v>
      </c>
      <c r="B59">
        <v>37</v>
      </c>
    </row>
    <row r="60" spans="1:2">
      <c r="A60" s="24">
        <v>21609</v>
      </c>
      <c r="B60">
        <v>30</v>
      </c>
    </row>
    <row r="61" spans="1:2">
      <c r="A61" s="24">
        <v>21610</v>
      </c>
      <c r="B61">
        <v>35</v>
      </c>
    </row>
    <row r="62" spans="1:2">
      <c r="A62" s="24">
        <v>21611</v>
      </c>
      <c r="B62">
        <v>28</v>
      </c>
    </row>
    <row r="63" spans="1:2">
      <c r="A63" s="24">
        <v>21612</v>
      </c>
      <c r="B63">
        <v>45</v>
      </c>
    </row>
    <row r="64" spans="1:2">
      <c r="A64" s="24">
        <v>21613</v>
      </c>
      <c r="B64">
        <v>34</v>
      </c>
    </row>
    <row r="65" spans="1:2">
      <c r="A65" s="24">
        <v>21614</v>
      </c>
      <c r="B65">
        <v>36</v>
      </c>
    </row>
    <row r="66" spans="1:2">
      <c r="A66" s="24">
        <v>21615</v>
      </c>
      <c r="B66">
        <v>50</v>
      </c>
    </row>
    <row r="67" spans="1:2">
      <c r="A67" s="24">
        <v>21616</v>
      </c>
      <c r="B67">
        <v>44</v>
      </c>
    </row>
    <row r="68" spans="1:2">
      <c r="A68" s="24">
        <v>21617</v>
      </c>
      <c r="B68">
        <v>39</v>
      </c>
    </row>
    <row r="69" spans="1:2">
      <c r="A69" s="24">
        <v>21618</v>
      </c>
      <c r="B69">
        <v>32</v>
      </c>
    </row>
    <row r="70" spans="1:2">
      <c r="A70" s="24">
        <v>21619</v>
      </c>
      <c r="B70">
        <v>39</v>
      </c>
    </row>
    <row r="71" spans="1:2">
      <c r="A71" s="24">
        <v>21620</v>
      </c>
      <c r="B71">
        <v>45</v>
      </c>
    </row>
    <row r="72" spans="1:2">
      <c r="A72" s="24">
        <v>21621</v>
      </c>
      <c r="B72">
        <v>43</v>
      </c>
    </row>
    <row r="73" spans="1:2">
      <c r="A73" s="24">
        <v>21622</v>
      </c>
      <c r="B73">
        <v>39</v>
      </c>
    </row>
    <row r="74" spans="1:2">
      <c r="A74" s="24">
        <v>21623</v>
      </c>
      <c r="B74">
        <v>31</v>
      </c>
    </row>
    <row r="75" spans="1:2">
      <c r="A75" s="24">
        <v>21624</v>
      </c>
      <c r="B75">
        <v>27</v>
      </c>
    </row>
    <row r="76" spans="1:2">
      <c r="A76" s="24">
        <v>21625</v>
      </c>
      <c r="B76">
        <v>30</v>
      </c>
    </row>
    <row r="77" spans="1:2">
      <c r="A77" s="24">
        <v>21626</v>
      </c>
      <c r="B77">
        <v>42</v>
      </c>
    </row>
    <row r="78" spans="1:2">
      <c r="A78" s="24">
        <v>21627</v>
      </c>
      <c r="B78">
        <v>46</v>
      </c>
    </row>
    <row r="79" spans="1:2">
      <c r="A79" s="24">
        <v>21628</v>
      </c>
      <c r="B79">
        <v>41</v>
      </c>
    </row>
    <row r="80" spans="1:2">
      <c r="A80" s="24">
        <v>21629</v>
      </c>
      <c r="B80">
        <v>36</v>
      </c>
    </row>
    <row r="81" spans="1:2">
      <c r="A81" s="24">
        <v>21630</v>
      </c>
      <c r="B81">
        <v>45</v>
      </c>
    </row>
    <row r="82" spans="1:2">
      <c r="A82" s="24">
        <v>21631</v>
      </c>
      <c r="B82">
        <v>46</v>
      </c>
    </row>
    <row r="83" spans="1:2">
      <c r="A83" s="24">
        <v>21632</v>
      </c>
      <c r="B83">
        <v>43</v>
      </c>
    </row>
    <row r="84" spans="1:2">
      <c r="A84" s="24">
        <v>21633</v>
      </c>
      <c r="B84">
        <v>38</v>
      </c>
    </row>
    <row r="85" spans="1:2">
      <c r="A85" s="24">
        <v>21634</v>
      </c>
      <c r="B85">
        <v>34</v>
      </c>
    </row>
    <row r="86" spans="1:2">
      <c r="A86" s="24">
        <v>21635</v>
      </c>
      <c r="B86">
        <v>35</v>
      </c>
    </row>
    <row r="87" spans="1:2">
      <c r="A87" s="24">
        <v>21636</v>
      </c>
      <c r="B87">
        <v>56</v>
      </c>
    </row>
    <row r="88" spans="1:2">
      <c r="A88" s="24">
        <v>21637</v>
      </c>
      <c r="B88">
        <v>36</v>
      </c>
    </row>
    <row r="89" spans="1:2">
      <c r="A89" s="24">
        <v>21638</v>
      </c>
      <c r="B89">
        <v>32</v>
      </c>
    </row>
    <row r="90" spans="1:2">
      <c r="A90" s="24">
        <v>21639</v>
      </c>
      <c r="B90">
        <v>50</v>
      </c>
    </row>
    <row r="91" spans="1:2">
      <c r="A91" s="24">
        <v>21640</v>
      </c>
      <c r="B91">
        <v>41</v>
      </c>
    </row>
    <row r="92" spans="1:2">
      <c r="A92" s="24">
        <v>21641</v>
      </c>
      <c r="B92">
        <v>39</v>
      </c>
    </row>
    <row r="93" spans="1:2">
      <c r="A93" s="24">
        <v>21642</v>
      </c>
      <c r="B93">
        <v>41</v>
      </c>
    </row>
    <row r="94" spans="1:2">
      <c r="A94" s="24">
        <v>21643</v>
      </c>
      <c r="B94">
        <v>47</v>
      </c>
    </row>
    <row r="95" spans="1:2">
      <c r="A95" s="24">
        <v>21644</v>
      </c>
      <c r="B95">
        <v>34</v>
      </c>
    </row>
    <row r="96" spans="1:2">
      <c r="A96" s="24">
        <v>21645</v>
      </c>
      <c r="B96">
        <v>36</v>
      </c>
    </row>
    <row r="97" spans="1:2">
      <c r="A97" s="24">
        <v>21646</v>
      </c>
      <c r="B97">
        <v>33</v>
      </c>
    </row>
    <row r="98" spans="1:2">
      <c r="A98" s="24">
        <v>21647</v>
      </c>
      <c r="B98">
        <v>35</v>
      </c>
    </row>
    <row r="99" spans="1:2">
      <c r="A99" s="24">
        <v>21648</v>
      </c>
      <c r="B99">
        <v>38</v>
      </c>
    </row>
    <row r="100" spans="1:2">
      <c r="A100" s="24">
        <v>21649</v>
      </c>
      <c r="B100">
        <v>38</v>
      </c>
    </row>
    <row r="101" spans="1:2">
      <c r="A101" s="24">
        <v>21650</v>
      </c>
      <c r="B101">
        <v>34</v>
      </c>
    </row>
    <row r="102" spans="1:2">
      <c r="A102" s="24">
        <v>21651</v>
      </c>
      <c r="B102">
        <v>53</v>
      </c>
    </row>
    <row r="103" spans="1:2">
      <c r="A103" s="24">
        <v>21652</v>
      </c>
      <c r="B103">
        <v>34</v>
      </c>
    </row>
    <row r="104" spans="1:2">
      <c r="A104" s="24">
        <v>21653</v>
      </c>
      <c r="B104">
        <v>34</v>
      </c>
    </row>
    <row r="105" spans="1:2">
      <c r="A105" s="24">
        <v>21654</v>
      </c>
      <c r="B105">
        <v>38</v>
      </c>
    </row>
    <row r="106" spans="1:2">
      <c r="A106" s="24">
        <v>21655</v>
      </c>
      <c r="B106">
        <v>35</v>
      </c>
    </row>
    <row r="107" spans="1:2">
      <c r="A107" s="24">
        <v>21656</v>
      </c>
      <c r="B107">
        <v>32</v>
      </c>
    </row>
    <row r="108" spans="1:2">
      <c r="A108" s="24">
        <v>21657</v>
      </c>
      <c r="B108">
        <v>42</v>
      </c>
    </row>
    <row r="109" spans="1:2">
      <c r="A109" s="24">
        <v>21658</v>
      </c>
      <c r="B109">
        <v>34</v>
      </c>
    </row>
    <row r="110" spans="1:2">
      <c r="A110" s="24">
        <v>21659</v>
      </c>
      <c r="B110">
        <v>46</v>
      </c>
    </row>
    <row r="111" spans="1:2">
      <c r="A111" s="24">
        <v>21660</v>
      </c>
      <c r="B111">
        <v>30</v>
      </c>
    </row>
    <row r="112" spans="1:2">
      <c r="A112" s="24">
        <v>21661</v>
      </c>
      <c r="B112">
        <v>46</v>
      </c>
    </row>
    <row r="113" spans="1:2">
      <c r="A113" s="24">
        <v>21662</v>
      </c>
      <c r="B113">
        <v>45</v>
      </c>
    </row>
    <row r="114" spans="1:2">
      <c r="A114" s="24">
        <v>21663</v>
      </c>
      <c r="B114">
        <v>54</v>
      </c>
    </row>
    <row r="115" spans="1:2">
      <c r="A115" s="24">
        <v>21664</v>
      </c>
      <c r="B115">
        <v>34</v>
      </c>
    </row>
    <row r="116" spans="1:2">
      <c r="A116" s="24">
        <v>21665</v>
      </c>
      <c r="B116">
        <v>37</v>
      </c>
    </row>
    <row r="117" spans="1:2">
      <c r="A117" s="24">
        <v>21666</v>
      </c>
      <c r="B117">
        <v>35</v>
      </c>
    </row>
    <row r="118" spans="1:2">
      <c r="A118" s="24">
        <v>21667</v>
      </c>
      <c r="B118">
        <v>40</v>
      </c>
    </row>
    <row r="119" spans="1:2">
      <c r="A119" s="24">
        <v>21668</v>
      </c>
      <c r="B119">
        <v>42</v>
      </c>
    </row>
    <row r="120" spans="1:2">
      <c r="A120" s="24">
        <v>21669</v>
      </c>
      <c r="B120">
        <v>58</v>
      </c>
    </row>
    <row r="121" spans="1:2">
      <c r="A121" s="24">
        <v>21670</v>
      </c>
      <c r="B121">
        <v>51</v>
      </c>
    </row>
    <row r="122" spans="1:2">
      <c r="A122" s="24">
        <v>21671</v>
      </c>
      <c r="B122">
        <v>32</v>
      </c>
    </row>
    <row r="123" spans="1:2">
      <c r="A123" s="24">
        <v>21672</v>
      </c>
      <c r="B123">
        <v>35</v>
      </c>
    </row>
    <row r="124" spans="1:2">
      <c r="A124" s="24">
        <v>21673</v>
      </c>
      <c r="B124">
        <v>38</v>
      </c>
    </row>
    <row r="125" spans="1:2">
      <c r="A125" s="24">
        <v>21674</v>
      </c>
      <c r="B125">
        <v>33</v>
      </c>
    </row>
    <row r="126" spans="1:2">
      <c r="A126" s="24">
        <v>21675</v>
      </c>
      <c r="B126">
        <v>39</v>
      </c>
    </row>
    <row r="127" spans="1:2">
      <c r="A127" s="24">
        <v>21676</v>
      </c>
      <c r="B127">
        <v>47</v>
      </c>
    </row>
    <row r="128" spans="1:2">
      <c r="A128" s="24">
        <v>21677</v>
      </c>
      <c r="B128">
        <v>38</v>
      </c>
    </row>
    <row r="129" spans="1:2">
      <c r="A129" s="24">
        <v>21678</v>
      </c>
      <c r="B129">
        <v>52</v>
      </c>
    </row>
    <row r="130" spans="1:2">
      <c r="A130" s="24">
        <v>21679</v>
      </c>
      <c r="B130">
        <v>30</v>
      </c>
    </row>
    <row r="131" spans="1:2">
      <c r="A131" s="24">
        <v>21680</v>
      </c>
      <c r="B131">
        <v>34</v>
      </c>
    </row>
    <row r="132" spans="1:2">
      <c r="A132" s="24">
        <v>21681</v>
      </c>
      <c r="B132">
        <v>40</v>
      </c>
    </row>
    <row r="133" spans="1:2">
      <c r="A133" s="24">
        <v>21682</v>
      </c>
      <c r="B133">
        <v>35</v>
      </c>
    </row>
    <row r="134" spans="1:2">
      <c r="A134" s="24">
        <v>21683</v>
      </c>
      <c r="B134">
        <v>42</v>
      </c>
    </row>
    <row r="135" spans="1:2">
      <c r="A135" s="24">
        <v>21684</v>
      </c>
      <c r="B135">
        <v>41</v>
      </c>
    </row>
    <row r="136" spans="1:2">
      <c r="A136" s="24">
        <v>21685</v>
      </c>
      <c r="B136">
        <v>42</v>
      </c>
    </row>
    <row r="137" spans="1:2">
      <c r="A137" s="24">
        <v>21686</v>
      </c>
      <c r="B137">
        <v>38</v>
      </c>
    </row>
    <row r="138" spans="1:2">
      <c r="A138" s="24">
        <v>21687</v>
      </c>
      <c r="B138">
        <v>24</v>
      </c>
    </row>
    <row r="139" spans="1:2">
      <c r="A139" s="24">
        <v>21688</v>
      </c>
      <c r="B139">
        <v>34</v>
      </c>
    </row>
    <row r="140" spans="1:2">
      <c r="A140" s="24">
        <v>21689</v>
      </c>
      <c r="B140">
        <v>43</v>
      </c>
    </row>
    <row r="141" spans="1:2">
      <c r="A141" s="24">
        <v>21690</v>
      </c>
      <c r="B141">
        <v>36</v>
      </c>
    </row>
    <row r="142" spans="1:2">
      <c r="A142" s="24">
        <v>21691</v>
      </c>
      <c r="B142">
        <v>55</v>
      </c>
    </row>
    <row r="143" spans="1:2">
      <c r="A143" s="24">
        <v>21692</v>
      </c>
      <c r="B143">
        <v>41</v>
      </c>
    </row>
    <row r="144" spans="1:2">
      <c r="A144" s="24">
        <v>21693</v>
      </c>
      <c r="B144">
        <v>45</v>
      </c>
    </row>
    <row r="145" spans="1:2">
      <c r="A145" s="24">
        <v>21694</v>
      </c>
      <c r="B145">
        <v>41</v>
      </c>
    </row>
    <row r="146" spans="1:2">
      <c r="A146" s="24">
        <v>21695</v>
      </c>
      <c r="B146">
        <v>37</v>
      </c>
    </row>
    <row r="147" spans="1:2">
      <c r="A147" s="24">
        <v>21696</v>
      </c>
      <c r="B147">
        <v>43</v>
      </c>
    </row>
    <row r="148" spans="1:2">
      <c r="A148" s="24">
        <v>21697</v>
      </c>
      <c r="B148">
        <v>39</v>
      </c>
    </row>
    <row r="149" spans="1:2">
      <c r="A149" s="24">
        <v>21698</v>
      </c>
      <c r="B149">
        <v>33</v>
      </c>
    </row>
    <row r="150" spans="1:2">
      <c r="A150" s="24">
        <v>21699</v>
      </c>
      <c r="B150">
        <v>43</v>
      </c>
    </row>
    <row r="151" spans="1:2">
      <c r="A151" s="24">
        <v>21700</v>
      </c>
      <c r="B151">
        <v>40</v>
      </c>
    </row>
    <row r="152" spans="1:2">
      <c r="A152" s="24">
        <v>21701</v>
      </c>
      <c r="B152">
        <v>38</v>
      </c>
    </row>
    <row r="153" spans="1:2">
      <c r="A153" s="24">
        <v>21702</v>
      </c>
      <c r="B153">
        <v>45</v>
      </c>
    </row>
    <row r="154" spans="1:2">
      <c r="A154" s="24">
        <v>21703</v>
      </c>
      <c r="B154">
        <v>46</v>
      </c>
    </row>
    <row r="155" spans="1:2">
      <c r="A155" s="24">
        <v>21704</v>
      </c>
      <c r="B155">
        <v>34</v>
      </c>
    </row>
    <row r="156" spans="1:2">
      <c r="A156" s="24">
        <v>21705</v>
      </c>
      <c r="B156">
        <v>35</v>
      </c>
    </row>
    <row r="157" spans="1:2">
      <c r="A157" s="24">
        <v>21706</v>
      </c>
      <c r="B157">
        <v>48</v>
      </c>
    </row>
    <row r="158" spans="1:2">
      <c r="A158" s="24">
        <v>21707</v>
      </c>
      <c r="B158">
        <v>51</v>
      </c>
    </row>
    <row r="159" spans="1:2">
      <c r="A159" s="24">
        <v>21708</v>
      </c>
      <c r="B159">
        <v>36</v>
      </c>
    </row>
    <row r="160" spans="1:2">
      <c r="A160" s="24">
        <v>21709</v>
      </c>
      <c r="B160">
        <v>33</v>
      </c>
    </row>
    <row r="161" spans="1:2">
      <c r="A161" s="24">
        <v>21710</v>
      </c>
      <c r="B161">
        <v>46</v>
      </c>
    </row>
    <row r="162" spans="1:2">
      <c r="A162" s="24">
        <v>21711</v>
      </c>
      <c r="B162">
        <v>42</v>
      </c>
    </row>
    <row r="163" spans="1:2">
      <c r="A163" s="24">
        <v>21712</v>
      </c>
      <c r="B163">
        <v>48</v>
      </c>
    </row>
    <row r="164" spans="1:2">
      <c r="A164" s="24">
        <v>21713</v>
      </c>
      <c r="B164">
        <v>34</v>
      </c>
    </row>
    <row r="165" spans="1:2">
      <c r="A165" s="24">
        <v>21714</v>
      </c>
      <c r="B165">
        <v>41</v>
      </c>
    </row>
    <row r="166" spans="1:2">
      <c r="A166" s="24">
        <v>21715</v>
      </c>
      <c r="B166">
        <v>35</v>
      </c>
    </row>
    <row r="167" spans="1:2">
      <c r="A167" s="24">
        <v>21716</v>
      </c>
      <c r="B167">
        <v>40</v>
      </c>
    </row>
    <row r="168" spans="1:2">
      <c r="A168" s="24">
        <v>21717</v>
      </c>
      <c r="B168">
        <v>34</v>
      </c>
    </row>
    <row r="169" spans="1:2">
      <c r="A169" s="24">
        <v>21718</v>
      </c>
      <c r="B169">
        <v>30</v>
      </c>
    </row>
    <row r="170" spans="1:2">
      <c r="A170" s="24">
        <v>21719</v>
      </c>
      <c r="B170">
        <v>36</v>
      </c>
    </row>
    <row r="171" spans="1:2">
      <c r="A171" s="24">
        <v>21720</v>
      </c>
      <c r="B171">
        <v>40</v>
      </c>
    </row>
    <row r="172" spans="1:2">
      <c r="A172" s="24">
        <v>21721</v>
      </c>
      <c r="B172">
        <v>39</v>
      </c>
    </row>
    <row r="173" spans="1:2">
      <c r="A173" s="24">
        <v>21722</v>
      </c>
      <c r="B173">
        <v>45</v>
      </c>
    </row>
    <row r="174" spans="1:2">
      <c r="A174" s="24">
        <v>21723</v>
      </c>
      <c r="B174">
        <v>38</v>
      </c>
    </row>
    <row r="175" spans="1:2">
      <c r="A175" s="24">
        <v>21724</v>
      </c>
      <c r="B175">
        <v>47</v>
      </c>
    </row>
    <row r="176" spans="1:2">
      <c r="A176" s="24">
        <v>21725</v>
      </c>
      <c r="B176">
        <v>33</v>
      </c>
    </row>
    <row r="177" spans="1:2">
      <c r="A177" s="24">
        <v>21726</v>
      </c>
      <c r="B177">
        <v>30</v>
      </c>
    </row>
    <row r="178" spans="1:2">
      <c r="A178" s="24">
        <v>21727</v>
      </c>
      <c r="B178">
        <v>42</v>
      </c>
    </row>
    <row r="179" spans="1:2">
      <c r="A179" s="24">
        <v>21728</v>
      </c>
      <c r="B179">
        <v>43</v>
      </c>
    </row>
    <row r="180" spans="1:2">
      <c r="A180" s="24">
        <v>21729</v>
      </c>
      <c r="B180">
        <v>41</v>
      </c>
    </row>
    <row r="181" spans="1:2">
      <c r="A181" s="24">
        <v>21730</v>
      </c>
      <c r="B181">
        <v>41</v>
      </c>
    </row>
    <row r="182" spans="1:2">
      <c r="A182" s="24">
        <v>21731</v>
      </c>
      <c r="B182">
        <v>59</v>
      </c>
    </row>
    <row r="183" spans="1:2">
      <c r="A183" s="24">
        <v>21732</v>
      </c>
      <c r="B183">
        <v>43</v>
      </c>
    </row>
    <row r="184" spans="1:2">
      <c r="A184" s="24">
        <v>21733</v>
      </c>
      <c r="B184">
        <v>45</v>
      </c>
    </row>
    <row r="185" spans="1:2">
      <c r="A185" s="24">
        <v>21734</v>
      </c>
      <c r="B185">
        <v>38</v>
      </c>
    </row>
    <row r="186" spans="1:2">
      <c r="A186" s="24">
        <v>21735</v>
      </c>
      <c r="B186">
        <v>37</v>
      </c>
    </row>
    <row r="187" spans="1:2">
      <c r="A187" s="24">
        <v>21736</v>
      </c>
      <c r="B187">
        <v>45</v>
      </c>
    </row>
    <row r="188" spans="1:2">
      <c r="A188" s="24">
        <v>21737</v>
      </c>
      <c r="B188">
        <v>42</v>
      </c>
    </row>
    <row r="189" spans="1:2">
      <c r="A189" s="24">
        <v>21738</v>
      </c>
      <c r="B189">
        <v>57</v>
      </c>
    </row>
    <row r="190" spans="1:2">
      <c r="A190" s="24">
        <v>21739</v>
      </c>
      <c r="B190">
        <v>46</v>
      </c>
    </row>
    <row r="191" spans="1:2">
      <c r="A191" s="24">
        <v>21740</v>
      </c>
      <c r="B191">
        <v>51</v>
      </c>
    </row>
    <row r="192" spans="1:2">
      <c r="A192" s="24">
        <v>21741</v>
      </c>
      <c r="B192">
        <v>41</v>
      </c>
    </row>
    <row r="193" spans="1:2">
      <c r="A193" s="24">
        <v>21742</v>
      </c>
      <c r="B193">
        <v>47</v>
      </c>
    </row>
    <row r="194" spans="1:2">
      <c r="A194" s="24">
        <v>21743</v>
      </c>
      <c r="B194">
        <v>26</v>
      </c>
    </row>
    <row r="195" spans="1:2">
      <c r="A195" s="24">
        <v>21744</v>
      </c>
      <c r="B195">
        <v>35</v>
      </c>
    </row>
    <row r="196" spans="1:2">
      <c r="A196" s="24">
        <v>21745</v>
      </c>
      <c r="B196">
        <v>44</v>
      </c>
    </row>
    <row r="197" spans="1:2">
      <c r="A197" s="24">
        <v>21746</v>
      </c>
      <c r="B197">
        <v>41</v>
      </c>
    </row>
    <row r="198" spans="1:2">
      <c r="A198" s="24">
        <v>21747</v>
      </c>
      <c r="B198">
        <v>42</v>
      </c>
    </row>
    <row r="199" spans="1:2">
      <c r="A199" s="24">
        <v>21748</v>
      </c>
      <c r="B199">
        <v>36</v>
      </c>
    </row>
    <row r="200" spans="1:2">
      <c r="A200" s="24">
        <v>21749</v>
      </c>
      <c r="B200">
        <v>45</v>
      </c>
    </row>
    <row r="201" spans="1:2">
      <c r="A201" s="24">
        <v>21750</v>
      </c>
      <c r="B201">
        <v>45</v>
      </c>
    </row>
    <row r="202" spans="1:2">
      <c r="A202" s="24">
        <v>21751</v>
      </c>
      <c r="B202">
        <v>45</v>
      </c>
    </row>
    <row r="203" spans="1:2">
      <c r="A203" s="24">
        <v>21752</v>
      </c>
      <c r="B203">
        <v>47</v>
      </c>
    </row>
    <row r="204" spans="1:2">
      <c r="A204" s="24">
        <v>21753</v>
      </c>
      <c r="B204">
        <v>38</v>
      </c>
    </row>
    <row r="205" spans="1:2">
      <c r="A205" s="24">
        <v>21754</v>
      </c>
      <c r="B205">
        <v>42</v>
      </c>
    </row>
    <row r="206" spans="1:2">
      <c r="A206" s="24">
        <v>21755</v>
      </c>
      <c r="B206">
        <v>35</v>
      </c>
    </row>
    <row r="207" spans="1:2">
      <c r="A207" s="24">
        <v>21756</v>
      </c>
      <c r="B207">
        <v>36</v>
      </c>
    </row>
    <row r="208" spans="1:2">
      <c r="A208" s="24">
        <v>21757</v>
      </c>
      <c r="B208">
        <v>39</v>
      </c>
    </row>
    <row r="209" spans="1:2">
      <c r="A209" s="24">
        <v>21758</v>
      </c>
      <c r="B209">
        <v>45</v>
      </c>
    </row>
    <row r="210" spans="1:2">
      <c r="A210" s="24">
        <v>21759</v>
      </c>
      <c r="B210">
        <v>43</v>
      </c>
    </row>
    <row r="211" spans="1:2">
      <c r="A211" s="24">
        <v>21760</v>
      </c>
      <c r="B211">
        <v>47</v>
      </c>
    </row>
    <row r="212" spans="1:2">
      <c r="A212" s="24">
        <v>21761</v>
      </c>
      <c r="B212">
        <v>36</v>
      </c>
    </row>
    <row r="213" spans="1:2">
      <c r="A213" s="24">
        <v>21762</v>
      </c>
      <c r="B213">
        <v>41</v>
      </c>
    </row>
    <row r="214" spans="1:2">
      <c r="A214" s="24">
        <v>21763</v>
      </c>
      <c r="B214">
        <v>50</v>
      </c>
    </row>
    <row r="215" spans="1:2">
      <c r="A215" s="24">
        <v>21764</v>
      </c>
      <c r="B215">
        <v>39</v>
      </c>
    </row>
    <row r="216" spans="1:2">
      <c r="A216" s="24">
        <v>21765</v>
      </c>
      <c r="B216">
        <v>41</v>
      </c>
    </row>
    <row r="217" spans="1:2">
      <c r="A217" s="24">
        <v>21766</v>
      </c>
      <c r="B217">
        <v>46</v>
      </c>
    </row>
    <row r="218" spans="1:2">
      <c r="A218" s="24">
        <v>21767</v>
      </c>
      <c r="B218">
        <v>64</v>
      </c>
    </row>
    <row r="219" spans="1:2">
      <c r="A219" s="24">
        <v>21768</v>
      </c>
      <c r="B219">
        <v>45</v>
      </c>
    </row>
    <row r="220" spans="1:2">
      <c r="A220" s="24">
        <v>21769</v>
      </c>
      <c r="B220">
        <v>34</v>
      </c>
    </row>
    <row r="221" spans="1:2">
      <c r="A221" s="24">
        <v>21770</v>
      </c>
      <c r="B221">
        <v>38</v>
      </c>
    </row>
    <row r="222" spans="1:2">
      <c r="A222" s="24">
        <v>21771</v>
      </c>
      <c r="B222">
        <v>44</v>
      </c>
    </row>
    <row r="223" spans="1:2">
      <c r="A223" s="24">
        <v>21772</v>
      </c>
      <c r="B223">
        <v>48</v>
      </c>
    </row>
    <row r="224" spans="1:2">
      <c r="A224" s="24">
        <v>21773</v>
      </c>
      <c r="B224">
        <v>46</v>
      </c>
    </row>
    <row r="225" spans="1:2">
      <c r="A225" s="24">
        <v>21774</v>
      </c>
      <c r="B225">
        <v>44</v>
      </c>
    </row>
    <row r="226" spans="1:2">
      <c r="A226" s="24">
        <v>21775</v>
      </c>
      <c r="B226">
        <v>37</v>
      </c>
    </row>
    <row r="227" spans="1:2">
      <c r="A227" s="24">
        <v>21776</v>
      </c>
      <c r="B227">
        <v>39</v>
      </c>
    </row>
    <row r="228" spans="1:2">
      <c r="A228" s="24">
        <v>21777</v>
      </c>
      <c r="B228">
        <v>44</v>
      </c>
    </row>
    <row r="229" spans="1:2">
      <c r="A229" s="24">
        <v>21778</v>
      </c>
      <c r="B229">
        <v>45</v>
      </c>
    </row>
    <row r="230" spans="1:2">
      <c r="A230" s="24">
        <v>21779</v>
      </c>
      <c r="B230">
        <v>33</v>
      </c>
    </row>
    <row r="231" spans="1:2">
      <c r="A231" s="24">
        <v>21780</v>
      </c>
      <c r="B231">
        <v>44</v>
      </c>
    </row>
    <row r="232" spans="1:2">
      <c r="A232" s="24">
        <v>21781</v>
      </c>
      <c r="B232">
        <v>38</v>
      </c>
    </row>
    <row r="233" spans="1:2">
      <c r="A233" s="24">
        <v>21782</v>
      </c>
      <c r="B233">
        <v>46</v>
      </c>
    </row>
    <row r="234" spans="1:2">
      <c r="A234" s="24">
        <v>21783</v>
      </c>
      <c r="B234">
        <v>46</v>
      </c>
    </row>
    <row r="235" spans="1:2">
      <c r="A235" s="24">
        <v>21784</v>
      </c>
      <c r="B235">
        <v>40</v>
      </c>
    </row>
    <row r="236" spans="1:2">
      <c r="A236" s="24">
        <v>21785</v>
      </c>
      <c r="B236">
        <v>39</v>
      </c>
    </row>
    <row r="237" spans="1:2">
      <c r="A237" s="24">
        <v>21786</v>
      </c>
      <c r="B237">
        <v>44</v>
      </c>
    </row>
    <row r="238" spans="1:2">
      <c r="A238" s="24">
        <v>21787</v>
      </c>
      <c r="B238">
        <v>48</v>
      </c>
    </row>
    <row r="239" spans="1:2">
      <c r="A239" s="24">
        <v>21788</v>
      </c>
      <c r="B239">
        <v>50</v>
      </c>
    </row>
    <row r="240" spans="1:2">
      <c r="A240" s="24">
        <v>21789</v>
      </c>
      <c r="B240">
        <v>41</v>
      </c>
    </row>
    <row r="241" spans="1:2">
      <c r="A241" s="24">
        <v>21790</v>
      </c>
      <c r="B241">
        <v>42</v>
      </c>
    </row>
    <row r="242" spans="1:2">
      <c r="A242" s="24">
        <v>21791</v>
      </c>
      <c r="B242">
        <v>51</v>
      </c>
    </row>
    <row r="243" spans="1:2">
      <c r="A243" s="24">
        <v>21792</v>
      </c>
      <c r="B243">
        <v>41</v>
      </c>
    </row>
    <row r="244" spans="1:2">
      <c r="A244" s="24">
        <v>21793</v>
      </c>
      <c r="B244">
        <v>44</v>
      </c>
    </row>
    <row r="245" spans="1:2">
      <c r="A245" s="24">
        <v>21794</v>
      </c>
      <c r="B245">
        <v>38</v>
      </c>
    </row>
    <row r="246" spans="1:2">
      <c r="A246" s="24">
        <v>21795</v>
      </c>
      <c r="B246">
        <v>68</v>
      </c>
    </row>
    <row r="247" spans="1:2">
      <c r="A247" s="24">
        <v>21796</v>
      </c>
      <c r="B247">
        <v>40</v>
      </c>
    </row>
    <row r="248" spans="1:2">
      <c r="A248" s="24">
        <v>21797</v>
      </c>
      <c r="B248">
        <v>42</v>
      </c>
    </row>
    <row r="249" spans="1:2">
      <c r="A249" s="24">
        <v>21798</v>
      </c>
      <c r="B249">
        <v>51</v>
      </c>
    </row>
    <row r="250" spans="1:2">
      <c r="A250" s="24">
        <v>21799</v>
      </c>
      <c r="B250">
        <v>44</v>
      </c>
    </row>
    <row r="251" spans="1:2">
      <c r="A251" s="24">
        <v>21800</v>
      </c>
      <c r="B251">
        <v>45</v>
      </c>
    </row>
    <row r="252" spans="1:2">
      <c r="A252" s="24">
        <v>21801</v>
      </c>
      <c r="B252">
        <v>36</v>
      </c>
    </row>
    <row r="253" spans="1:2">
      <c r="A253" s="24">
        <v>21802</v>
      </c>
      <c r="B253">
        <v>57</v>
      </c>
    </row>
    <row r="254" spans="1:2">
      <c r="A254" s="24">
        <v>21803</v>
      </c>
      <c r="B254">
        <v>44</v>
      </c>
    </row>
    <row r="255" spans="1:2">
      <c r="A255" s="24">
        <v>21804</v>
      </c>
      <c r="B255">
        <v>42</v>
      </c>
    </row>
    <row r="256" spans="1:2">
      <c r="A256" s="24">
        <v>21805</v>
      </c>
      <c r="B256">
        <v>53</v>
      </c>
    </row>
    <row r="257" spans="1:2">
      <c r="A257" s="24">
        <v>21806</v>
      </c>
      <c r="B257">
        <v>42</v>
      </c>
    </row>
    <row r="258" spans="1:2">
      <c r="A258" s="24">
        <v>21807</v>
      </c>
      <c r="B258">
        <v>34</v>
      </c>
    </row>
    <row r="259" spans="1:2">
      <c r="A259" s="24">
        <v>21808</v>
      </c>
      <c r="B259">
        <v>40</v>
      </c>
    </row>
    <row r="260" spans="1:2">
      <c r="A260" s="24">
        <v>21809</v>
      </c>
      <c r="B260">
        <v>56</v>
      </c>
    </row>
    <row r="261" spans="1:2">
      <c r="A261" s="24">
        <v>21810</v>
      </c>
      <c r="B261">
        <v>44</v>
      </c>
    </row>
    <row r="262" spans="1:2">
      <c r="A262" s="24">
        <v>21811</v>
      </c>
      <c r="B262">
        <v>53</v>
      </c>
    </row>
    <row r="263" spans="1:2">
      <c r="A263" s="24">
        <v>21812</v>
      </c>
      <c r="B263">
        <v>55</v>
      </c>
    </row>
    <row r="264" spans="1:2">
      <c r="A264" s="24">
        <v>21813</v>
      </c>
      <c r="B264">
        <v>39</v>
      </c>
    </row>
    <row r="265" spans="1:2">
      <c r="A265" s="24">
        <v>21814</v>
      </c>
      <c r="B265">
        <v>59</v>
      </c>
    </row>
    <row r="266" spans="1:2">
      <c r="A266" s="24">
        <v>21815</v>
      </c>
      <c r="B266">
        <v>55</v>
      </c>
    </row>
    <row r="267" spans="1:2">
      <c r="A267" s="24">
        <v>21816</v>
      </c>
      <c r="B267">
        <v>73</v>
      </c>
    </row>
    <row r="268" spans="1:2">
      <c r="A268" s="24">
        <v>21817</v>
      </c>
      <c r="B268">
        <v>55</v>
      </c>
    </row>
    <row r="269" spans="1:2">
      <c r="A269" s="24">
        <v>21818</v>
      </c>
      <c r="B269">
        <v>44</v>
      </c>
    </row>
    <row r="270" spans="1:2">
      <c r="A270" s="24">
        <v>21819</v>
      </c>
      <c r="B270">
        <v>43</v>
      </c>
    </row>
    <row r="271" spans="1:2">
      <c r="A271" s="24">
        <v>21820</v>
      </c>
      <c r="B271">
        <v>40</v>
      </c>
    </row>
    <row r="272" spans="1:2">
      <c r="A272" s="24">
        <v>21821</v>
      </c>
      <c r="B272">
        <v>47</v>
      </c>
    </row>
    <row r="273" spans="1:2">
      <c r="A273" s="24">
        <v>21822</v>
      </c>
      <c r="B273">
        <v>51</v>
      </c>
    </row>
    <row r="274" spans="1:2">
      <c r="A274" s="24">
        <v>21823</v>
      </c>
      <c r="B274">
        <v>56</v>
      </c>
    </row>
    <row r="275" spans="1:2">
      <c r="A275" s="24">
        <v>21824</v>
      </c>
      <c r="B275">
        <v>49</v>
      </c>
    </row>
    <row r="276" spans="1:2">
      <c r="A276" s="24">
        <v>21825</v>
      </c>
      <c r="B276">
        <v>54</v>
      </c>
    </row>
    <row r="277" spans="1:2">
      <c r="A277" s="24">
        <v>21826</v>
      </c>
      <c r="B277">
        <v>56</v>
      </c>
    </row>
    <row r="278" spans="1:2">
      <c r="A278" s="24">
        <v>21827</v>
      </c>
      <c r="B278">
        <v>47</v>
      </c>
    </row>
    <row r="279" spans="1:2">
      <c r="A279" s="24">
        <v>21828</v>
      </c>
      <c r="B279">
        <v>44</v>
      </c>
    </row>
    <row r="280" spans="1:2">
      <c r="A280" s="24">
        <v>21829</v>
      </c>
      <c r="B280">
        <v>43</v>
      </c>
    </row>
    <row r="281" spans="1:2">
      <c r="A281" s="24">
        <v>21830</v>
      </c>
      <c r="B281">
        <v>42</v>
      </c>
    </row>
    <row r="282" spans="1:2">
      <c r="A282" s="24">
        <v>21831</v>
      </c>
      <c r="B282">
        <v>45</v>
      </c>
    </row>
    <row r="283" spans="1:2">
      <c r="A283" s="24">
        <v>21832</v>
      </c>
      <c r="B283">
        <v>50</v>
      </c>
    </row>
    <row r="284" spans="1:2">
      <c r="A284" s="24">
        <v>21833</v>
      </c>
      <c r="B284">
        <v>48</v>
      </c>
    </row>
    <row r="285" spans="1:2">
      <c r="A285" s="24">
        <v>21834</v>
      </c>
      <c r="B285">
        <v>43</v>
      </c>
    </row>
    <row r="286" spans="1:2">
      <c r="A286" s="24">
        <v>21835</v>
      </c>
      <c r="B286">
        <v>40</v>
      </c>
    </row>
    <row r="287" spans="1:2">
      <c r="A287" s="24">
        <v>21836</v>
      </c>
      <c r="B287">
        <v>59</v>
      </c>
    </row>
    <row r="288" spans="1:2">
      <c r="A288" s="24">
        <v>21837</v>
      </c>
      <c r="B288">
        <v>41</v>
      </c>
    </row>
    <row r="289" spans="1:2">
      <c r="A289" s="24">
        <v>21838</v>
      </c>
      <c r="B289">
        <v>42</v>
      </c>
    </row>
    <row r="290" spans="1:2">
      <c r="A290" s="24">
        <v>21839</v>
      </c>
      <c r="B290">
        <v>51</v>
      </c>
    </row>
    <row r="291" spans="1:2">
      <c r="A291" s="24">
        <v>21840</v>
      </c>
      <c r="B291">
        <v>49</v>
      </c>
    </row>
    <row r="292" spans="1:2">
      <c r="A292" s="24">
        <v>21841</v>
      </c>
      <c r="B292">
        <v>45</v>
      </c>
    </row>
    <row r="293" spans="1:2">
      <c r="A293" s="24">
        <v>21842</v>
      </c>
      <c r="B293">
        <v>43</v>
      </c>
    </row>
    <row r="294" spans="1:2">
      <c r="A294" s="24">
        <v>21843</v>
      </c>
      <c r="B294">
        <v>42</v>
      </c>
    </row>
    <row r="295" spans="1:2">
      <c r="A295" s="24">
        <v>21844</v>
      </c>
      <c r="B295">
        <v>38</v>
      </c>
    </row>
    <row r="296" spans="1:2">
      <c r="A296" s="24">
        <v>21845</v>
      </c>
      <c r="B296">
        <v>47</v>
      </c>
    </row>
    <row r="297" spans="1:2">
      <c r="A297" s="24">
        <v>21846</v>
      </c>
      <c r="B297">
        <v>38</v>
      </c>
    </row>
    <row r="298" spans="1:2">
      <c r="A298" s="24">
        <v>21847</v>
      </c>
      <c r="B298">
        <v>36</v>
      </c>
    </row>
    <row r="299" spans="1:2">
      <c r="A299" s="24">
        <v>21848</v>
      </c>
      <c r="B299">
        <v>42</v>
      </c>
    </row>
    <row r="300" spans="1:2">
      <c r="A300" s="24">
        <v>21849</v>
      </c>
      <c r="B300">
        <v>35</v>
      </c>
    </row>
    <row r="301" spans="1:2">
      <c r="A301" s="24">
        <v>21850</v>
      </c>
      <c r="B301">
        <v>28</v>
      </c>
    </row>
    <row r="302" spans="1:2">
      <c r="A302" s="24">
        <v>21851</v>
      </c>
      <c r="B302">
        <v>44</v>
      </c>
    </row>
    <row r="303" spans="1:2">
      <c r="A303" s="24">
        <v>21852</v>
      </c>
      <c r="B303">
        <v>36</v>
      </c>
    </row>
    <row r="304" spans="1:2">
      <c r="A304" s="24">
        <v>21853</v>
      </c>
      <c r="B304">
        <v>45</v>
      </c>
    </row>
    <row r="305" spans="1:2">
      <c r="A305" s="24">
        <v>21854</v>
      </c>
      <c r="B305">
        <v>46</v>
      </c>
    </row>
    <row r="306" spans="1:2">
      <c r="A306" s="24">
        <v>21855</v>
      </c>
      <c r="B306">
        <v>48</v>
      </c>
    </row>
    <row r="307" spans="1:2">
      <c r="A307" s="24">
        <v>21856</v>
      </c>
      <c r="B307">
        <v>49</v>
      </c>
    </row>
    <row r="308" spans="1:2">
      <c r="A308" s="24">
        <v>21857</v>
      </c>
      <c r="B308">
        <v>43</v>
      </c>
    </row>
    <row r="309" spans="1:2">
      <c r="A309" s="24">
        <v>21858</v>
      </c>
      <c r="B309">
        <v>42</v>
      </c>
    </row>
    <row r="310" spans="1:2">
      <c r="A310" s="24">
        <v>21859</v>
      </c>
      <c r="B310">
        <v>59</v>
      </c>
    </row>
    <row r="311" spans="1:2">
      <c r="A311" s="24">
        <v>21860</v>
      </c>
      <c r="B311">
        <v>45</v>
      </c>
    </row>
    <row r="312" spans="1:2">
      <c r="A312" s="24">
        <v>21861</v>
      </c>
      <c r="B312">
        <v>52</v>
      </c>
    </row>
    <row r="313" spans="1:2">
      <c r="A313" s="24">
        <v>21862</v>
      </c>
      <c r="B313">
        <v>46</v>
      </c>
    </row>
    <row r="314" spans="1:2">
      <c r="A314" s="24">
        <v>21863</v>
      </c>
      <c r="B314">
        <v>42</v>
      </c>
    </row>
    <row r="315" spans="1:2">
      <c r="A315" s="24">
        <v>21864</v>
      </c>
      <c r="B315">
        <v>40</v>
      </c>
    </row>
    <row r="316" spans="1:2">
      <c r="A316" s="24">
        <v>21865</v>
      </c>
      <c r="B316">
        <v>40</v>
      </c>
    </row>
    <row r="317" spans="1:2">
      <c r="A317" s="24">
        <v>21866</v>
      </c>
      <c r="B317">
        <v>45</v>
      </c>
    </row>
    <row r="318" spans="1:2">
      <c r="A318" s="24">
        <v>21867</v>
      </c>
      <c r="B318">
        <v>35</v>
      </c>
    </row>
    <row r="319" spans="1:2">
      <c r="A319" s="24">
        <v>21868</v>
      </c>
      <c r="B319">
        <v>35</v>
      </c>
    </row>
    <row r="320" spans="1:2">
      <c r="A320" s="24">
        <v>21869</v>
      </c>
      <c r="B320">
        <v>40</v>
      </c>
    </row>
    <row r="321" spans="1:2">
      <c r="A321" s="24">
        <v>21870</v>
      </c>
      <c r="B321">
        <v>39</v>
      </c>
    </row>
    <row r="322" spans="1:2">
      <c r="A322" s="24">
        <v>21871</v>
      </c>
      <c r="B322">
        <v>33</v>
      </c>
    </row>
    <row r="323" spans="1:2">
      <c r="A323" s="24">
        <v>21872</v>
      </c>
      <c r="B323">
        <v>42</v>
      </c>
    </row>
    <row r="324" spans="1:2">
      <c r="A324" s="24">
        <v>21873</v>
      </c>
      <c r="B324">
        <v>47</v>
      </c>
    </row>
    <row r="325" spans="1:2">
      <c r="A325" s="24">
        <v>21874</v>
      </c>
      <c r="B325">
        <v>51</v>
      </c>
    </row>
    <row r="326" spans="1:2">
      <c r="A326" s="24">
        <v>21875</v>
      </c>
      <c r="B326">
        <v>44</v>
      </c>
    </row>
    <row r="327" spans="1:2">
      <c r="A327" s="24">
        <v>21876</v>
      </c>
      <c r="B327">
        <v>40</v>
      </c>
    </row>
    <row r="328" spans="1:2">
      <c r="A328" s="24">
        <v>21877</v>
      </c>
      <c r="B328">
        <v>57</v>
      </c>
    </row>
    <row r="329" spans="1:2">
      <c r="A329" s="24">
        <v>21878</v>
      </c>
      <c r="B329">
        <v>49</v>
      </c>
    </row>
    <row r="330" spans="1:2">
      <c r="A330" s="24">
        <v>21879</v>
      </c>
      <c r="B330">
        <v>45</v>
      </c>
    </row>
    <row r="331" spans="1:2">
      <c r="A331" s="24">
        <v>21880</v>
      </c>
      <c r="B331">
        <v>49</v>
      </c>
    </row>
    <row r="332" spans="1:2">
      <c r="A332" s="24">
        <v>21881</v>
      </c>
      <c r="B332">
        <v>51</v>
      </c>
    </row>
    <row r="333" spans="1:2">
      <c r="A333" s="24">
        <v>21882</v>
      </c>
      <c r="B333">
        <v>46</v>
      </c>
    </row>
    <row r="334" spans="1:2">
      <c r="A334" s="24">
        <v>21883</v>
      </c>
      <c r="B334">
        <v>44</v>
      </c>
    </row>
    <row r="335" spans="1:2">
      <c r="A335" s="24">
        <v>21884</v>
      </c>
      <c r="B335">
        <v>52</v>
      </c>
    </row>
    <row r="336" spans="1:2">
      <c r="A336" s="24">
        <v>21885</v>
      </c>
      <c r="B336">
        <v>45</v>
      </c>
    </row>
    <row r="337" spans="1:2">
      <c r="A337" s="24">
        <v>21886</v>
      </c>
      <c r="B337">
        <v>32</v>
      </c>
    </row>
    <row r="338" spans="1:2">
      <c r="A338" s="24">
        <v>21887</v>
      </c>
      <c r="B338">
        <v>46</v>
      </c>
    </row>
    <row r="339" spans="1:2">
      <c r="A339" s="24">
        <v>21888</v>
      </c>
      <c r="B339">
        <v>41</v>
      </c>
    </row>
    <row r="340" spans="1:2">
      <c r="A340" s="24">
        <v>21889</v>
      </c>
      <c r="B340">
        <v>34</v>
      </c>
    </row>
    <row r="341" spans="1:2">
      <c r="A341" s="24">
        <v>21890</v>
      </c>
      <c r="B341">
        <v>33</v>
      </c>
    </row>
    <row r="342" spans="1:2">
      <c r="A342" s="24">
        <v>21891</v>
      </c>
      <c r="B342">
        <v>36</v>
      </c>
    </row>
    <row r="343" spans="1:2">
      <c r="A343" s="24">
        <v>21892</v>
      </c>
      <c r="B343">
        <v>49</v>
      </c>
    </row>
    <row r="344" spans="1:2">
      <c r="A344" s="24">
        <v>21893</v>
      </c>
      <c r="B344">
        <v>43</v>
      </c>
    </row>
    <row r="345" spans="1:2">
      <c r="A345" s="24">
        <v>21894</v>
      </c>
      <c r="B345">
        <v>43</v>
      </c>
    </row>
    <row r="346" spans="1:2">
      <c r="A346" s="24">
        <v>21895</v>
      </c>
      <c r="B346">
        <v>34</v>
      </c>
    </row>
    <row r="347" spans="1:2">
      <c r="A347" s="24">
        <v>21896</v>
      </c>
      <c r="B347">
        <v>39</v>
      </c>
    </row>
    <row r="348" spans="1:2">
      <c r="A348" s="24">
        <v>21897</v>
      </c>
      <c r="B348">
        <v>35</v>
      </c>
    </row>
    <row r="349" spans="1:2">
      <c r="A349" s="24">
        <v>21898</v>
      </c>
      <c r="B349">
        <v>52</v>
      </c>
    </row>
    <row r="350" spans="1:2">
      <c r="A350" s="24">
        <v>21899</v>
      </c>
      <c r="B350">
        <v>47</v>
      </c>
    </row>
    <row r="351" spans="1:2">
      <c r="A351" s="24">
        <v>21900</v>
      </c>
      <c r="B351">
        <v>52</v>
      </c>
    </row>
    <row r="352" spans="1:2">
      <c r="A352" s="24">
        <v>21901</v>
      </c>
      <c r="B352">
        <v>39</v>
      </c>
    </row>
    <row r="353" spans="1:5">
      <c r="A353" s="24">
        <v>21902</v>
      </c>
      <c r="B353">
        <v>40</v>
      </c>
    </row>
    <row r="354" spans="1:5">
      <c r="A354" s="24">
        <v>21903</v>
      </c>
      <c r="B354">
        <v>42</v>
      </c>
    </row>
    <row r="355" spans="1:5">
      <c r="A355" s="24">
        <v>21904</v>
      </c>
      <c r="B355">
        <v>42</v>
      </c>
    </row>
    <row r="356" spans="1:5">
      <c r="A356" s="24">
        <v>21905</v>
      </c>
      <c r="B356">
        <v>53</v>
      </c>
    </row>
    <row r="357" spans="1:5">
      <c r="A357" s="24">
        <v>21906</v>
      </c>
      <c r="B357">
        <v>39</v>
      </c>
    </row>
    <row r="358" spans="1:5">
      <c r="A358" s="24">
        <v>21907</v>
      </c>
      <c r="B358">
        <v>40</v>
      </c>
    </row>
    <row r="359" spans="1:5">
      <c r="A359" s="24">
        <v>21908</v>
      </c>
      <c r="B359">
        <v>38</v>
      </c>
    </row>
    <row r="360" spans="1:5">
      <c r="A360" s="24">
        <v>21909</v>
      </c>
      <c r="B360">
        <v>44</v>
      </c>
    </row>
    <row r="361" spans="1:5">
      <c r="A361" s="24">
        <v>21910</v>
      </c>
      <c r="B361">
        <v>34</v>
      </c>
    </row>
    <row r="362" spans="1:5">
      <c r="A362" s="24">
        <v>21911</v>
      </c>
      <c r="B362">
        <v>37</v>
      </c>
    </row>
    <row r="363" spans="1:5">
      <c r="A363" s="24">
        <v>21912</v>
      </c>
      <c r="B363">
        <v>52</v>
      </c>
    </row>
    <row r="364" spans="1:5">
      <c r="A364" s="24">
        <v>21913</v>
      </c>
      <c r="B364">
        <v>48</v>
      </c>
    </row>
    <row r="365" spans="1:5">
      <c r="A365" s="24">
        <v>21914</v>
      </c>
      <c r="B365">
        <v>55</v>
      </c>
    </row>
    <row r="366" spans="1:5">
      <c r="A366" s="24">
        <v>21915</v>
      </c>
      <c r="B366">
        <v>50</v>
      </c>
      <c r="C366">
        <v>50</v>
      </c>
      <c r="D366" s="25">
        <v>50</v>
      </c>
      <c r="E366" s="25">
        <v>50</v>
      </c>
    </row>
    <row r="367" spans="1:5">
      <c r="A367" s="24">
        <v>21916</v>
      </c>
      <c r="C367">
        <f t="shared" ref="C367:C398" si="0">_xlfn.FORECAST.ETS(A367,$B$2:$B$366,$A$2:$A$366,1,1)</f>
        <v>47.07848099046906</v>
      </c>
      <c r="D367" s="25">
        <f t="shared" ref="D367:D398" si="1">C367-_xlfn.FORECAST.ETS.CONFINT(A367,$B$2:$B$366,$A$2:$A$366,0.95,1,1)</f>
        <v>32.414654408906244</v>
      </c>
      <c r="E367" s="25">
        <f t="shared" ref="E367:E398" si="2">C367+_xlfn.FORECAST.ETS.CONFINT(A367,$B$2:$B$366,$A$2:$A$366,0.95,1,1)</f>
        <v>61.742307572031876</v>
      </c>
    </row>
    <row r="368" spans="1:5">
      <c r="A368" s="24">
        <v>21917</v>
      </c>
      <c r="C368">
        <f t="shared" si="0"/>
        <v>44.540814102244376</v>
      </c>
      <c r="D368" s="25">
        <f t="shared" si="1"/>
        <v>29.41854786793655</v>
      </c>
      <c r="E368" s="25">
        <f t="shared" si="2"/>
        <v>59.663080336552198</v>
      </c>
    </row>
    <row r="369" spans="1:5">
      <c r="A369" s="24">
        <v>21918</v>
      </c>
      <c r="C369">
        <f t="shared" si="0"/>
        <v>44.781489063466779</v>
      </c>
      <c r="D369" s="25">
        <f t="shared" si="1"/>
        <v>29.210790583550015</v>
      </c>
      <c r="E369" s="25">
        <f t="shared" si="2"/>
        <v>60.352187543383543</v>
      </c>
    </row>
    <row r="370" spans="1:5">
      <c r="A370" s="24">
        <v>21919</v>
      </c>
      <c r="C370">
        <f t="shared" si="0"/>
        <v>54.908684154817522</v>
      </c>
      <c r="D370" s="25">
        <f t="shared" si="1"/>
        <v>38.898706473903815</v>
      </c>
      <c r="E370" s="25">
        <f t="shared" si="2"/>
        <v>70.918661835731228</v>
      </c>
    </row>
    <row r="371" spans="1:5">
      <c r="A371" s="24">
        <v>21920</v>
      </c>
      <c r="C371">
        <f t="shared" si="0"/>
        <v>49.366808680756009</v>
      </c>
      <c r="D371" s="25">
        <f t="shared" si="1"/>
        <v>32.925958073517805</v>
      </c>
      <c r="E371" s="25">
        <f t="shared" si="2"/>
        <v>65.807659287994213</v>
      </c>
    </row>
    <row r="372" spans="1:5">
      <c r="A372" s="24">
        <v>21921</v>
      </c>
      <c r="C372">
        <f t="shared" si="0"/>
        <v>50.330835805359378</v>
      </c>
      <c r="D372" s="25">
        <f t="shared" si="1"/>
        <v>33.46686144441432</v>
      </c>
      <c r="E372" s="25">
        <f t="shared" si="2"/>
        <v>67.194810166304435</v>
      </c>
    </row>
    <row r="373" spans="1:5">
      <c r="A373" s="24">
        <v>21922</v>
      </c>
      <c r="C373">
        <f t="shared" si="0"/>
        <v>48.075340586273391</v>
      </c>
      <c r="D373" s="25">
        <f t="shared" si="1"/>
        <v>30.795409942019152</v>
      </c>
      <c r="E373" s="25">
        <f t="shared" si="2"/>
        <v>65.355271230527634</v>
      </c>
    </row>
    <row r="374" spans="1:5">
      <c r="A374" s="24">
        <v>21923</v>
      </c>
      <c r="C374">
        <f t="shared" si="0"/>
        <v>47.349610477405825</v>
      </c>
      <c r="D374" s="25">
        <f t="shared" si="1"/>
        <v>28.53241249700163</v>
      </c>
      <c r="E374" s="25">
        <f t="shared" si="2"/>
        <v>66.166808457810021</v>
      </c>
    </row>
    <row r="375" spans="1:5">
      <c r="A375" s="24">
        <v>21924</v>
      </c>
      <c r="C375">
        <f t="shared" si="0"/>
        <v>44.811943589181141</v>
      </c>
      <c r="D375" s="25">
        <f t="shared" si="1"/>
        <v>25.615297518648745</v>
      </c>
      <c r="E375" s="25">
        <f t="shared" si="2"/>
        <v>64.008589659713536</v>
      </c>
    </row>
    <row r="376" spans="1:5">
      <c r="A376" s="24">
        <v>21925</v>
      </c>
      <c r="C376">
        <f t="shared" si="0"/>
        <v>45.052618550403551</v>
      </c>
      <c r="D376" s="25">
        <f t="shared" si="1"/>
        <v>25.481029439801333</v>
      </c>
      <c r="E376" s="25">
        <f t="shared" si="2"/>
        <v>64.624207661005769</v>
      </c>
    </row>
    <row r="377" spans="1:5">
      <c r="A377" s="24">
        <v>21926</v>
      </c>
      <c r="C377">
        <f t="shared" si="0"/>
        <v>55.179813641754293</v>
      </c>
      <c r="D377" s="25">
        <f t="shared" si="1"/>
        <v>35.237521653113248</v>
      </c>
      <c r="E377" s="25">
        <f t="shared" si="2"/>
        <v>75.122105630395339</v>
      </c>
    </row>
    <row r="378" spans="1:5">
      <c r="A378" s="24">
        <v>21927</v>
      </c>
      <c r="C378">
        <f t="shared" si="0"/>
        <v>49.637938167692774</v>
      </c>
      <c r="D378" s="25">
        <f t="shared" si="1"/>
        <v>29.328940685029377</v>
      </c>
      <c r="E378" s="25">
        <f t="shared" si="2"/>
        <v>69.946935650356167</v>
      </c>
    </row>
    <row r="379" spans="1:5">
      <c r="A379" s="24">
        <v>21928</v>
      </c>
      <c r="C379">
        <f t="shared" si="0"/>
        <v>50.601965292296143</v>
      </c>
      <c r="D379" s="25">
        <f t="shared" si="1"/>
        <v>29.93003656414654</v>
      </c>
      <c r="E379" s="25">
        <f t="shared" si="2"/>
        <v>71.273894020445738</v>
      </c>
    </row>
    <row r="380" spans="1:5">
      <c r="A380" s="24">
        <v>21929</v>
      </c>
      <c r="C380">
        <f t="shared" si="0"/>
        <v>48.346470073210163</v>
      </c>
      <c r="D380" s="25">
        <f t="shared" si="1"/>
        <v>27.315178729394805</v>
      </c>
      <c r="E380" s="25">
        <f t="shared" si="2"/>
        <v>69.377761417025525</v>
      </c>
    </row>
    <row r="381" spans="1:5">
      <c r="A381" s="24">
        <v>21930</v>
      </c>
      <c r="C381">
        <f t="shared" si="0"/>
        <v>47.620739964342597</v>
      </c>
      <c r="D381" s="25">
        <f t="shared" si="1"/>
        <v>25.274689608643374</v>
      </c>
      <c r="E381" s="25">
        <f t="shared" si="2"/>
        <v>69.966790320041824</v>
      </c>
    </row>
    <row r="382" spans="1:5">
      <c r="A382" s="24">
        <v>21931</v>
      </c>
      <c r="C382">
        <f t="shared" si="0"/>
        <v>45.083073076117905</v>
      </c>
      <c r="D382" s="25">
        <f t="shared" si="1"/>
        <v>22.399147617220663</v>
      </c>
      <c r="E382" s="25">
        <f t="shared" si="2"/>
        <v>67.766998535015148</v>
      </c>
    </row>
    <row r="383" spans="1:5">
      <c r="A383" s="24">
        <v>21932</v>
      </c>
      <c r="C383">
        <f t="shared" si="0"/>
        <v>45.323748037340316</v>
      </c>
      <c r="D383" s="25">
        <f t="shared" si="1"/>
        <v>22.304417209253565</v>
      </c>
      <c r="E383" s="25">
        <f t="shared" si="2"/>
        <v>68.34307886542706</v>
      </c>
    </row>
    <row r="384" spans="1:5">
      <c r="A384" s="24">
        <v>21933</v>
      </c>
      <c r="C384">
        <f t="shared" si="0"/>
        <v>55.450943128691058</v>
      </c>
      <c r="D384" s="25">
        <f t="shared" si="1"/>
        <v>32.098561040360948</v>
      </c>
      <c r="E384" s="25">
        <f t="shared" si="2"/>
        <v>78.803325217021168</v>
      </c>
    </row>
    <row r="385" spans="1:5">
      <c r="A385" s="24">
        <v>21934</v>
      </c>
      <c r="C385">
        <f t="shared" si="0"/>
        <v>49.909067654629546</v>
      </c>
      <c r="D385" s="25">
        <f t="shared" si="1"/>
        <v>26.225880019520226</v>
      </c>
      <c r="E385" s="25">
        <f t="shared" si="2"/>
        <v>73.592255289738858</v>
      </c>
    </row>
    <row r="386" spans="1:5">
      <c r="A386" s="24">
        <v>21935</v>
      </c>
      <c r="C386">
        <f t="shared" si="0"/>
        <v>50.873094779232915</v>
      </c>
      <c r="D386" s="25">
        <f t="shared" si="1"/>
        <v>26.861245539538224</v>
      </c>
      <c r="E386" s="25">
        <f t="shared" si="2"/>
        <v>74.884944018927598</v>
      </c>
    </row>
    <row r="387" spans="1:5">
      <c r="A387" s="24">
        <v>21936</v>
      </c>
      <c r="C387">
        <f t="shared" si="0"/>
        <v>48.617599560146928</v>
      </c>
      <c r="D387" s="25">
        <f t="shared" si="1"/>
        <v>24.27913696890926</v>
      </c>
      <c r="E387" s="25">
        <f t="shared" si="2"/>
        <v>72.9560621513846</v>
      </c>
    </row>
    <row r="388" spans="1:5">
      <c r="A388" s="24">
        <v>21937</v>
      </c>
      <c r="C388">
        <f t="shared" si="0"/>
        <v>47.891869451279362</v>
      </c>
      <c r="D388" s="25">
        <f t="shared" si="1"/>
        <v>22.378100637382609</v>
      </c>
      <c r="E388" s="25">
        <f t="shared" si="2"/>
        <v>73.405638265176123</v>
      </c>
    </row>
    <row r="389" spans="1:5">
      <c r="A389" s="24">
        <v>21938</v>
      </c>
      <c r="C389">
        <f t="shared" si="0"/>
        <v>45.354202563054677</v>
      </c>
      <c r="D389" s="25">
        <f t="shared" si="1"/>
        <v>19.528281345380467</v>
      </c>
      <c r="E389" s="25">
        <f t="shared" si="2"/>
        <v>71.180123780728891</v>
      </c>
    </row>
    <row r="390" spans="1:5">
      <c r="A390" s="24">
        <v>21939</v>
      </c>
      <c r="C390">
        <f t="shared" si="0"/>
        <v>45.594877524277088</v>
      </c>
      <c r="D390" s="25">
        <f t="shared" si="1"/>
        <v>19.458281827703725</v>
      </c>
      <c r="E390" s="25">
        <f t="shared" si="2"/>
        <v>71.731473220850447</v>
      </c>
    </row>
    <row r="391" spans="1:5">
      <c r="A391" s="24">
        <v>21940</v>
      </c>
      <c r="C391">
        <f t="shared" si="0"/>
        <v>55.722072615627823</v>
      </c>
      <c r="D391" s="25">
        <f t="shared" si="1"/>
        <v>29.276220148020414</v>
      </c>
      <c r="E391" s="25">
        <f t="shared" si="2"/>
        <v>82.167925083235232</v>
      </c>
    </row>
    <row r="392" spans="1:5">
      <c r="A392" s="24">
        <v>21941</v>
      </c>
      <c r="C392">
        <f t="shared" si="0"/>
        <v>50.18019714156631</v>
      </c>
      <c r="D392" s="25">
        <f t="shared" si="1"/>
        <v>23.426448409956848</v>
      </c>
      <c r="E392" s="25">
        <f t="shared" si="2"/>
        <v>76.933945873175773</v>
      </c>
    </row>
    <row r="393" spans="1:5">
      <c r="A393" s="24">
        <v>21942</v>
      </c>
      <c r="C393">
        <f t="shared" si="0"/>
        <v>51.14422426616968</v>
      </c>
      <c r="D393" s="25">
        <f t="shared" si="1"/>
        <v>24.08388539119122</v>
      </c>
      <c r="E393" s="25">
        <f t="shared" si="2"/>
        <v>78.204563141148142</v>
      </c>
    </row>
    <row r="394" spans="1:5">
      <c r="A394" s="24">
        <v>21943</v>
      </c>
      <c r="C394">
        <f t="shared" si="0"/>
        <v>48.8887290470837</v>
      </c>
      <c r="D394" s="25">
        <f t="shared" si="1"/>
        <v>21.52305439254971</v>
      </c>
      <c r="E394" s="25">
        <f t="shared" si="2"/>
        <v>76.25440370161769</v>
      </c>
    </row>
    <row r="395" spans="1:5">
      <c r="A395" s="24">
        <v>21944</v>
      </c>
      <c r="C395">
        <f t="shared" si="0"/>
        <v>48.162998938216134</v>
      </c>
      <c r="D395" s="25">
        <f t="shared" si="1"/>
        <v>19.719128830933382</v>
      </c>
      <c r="E395" s="25">
        <f t="shared" si="2"/>
        <v>76.606869045498883</v>
      </c>
    </row>
    <row r="396" spans="1:5">
      <c r="A396" s="24">
        <v>21945</v>
      </c>
      <c r="C396">
        <f t="shared" si="0"/>
        <v>45.625332049991442</v>
      </c>
      <c r="D396" s="25">
        <f t="shared" si="1"/>
        <v>16.886648590495909</v>
      </c>
      <c r="E396" s="25">
        <f t="shared" si="2"/>
        <v>74.364015509486975</v>
      </c>
    </row>
    <row r="397" spans="1:5">
      <c r="A397" s="24">
        <v>21946</v>
      </c>
      <c r="C397">
        <f t="shared" si="0"/>
        <v>45.866007011213853</v>
      </c>
      <c r="D397" s="25">
        <f t="shared" si="1"/>
        <v>16.833426383725545</v>
      </c>
      <c r="E397" s="25">
        <f t="shared" si="2"/>
        <v>74.898587638702168</v>
      </c>
    </row>
    <row r="398" spans="1:5">
      <c r="A398" s="24">
        <v>21947</v>
      </c>
      <c r="C398">
        <f t="shared" si="0"/>
        <v>55.993202102564595</v>
      </c>
      <c r="D398" s="25">
        <f t="shared" si="1"/>
        <v>26.667605613231686</v>
      </c>
      <c r="E398" s="25">
        <f t="shared" si="2"/>
        <v>85.318798591897504</v>
      </c>
    </row>
    <row r="399" spans="1:5">
      <c r="A399" s="24">
        <v>21948</v>
      </c>
      <c r="C399">
        <f t="shared" ref="C399:C430" si="3">_xlfn.FORECAST.ETS(A399,$B$2:$B$366,$A$2:$A$366,1,1)</f>
        <v>50.451326628503082</v>
      </c>
      <c r="D399" s="25">
        <f t="shared" ref="D399:D430" si="4">C399-_xlfn.FORECAST.ETS.CONFINT(A399,$B$2:$B$366,$A$2:$A$366,0.95,1,1)</f>
        <v>20.833562166420574</v>
      </c>
      <c r="E399" s="25">
        <f t="shared" ref="E399:E430" si="5">C399+_xlfn.FORECAST.ETS.CONFINT(A399,$B$2:$B$366,$A$2:$A$366,0.95,1,1)</f>
        <v>80.069091090585587</v>
      </c>
    </row>
    <row r="400" spans="1:5">
      <c r="A400" s="24">
        <v>21949</v>
      </c>
      <c r="C400">
        <f t="shared" si="3"/>
        <v>51.415353753106444</v>
      </c>
      <c r="D400" s="25">
        <f t="shared" si="4"/>
        <v>21.506237170099535</v>
      </c>
      <c r="E400" s="25">
        <f t="shared" si="5"/>
        <v>81.32447033611335</v>
      </c>
    </row>
    <row r="401" spans="1:5">
      <c r="A401" s="24">
        <v>21950</v>
      </c>
      <c r="C401">
        <f t="shared" si="3"/>
        <v>49.159858534020465</v>
      </c>
      <c r="D401" s="25">
        <f t="shared" si="4"/>
        <v>18.960174948851929</v>
      </c>
      <c r="E401" s="25">
        <f t="shared" si="5"/>
        <v>79.359542119189001</v>
      </c>
    </row>
    <row r="402" spans="1:5">
      <c r="A402" s="24">
        <v>21951</v>
      </c>
      <c r="C402">
        <f t="shared" si="3"/>
        <v>48.434128425152899</v>
      </c>
      <c r="D402" s="25">
        <f t="shared" si="4"/>
        <v>17.228399490386408</v>
      </c>
      <c r="E402" s="25">
        <f t="shared" si="5"/>
        <v>79.63985735991939</v>
      </c>
    </row>
    <row r="403" spans="1:5">
      <c r="A403" s="24">
        <v>21952</v>
      </c>
      <c r="C403">
        <f t="shared" si="3"/>
        <v>45.896461536928214</v>
      </c>
      <c r="D403" s="25">
        <f t="shared" si="4"/>
        <v>14.408223351326622</v>
      </c>
      <c r="E403" s="25">
        <f t="shared" si="5"/>
        <v>77.384699722529803</v>
      </c>
    </row>
    <row r="404" spans="1:5">
      <c r="A404" s="24">
        <v>21953</v>
      </c>
      <c r="C404">
        <f t="shared" si="3"/>
        <v>46.137136498150625</v>
      </c>
      <c r="D404" s="25">
        <f t="shared" si="4"/>
        <v>14.366955341805426</v>
      </c>
      <c r="E404" s="25">
        <f t="shared" si="5"/>
        <v>77.907317654495827</v>
      </c>
    </row>
    <row r="405" spans="1:5">
      <c r="A405" s="24">
        <v>21954</v>
      </c>
      <c r="C405">
        <f t="shared" si="3"/>
        <v>56.26433158950136</v>
      </c>
      <c r="D405" s="25">
        <f t="shared" si="4"/>
        <v>24.212752089776494</v>
      </c>
      <c r="E405" s="25">
        <f t="shared" si="5"/>
        <v>88.315911089226233</v>
      </c>
    </row>
    <row r="406" spans="1:5">
      <c r="A406" s="24">
        <v>21955</v>
      </c>
      <c r="C406">
        <f t="shared" si="3"/>
        <v>50.722456115439847</v>
      </c>
      <c r="D406" s="25">
        <f t="shared" si="4"/>
        <v>18.390002029036616</v>
      </c>
      <c r="E406" s="25">
        <f t="shared" si="5"/>
        <v>83.054910201843086</v>
      </c>
    </row>
    <row r="407" spans="1:5">
      <c r="A407" s="24">
        <v>21956</v>
      </c>
      <c r="C407">
        <f t="shared" si="3"/>
        <v>51.686483240043216</v>
      </c>
      <c r="D407" s="25">
        <f t="shared" si="4"/>
        <v>19.073658197904024</v>
      </c>
      <c r="E407" s="25">
        <f t="shared" si="5"/>
        <v>84.299308282182409</v>
      </c>
    </row>
    <row r="408" spans="1:5">
      <c r="A408" s="24">
        <v>21957</v>
      </c>
      <c r="C408">
        <f t="shared" si="3"/>
        <v>49.430988020957237</v>
      </c>
      <c r="D408" s="25">
        <f t="shared" si="4"/>
        <v>16.5382762382199</v>
      </c>
      <c r="E408" s="25">
        <f t="shared" si="5"/>
        <v>82.323699803694581</v>
      </c>
    </row>
    <row r="409" spans="1:5">
      <c r="A409" s="24">
        <v>21958</v>
      </c>
      <c r="C409">
        <f t="shared" si="3"/>
        <v>48.705257912089664</v>
      </c>
      <c r="D409" s="25">
        <f t="shared" si="4"/>
        <v>14.862515363988024</v>
      </c>
      <c r="E409" s="25">
        <f t="shared" si="5"/>
        <v>82.548000460191304</v>
      </c>
    </row>
    <row r="410" spans="1:5">
      <c r="A410" s="24">
        <v>21959</v>
      </c>
      <c r="C410">
        <f t="shared" si="3"/>
        <v>46.167591023864979</v>
      </c>
      <c r="D410" s="25">
        <f t="shared" si="4"/>
        <v>12.051357835491565</v>
      </c>
      <c r="E410" s="25">
        <f t="shared" si="5"/>
        <v>80.283824212238386</v>
      </c>
    </row>
    <row r="411" spans="1:5">
      <c r="A411" s="24">
        <v>21960</v>
      </c>
      <c r="C411">
        <f t="shared" si="3"/>
        <v>46.40826598508739</v>
      </c>
      <c r="D411" s="25">
        <f t="shared" si="4"/>
        <v>12.018875729807299</v>
      </c>
      <c r="E411" s="25">
        <f t="shared" si="5"/>
        <v>80.797656240367473</v>
      </c>
    </row>
    <row r="412" spans="1:5">
      <c r="A412" s="24">
        <v>21961</v>
      </c>
      <c r="C412">
        <f t="shared" si="3"/>
        <v>56.535461076438132</v>
      </c>
      <c r="D412" s="25">
        <f t="shared" si="4"/>
        <v>21.873233237879447</v>
      </c>
      <c r="E412" s="25">
        <f t="shared" si="5"/>
        <v>91.197688914996817</v>
      </c>
    </row>
    <row r="413" spans="1:5">
      <c r="A413" s="24">
        <v>21962</v>
      </c>
      <c r="C413">
        <f t="shared" si="3"/>
        <v>50.993585602376619</v>
      </c>
      <c r="D413" s="25">
        <f t="shared" si="4"/>
        <v>16.058826023617669</v>
      </c>
      <c r="E413" s="25">
        <f t="shared" si="5"/>
        <v>85.928345181135569</v>
      </c>
    </row>
    <row r="414" spans="1:5">
      <c r="A414" s="24">
        <v>21963</v>
      </c>
      <c r="C414">
        <f t="shared" si="3"/>
        <v>51.957612726979981</v>
      </c>
      <c r="D414" s="25">
        <f t="shared" si="4"/>
        <v>16.75061404111942</v>
      </c>
      <c r="E414" s="25">
        <f t="shared" si="5"/>
        <v>87.164611412840543</v>
      </c>
    </row>
    <row r="415" spans="1:5">
      <c r="A415" s="24">
        <v>21964</v>
      </c>
      <c r="C415">
        <f t="shared" si="3"/>
        <v>49.702117507894002</v>
      </c>
      <c r="D415" s="25">
        <f t="shared" si="4"/>
        <v>14.223159550968859</v>
      </c>
      <c r="E415" s="25">
        <f t="shared" si="5"/>
        <v>85.181075464819145</v>
      </c>
    </row>
    <row r="416" spans="1:5">
      <c r="A416" s="24">
        <v>21965</v>
      </c>
      <c r="C416">
        <f t="shared" si="3"/>
        <v>48.976387399026436</v>
      </c>
      <c r="D416" s="25">
        <f t="shared" si="4"/>
        <v>12.592292381580393</v>
      </c>
      <c r="E416" s="25">
        <f t="shared" si="5"/>
        <v>85.360482416472479</v>
      </c>
    </row>
    <row r="417" spans="1:5">
      <c r="A417" s="24">
        <v>21966</v>
      </c>
      <c r="C417">
        <f t="shared" si="3"/>
        <v>46.438720510801751</v>
      </c>
      <c r="D417" s="25">
        <f t="shared" si="4"/>
        <v>9.7878800722301733</v>
      </c>
      <c r="E417" s="25">
        <f t="shared" si="5"/>
        <v>83.089560949373322</v>
      </c>
    </row>
    <row r="418" spans="1:5">
      <c r="A418" s="24">
        <v>21967</v>
      </c>
      <c r="C418">
        <f t="shared" si="3"/>
        <v>46.679395472024154</v>
      </c>
      <c r="D418" s="25">
        <f t="shared" si="4"/>
        <v>9.761980865389468</v>
      </c>
      <c r="E418" s="25">
        <f t="shared" si="5"/>
        <v>83.596810078658848</v>
      </c>
    </row>
    <row r="419" spans="1:5">
      <c r="A419" s="24">
        <v>21968</v>
      </c>
      <c r="C419">
        <f t="shared" si="3"/>
        <v>56.806590563374897</v>
      </c>
      <c r="D419" s="25">
        <f t="shared" si="4"/>
        <v>19.622763575721336</v>
      </c>
      <c r="E419" s="25">
        <f t="shared" si="5"/>
        <v>93.990417551028457</v>
      </c>
    </row>
    <row r="420" spans="1:5">
      <c r="A420" s="24">
        <v>21969</v>
      </c>
      <c r="C420">
        <f t="shared" si="3"/>
        <v>51.264715089313384</v>
      </c>
      <c r="D420" s="25">
        <f t="shared" si="4"/>
        <v>13.814628313205368</v>
      </c>
      <c r="E420" s="25">
        <f t="shared" si="5"/>
        <v>88.714801865421407</v>
      </c>
    </row>
    <row r="421" spans="1:5">
      <c r="A421" s="24">
        <v>21970</v>
      </c>
      <c r="C421">
        <f t="shared" si="3"/>
        <v>52.228742213916753</v>
      </c>
      <c r="D421" s="25">
        <f t="shared" si="4"/>
        <v>14.512539309003508</v>
      </c>
      <c r="E421" s="25">
        <f t="shared" si="5"/>
        <v>89.944945118829992</v>
      </c>
    </row>
    <row r="422" spans="1:5">
      <c r="A422" s="24">
        <v>21971</v>
      </c>
      <c r="C422">
        <f t="shared" si="3"/>
        <v>49.973246994830774</v>
      </c>
      <c r="D422" s="25">
        <f t="shared" si="4"/>
        <v>11.991062939894285</v>
      </c>
      <c r="E422" s="25">
        <f t="shared" si="5"/>
        <v>87.95543104976727</v>
      </c>
    </row>
    <row r="423" spans="1:5">
      <c r="A423" s="24">
        <v>21972</v>
      </c>
      <c r="C423">
        <f t="shared" si="3"/>
        <v>49.247516885963201</v>
      </c>
      <c r="D423" s="25">
        <f t="shared" si="4"/>
        <v>10.397053972219801</v>
      </c>
      <c r="E423" s="25">
        <f t="shared" si="5"/>
        <v>88.097979799706593</v>
      </c>
    </row>
    <row r="424" spans="1:5">
      <c r="A424" s="24">
        <v>21973</v>
      </c>
      <c r="C424">
        <f t="shared" si="3"/>
        <v>46.709849997738516</v>
      </c>
      <c r="D424" s="25">
        <f t="shared" si="4"/>
        <v>7.5977436011081636</v>
      </c>
      <c r="E424" s="25">
        <f t="shared" si="5"/>
        <v>85.821956394368868</v>
      </c>
    </row>
    <row r="425" spans="1:5">
      <c r="A425" s="24">
        <v>21974</v>
      </c>
      <c r="C425">
        <f t="shared" si="3"/>
        <v>46.950524958960926</v>
      </c>
      <c r="D425" s="25">
        <f t="shared" si="4"/>
        <v>7.5768289537686542</v>
      </c>
      <c r="E425" s="25">
        <f t="shared" si="5"/>
        <v>86.324220964153199</v>
      </c>
    </row>
    <row r="426" spans="1:5">
      <c r="A426" s="24">
        <v>21975</v>
      </c>
      <c r="C426">
        <f t="shared" si="3"/>
        <v>57.077720050311669</v>
      </c>
      <c r="D426" s="25">
        <f t="shared" si="4"/>
        <v>17.442481819014844</v>
      </c>
      <c r="E426" s="25">
        <f t="shared" si="5"/>
        <v>96.712958281608493</v>
      </c>
    </row>
    <row r="427" spans="1:5">
      <c r="A427" s="24">
        <v>21976</v>
      </c>
      <c r="C427">
        <f t="shared" si="3"/>
        <v>51.535844576250149</v>
      </c>
      <c r="D427" s="25">
        <f t="shared" si="4"/>
        <v>11.639105179852955</v>
      </c>
      <c r="E427" s="25">
        <f t="shared" si="5"/>
        <v>91.432583972647336</v>
      </c>
    </row>
    <row r="428" spans="1:5">
      <c r="A428" s="24">
        <v>21977</v>
      </c>
      <c r="C428">
        <f t="shared" si="3"/>
        <v>52.499871700853518</v>
      </c>
      <c r="D428" s="25">
        <f t="shared" si="4"/>
        <v>12.341666043702332</v>
      </c>
      <c r="E428" s="25">
        <f t="shared" si="5"/>
        <v>92.658077358004704</v>
      </c>
    </row>
    <row r="429" spans="1:5">
      <c r="A429" s="24">
        <v>21978</v>
      </c>
      <c r="C429">
        <f t="shared" si="3"/>
        <v>50.244376481767539</v>
      </c>
      <c r="D429" s="25">
        <f t="shared" si="4"/>
        <v>9.8247334709574901</v>
      </c>
      <c r="E429" s="25">
        <f t="shared" si="5"/>
        <v>90.66401949257758</v>
      </c>
    </row>
    <row r="430" spans="1:5">
      <c r="A430" s="24">
        <v>21979</v>
      </c>
      <c r="C430">
        <f t="shared" si="3"/>
        <v>49.518646372899973</v>
      </c>
      <c r="D430" s="25">
        <f t="shared" si="4"/>
        <v>8.2615618009675345</v>
      </c>
      <c r="E430" s="25">
        <f t="shared" si="5"/>
        <v>90.775730944832418</v>
      </c>
    </row>
    <row r="431" spans="1:5">
      <c r="A431" s="24">
        <v>21980</v>
      </c>
      <c r="C431">
        <f t="shared" ref="C431:C458" si="6">_xlfn.FORECAST.ETS(A431,$B$2:$B$366,$A$2:$A$366,1,1)</f>
        <v>46.980979484675281</v>
      </c>
      <c r="D431" s="25">
        <f t="shared" ref="D431:D458" si="7">C431-_xlfn.FORECAST.ETS.CONFINT(A431,$B$2:$B$366,$A$2:$A$366,0.95,1,1)</f>
        <v>5.4661247718831447</v>
      </c>
      <c r="E431" s="25">
        <f t="shared" ref="E431:E458" si="8">C431+_xlfn.FORECAST.ETS.CONFINT(A431,$B$2:$B$366,$A$2:$A$366,0.95,1,1)</f>
        <v>88.495834197467417</v>
      </c>
    </row>
    <row r="432" spans="1:5">
      <c r="A432" s="24">
        <v>21981</v>
      </c>
      <c r="C432">
        <f t="shared" si="6"/>
        <v>47.221654445897691</v>
      </c>
      <c r="D432" s="25">
        <f t="shared" si="7"/>
        <v>5.448996177348242</v>
      </c>
      <c r="E432" s="25">
        <f t="shared" si="8"/>
        <v>88.994312714447148</v>
      </c>
    </row>
    <row r="433" spans="1:5">
      <c r="A433" s="24">
        <v>21982</v>
      </c>
      <c r="C433">
        <f t="shared" si="6"/>
        <v>57.348849537248434</v>
      </c>
      <c r="D433" s="25">
        <f t="shared" si="7"/>
        <v>15.318349796922668</v>
      </c>
      <c r="E433" s="25">
        <f t="shared" si="8"/>
        <v>99.379349277574192</v>
      </c>
    </row>
    <row r="434" spans="1:5">
      <c r="A434" s="24">
        <v>21983</v>
      </c>
      <c r="C434">
        <f t="shared" si="6"/>
        <v>51.806974063186921</v>
      </c>
      <c r="D434" s="25">
        <f t="shared" si="7"/>
        <v>9.5185905438160816</v>
      </c>
      <c r="E434" s="25">
        <f t="shared" si="8"/>
        <v>94.095357582557767</v>
      </c>
    </row>
    <row r="435" spans="1:5">
      <c r="A435" s="24">
        <v>21984</v>
      </c>
      <c r="C435">
        <f t="shared" si="6"/>
        <v>52.77100118779029</v>
      </c>
      <c r="D435" s="25">
        <f t="shared" si="7"/>
        <v>10.224687297439644</v>
      </c>
      <c r="E435" s="25">
        <f t="shared" si="8"/>
        <v>95.317315078140936</v>
      </c>
    </row>
    <row r="436" spans="1:5">
      <c r="A436" s="24">
        <v>21985</v>
      </c>
      <c r="C436">
        <f t="shared" si="6"/>
        <v>50.515505968704304</v>
      </c>
      <c r="D436" s="25">
        <f t="shared" si="7"/>
        <v>7.7112109341906105</v>
      </c>
      <c r="E436" s="25">
        <f t="shared" si="8"/>
        <v>93.319801003218004</v>
      </c>
    </row>
    <row r="437" spans="1:5">
      <c r="A437" s="24">
        <v>21986</v>
      </c>
      <c r="C437">
        <f t="shared" si="6"/>
        <v>49.789775859836737</v>
      </c>
      <c r="D437" s="25">
        <f t="shared" si="7"/>
        <v>6.1742332676997407</v>
      </c>
      <c r="E437" s="25">
        <f t="shared" si="8"/>
        <v>93.405318451973727</v>
      </c>
    </row>
    <row r="438" spans="1:5">
      <c r="A438" s="24">
        <v>21987</v>
      </c>
      <c r="C438">
        <f t="shared" si="6"/>
        <v>47.252108971612053</v>
      </c>
      <c r="D438" s="25">
        <f t="shared" si="7"/>
        <v>3.3817260343726829</v>
      </c>
      <c r="E438" s="25">
        <f t="shared" si="8"/>
        <v>91.12249190885143</v>
      </c>
    </row>
    <row r="439" spans="1:5">
      <c r="A439" s="24">
        <v>21988</v>
      </c>
      <c r="C439">
        <f t="shared" si="6"/>
        <v>47.492783932834463</v>
      </c>
      <c r="D439" s="25">
        <f t="shared" si="7"/>
        <v>3.3674608694166821</v>
      </c>
      <c r="E439" s="25">
        <f t="shared" si="8"/>
        <v>91.618106996252237</v>
      </c>
    </row>
    <row r="440" spans="1:5">
      <c r="A440" s="24">
        <v>21989</v>
      </c>
      <c r="C440">
        <f t="shared" si="6"/>
        <v>57.619979024185206</v>
      </c>
      <c r="D440" s="25">
        <f t="shared" si="7"/>
        <v>13.239612927959335</v>
      </c>
      <c r="E440" s="25">
        <f t="shared" si="8"/>
        <v>102.00034512041108</v>
      </c>
    </row>
    <row r="441" spans="1:5">
      <c r="A441" s="24">
        <v>21990</v>
      </c>
      <c r="C441">
        <f t="shared" si="6"/>
        <v>52.078103550123686</v>
      </c>
      <c r="D441" s="25">
        <f t="shared" si="7"/>
        <v>7.4425884610404296</v>
      </c>
      <c r="E441" s="25">
        <f t="shared" si="8"/>
        <v>96.713618639206942</v>
      </c>
    </row>
    <row r="442" spans="1:5">
      <c r="A442" s="24">
        <v>21991</v>
      </c>
      <c r="C442">
        <f t="shared" si="6"/>
        <v>53.042130674727055</v>
      </c>
      <c r="D442" s="25">
        <f t="shared" si="7"/>
        <v>8.1513576494733826</v>
      </c>
      <c r="E442" s="25">
        <f t="shared" si="8"/>
        <v>97.932903699980727</v>
      </c>
    </row>
    <row r="443" spans="1:5">
      <c r="A443" s="24">
        <v>21992</v>
      </c>
      <c r="C443">
        <f t="shared" si="6"/>
        <v>50.786635455641076</v>
      </c>
      <c r="D443" s="25">
        <f t="shared" si="7"/>
        <v>5.640492635884641</v>
      </c>
      <c r="E443" s="25">
        <f t="shared" si="8"/>
        <v>95.93277827539751</v>
      </c>
    </row>
    <row r="444" spans="1:5">
      <c r="A444" s="24">
        <v>21993</v>
      </c>
      <c r="C444">
        <f t="shared" si="6"/>
        <v>50.060905346773509</v>
      </c>
      <c r="D444" s="25">
        <f t="shared" si="7"/>
        <v>4.1260431788882954</v>
      </c>
      <c r="E444" s="25">
        <f t="shared" si="8"/>
        <v>95.995767514658723</v>
      </c>
    </row>
    <row r="445" spans="1:5">
      <c r="A445" s="24">
        <v>21994</v>
      </c>
      <c r="C445">
        <f t="shared" si="6"/>
        <v>47.523238458548818</v>
      </c>
      <c r="D445" s="25">
        <f t="shared" si="7"/>
        <v>1.3357251290097025</v>
      </c>
      <c r="E445" s="25">
        <f t="shared" si="8"/>
        <v>93.710751788087933</v>
      </c>
    </row>
    <row r="446" spans="1:5">
      <c r="A446" s="24">
        <v>21995</v>
      </c>
      <c r="C446">
        <f t="shared" si="6"/>
        <v>47.763913419771228</v>
      </c>
      <c r="D446" s="25">
        <f t="shared" si="7"/>
        <v>1.3235977869410149</v>
      </c>
      <c r="E446" s="25">
        <f t="shared" si="8"/>
        <v>94.204229052601448</v>
      </c>
    </row>
    <row r="447" spans="1:5">
      <c r="A447" s="24">
        <v>21996</v>
      </c>
      <c r="C447">
        <f t="shared" si="6"/>
        <v>57.891108511121971</v>
      </c>
      <c r="D447" s="25">
        <f t="shared" si="7"/>
        <v>11.197837283140366</v>
      </c>
      <c r="E447" s="25">
        <f t="shared" si="8"/>
        <v>104.58437973910358</v>
      </c>
    </row>
    <row r="448" spans="1:5">
      <c r="A448" s="24">
        <v>21997</v>
      </c>
      <c r="C448">
        <f t="shared" si="6"/>
        <v>52.349233037060458</v>
      </c>
      <c r="D448" s="25">
        <f t="shared" si="7"/>
        <v>5.4028508196749101</v>
      </c>
      <c r="E448" s="25">
        <f t="shared" si="8"/>
        <v>99.295615254446005</v>
      </c>
    </row>
    <row r="449" spans="1:5">
      <c r="A449" s="24">
        <v>21998</v>
      </c>
      <c r="C449">
        <f t="shared" si="6"/>
        <v>53.31326016166382</v>
      </c>
      <c r="D449" s="25">
        <f t="shared" si="7"/>
        <v>6.113609504847382</v>
      </c>
      <c r="E449" s="25">
        <f t="shared" si="8"/>
        <v>100.51291081848026</v>
      </c>
    </row>
    <row r="450" spans="1:5">
      <c r="A450" s="24">
        <v>21999</v>
      </c>
      <c r="C450">
        <f t="shared" si="6"/>
        <v>51.05776494257784</v>
      </c>
      <c r="D450" s="25">
        <f t="shared" si="7"/>
        <v>3.6046863859715259</v>
      </c>
      <c r="E450" s="25">
        <f t="shared" si="8"/>
        <v>98.510843499184148</v>
      </c>
    </row>
    <row r="451" spans="1:5">
      <c r="A451" s="24">
        <v>22000</v>
      </c>
      <c r="C451">
        <f t="shared" si="6"/>
        <v>50.332034833710274</v>
      </c>
      <c r="D451" s="25">
        <f t="shared" si="7"/>
        <v>2.1098142628827361</v>
      </c>
      <c r="E451" s="25">
        <f t="shared" si="8"/>
        <v>98.554255404537813</v>
      </c>
    </row>
    <row r="452" spans="1:5">
      <c r="A452" s="24">
        <v>22001</v>
      </c>
      <c r="C452">
        <f t="shared" si="6"/>
        <v>47.79436794548559</v>
      </c>
      <c r="D452" s="25">
        <f t="shared" si="7"/>
        <v>-0.67890650983567014</v>
      </c>
      <c r="E452" s="25">
        <f t="shared" si="8"/>
        <v>96.267642400806849</v>
      </c>
    </row>
    <row r="453" spans="1:5">
      <c r="A453" s="24">
        <v>22002</v>
      </c>
      <c r="C453">
        <f t="shared" si="6"/>
        <v>48.035042906708</v>
      </c>
      <c r="D453" s="25">
        <f t="shared" si="7"/>
        <v>-0.68947689365941756</v>
      </c>
      <c r="E453" s="25">
        <f t="shared" si="8"/>
        <v>96.759562707075418</v>
      </c>
    </row>
    <row r="454" spans="1:5">
      <c r="A454" s="24">
        <v>22003</v>
      </c>
      <c r="C454">
        <f t="shared" si="6"/>
        <v>58.162237998058735</v>
      </c>
      <c r="D454" s="25">
        <f t="shared" si="7"/>
        <v>9.1862799481782531</v>
      </c>
      <c r="E454" s="25">
        <f t="shared" si="8"/>
        <v>107.13819604793922</v>
      </c>
    </row>
    <row r="455" spans="1:5">
      <c r="A455" s="24">
        <v>22004</v>
      </c>
      <c r="C455">
        <f t="shared" si="6"/>
        <v>52.620362523997223</v>
      </c>
      <c r="D455" s="25">
        <f t="shared" si="7"/>
        <v>3.3927719079789682</v>
      </c>
      <c r="E455" s="25">
        <f t="shared" si="8"/>
        <v>101.84795314001548</v>
      </c>
    </row>
    <row r="456" spans="1:5">
      <c r="A456" s="24">
        <v>22005</v>
      </c>
      <c r="C456">
        <f t="shared" si="6"/>
        <v>53.584389648600592</v>
      </c>
      <c r="D456" s="25">
        <f t="shared" si="7"/>
        <v>4.1049707686670445</v>
      </c>
      <c r="E456" s="25">
        <f t="shared" si="8"/>
        <v>103.06380852853414</v>
      </c>
    </row>
    <row r="457" spans="1:5">
      <c r="A457" s="24">
        <v>22006</v>
      </c>
      <c r="C457">
        <f t="shared" si="6"/>
        <v>51.328894429514612</v>
      </c>
      <c r="D457" s="25">
        <f t="shared" si="7"/>
        <v>1.5974502370102144</v>
      </c>
      <c r="E457" s="25">
        <f t="shared" si="8"/>
        <v>101.060338622019</v>
      </c>
    </row>
    <row r="458" spans="1:5">
      <c r="A458" s="24">
        <v>22007</v>
      </c>
      <c r="C458">
        <f t="shared" si="6"/>
        <v>50.603164320647046</v>
      </c>
      <c r="D458" s="25">
        <f t="shared" si="7"/>
        <v>0.11974082460254465</v>
      </c>
      <c r="E458" s="25">
        <f t="shared" si="8"/>
        <v>101.08658781669155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NovaTech_Forecasting_Analysis_R</vt:lpstr>
      <vt:lpstr>Naive</vt:lpstr>
      <vt:lpstr>Moving Average_3days</vt:lpstr>
      <vt:lpstr>Moving Average_7days</vt:lpstr>
      <vt:lpstr>Exponential smoothing </vt:lpstr>
      <vt:lpstr>Exponential smoothing_d.2</vt:lpstr>
      <vt:lpstr>Exponential smoothing_d.3</vt:lpstr>
      <vt:lpstr>Exponential smoothing_d.7</vt:lpstr>
      <vt:lpstr>Exponential smoothing_d.8</vt:lpstr>
      <vt:lpstr>SLR</vt:lpstr>
      <vt:lpstr>Linear Forecast</vt:lpstr>
      <vt:lpstr>Linear_Forecast_Sheet</vt:lpstr>
      <vt:lpstr>'Linear Forecast'!solver_opt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Mangiri</dc:creator>
  <cp:lastModifiedBy>Barbara Mangiri</cp:lastModifiedBy>
  <dcterms:created xsi:type="dcterms:W3CDTF">2026-03-03T18:35:15Z</dcterms:created>
  <dcterms:modified xsi:type="dcterms:W3CDTF">2026-03-03T18:35:15Z</dcterms:modified>
</cp:coreProperties>
</file>